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8.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9.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8526e97aa0bf07cf/Documents/"/>
    </mc:Choice>
  </mc:AlternateContent>
  <xr:revisionPtr revIDLastSave="72" documentId="13_ncr:1_{F69C5576-FB46-4568-8FFF-165558841110}" xr6:coauthVersionLast="47" xr6:coauthVersionMax="47" xr10:uidLastSave="{F5909141-270F-4DD5-8763-A1DE64D0B697}"/>
  <bookViews>
    <workbookView xWindow="-108" yWindow="-108" windowWidth="23256" windowHeight="12456" activeTab="1" xr2:uid="{CFBEDCA9-990F-4AA3-BE66-E8A47D885B4B}"/>
  </bookViews>
  <sheets>
    <sheet name="Sheet1" sheetId="1" r:id="rId1"/>
    <sheet name="Sheet2" sheetId="2" r:id="rId2"/>
    <sheet name="Sheet3" sheetId="3" r:id="rId3"/>
    <sheet name="pivot table" sheetId="10" r:id="rId4"/>
    <sheet name="forecast" sheetId="8" r:id="rId5"/>
    <sheet name="heatmap" sheetId="6" r:id="rId6"/>
    <sheet name="Append" sheetId="11" r:id="rId7"/>
    <sheet name="dashboard" sheetId="12" r:id="rId8"/>
  </sheets>
  <definedNames>
    <definedName name="_xlnm._FilterDatabase" localSheetId="0" hidden="1">Sheet1!$H$2:$H$611</definedName>
    <definedName name="_xlchart.v2.0" hidden="1">Sheet3!$U$7:$X$14</definedName>
    <definedName name="_xlchart.v2.1" hidden="1">Sheet3!$Y$6</definedName>
    <definedName name="_xlchart.v2.2" hidden="1">Sheet3!$Y$7:$Y$14</definedName>
    <definedName name="_xlchart.v2.3" hidden="1">Sheet3!$U$7:$X$14</definedName>
    <definedName name="_xlchart.v2.4" hidden="1">Sheet3!$Y$6</definedName>
    <definedName name="_xlchart.v2.5" hidden="1">Sheet3!$Y$7:$Y$14</definedName>
    <definedName name="_xlcn.WorksheetConnection_Sheet1H1O6111" hidden="1">Sheet1!$H$1:$N$611</definedName>
    <definedName name="ExternalData_1" localSheetId="6" hidden="1">Append!$A$1:$T$1001</definedName>
    <definedName name="_xlnm.Extract" localSheetId="0">Sheet1!$Q$4:$Q$13</definedName>
    <definedName name="instant">Sheet2!$A$1:$I$611</definedName>
    <definedName name="instantc">Sheet2!$B$1:$I$611</definedName>
    <definedName name="Slicer_Day">#N/A</definedName>
  </definedNames>
  <calcPr calcId="191029"/>
  <pivotCaches>
    <pivotCache cacheId="0" r:id="rId9"/>
    <pivotCache cacheId="1"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H$1:$O$6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U5" i="2"/>
  <c r="U6" i="2"/>
  <c r="AC6" i="3"/>
  <c r="K342" i="6"/>
  <c r="K611" i="6"/>
  <c r="J611" i="6"/>
  <c r="I611" i="6"/>
  <c r="H611" i="6"/>
  <c r="G611" i="6"/>
  <c r="F611" i="6"/>
  <c r="K610" i="6"/>
  <c r="J610" i="6"/>
  <c r="I610" i="6"/>
  <c r="H610" i="6"/>
  <c r="G610" i="6"/>
  <c r="F610" i="6"/>
  <c r="K609" i="6"/>
  <c r="J609" i="6"/>
  <c r="I609" i="6"/>
  <c r="H609" i="6"/>
  <c r="G609" i="6"/>
  <c r="F609" i="6"/>
  <c r="K608" i="6"/>
  <c r="J608" i="6"/>
  <c r="I608" i="6"/>
  <c r="H608" i="6"/>
  <c r="G608" i="6"/>
  <c r="F608" i="6"/>
  <c r="K607" i="6"/>
  <c r="J607" i="6"/>
  <c r="I607" i="6"/>
  <c r="H607" i="6"/>
  <c r="G607" i="6"/>
  <c r="F607" i="6"/>
  <c r="K606" i="6"/>
  <c r="J606" i="6"/>
  <c r="I606" i="6"/>
  <c r="H606" i="6"/>
  <c r="G606" i="6"/>
  <c r="F606" i="6"/>
  <c r="K605" i="6"/>
  <c r="J605" i="6"/>
  <c r="I605" i="6"/>
  <c r="H605" i="6"/>
  <c r="G605" i="6"/>
  <c r="F605" i="6"/>
  <c r="K604" i="6"/>
  <c r="J604" i="6"/>
  <c r="I604" i="6"/>
  <c r="H604" i="6"/>
  <c r="G604" i="6"/>
  <c r="F604" i="6"/>
  <c r="K603" i="6"/>
  <c r="J603" i="6"/>
  <c r="I603" i="6"/>
  <c r="H603" i="6"/>
  <c r="G603" i="6"/>
  <c r="F603" i="6"/>
  <c r="K602" i="6"/>
  <c r="J602" i="6"/>
  <c r="I602" i="6"/>
  <c r="H602" i="6"/>
  <c r="G602" i="6"/>
  <c r="F602" i="6"/>
  <c r="K601" i="6"/>
  <c r="J601" i="6"/>
  <c r="I601" i="6"/>
  <c r="H601" i="6"/>
  <c r="G601" i="6"/>
  <c r="F601" i="6"/>
  <c r="K600" i="6"/>
  <c r="J600" i="6"/>
  <c r="I600" i="6"/>
  <c r="H600" i="6"/>
  <c r="G600" i="6"/>
  <c r="F600" i="6"/>
  <c r="K599" i="6"/>
  <c r="J599" i="6"/>
  <c r="I599" i="6"/>
  <c r="H599" i="6"/>
  <c r="G599" i="6"/>
  <c r="F599" i="6"/>
  <c r="K598" i="6"/>
  <c r="J598" i="6"/>
  <c r="I598" i="6"/>
  <c r="H598" i="6"/>
  <c r="G598" i="6"/>
  <c r="F598" i="6"/>
  <c r="K597" i="6"/>
  <c r="J597" i="6"/>
  <c r="I597" i="6"/>
  <c r="H597" i="6"/>
  <c r="G597" i="6"/>
  <c r="F597" i="6"/>
  <c r="K596" i="6"/>
  <c r="J596" i="6"/>
  <c r="I596" i="6"/>
  <c r="H596" i="6"/>
  <c r="G596" i="6"/>
  <c r="F596" i="6"/>
  <c r="K595" i="6"/>
  <c r="J595" i="6"/>
  <c r="I595" i="6"/>
  <c r="H595" i="6"/>
  <c r="G595" i="6"/>
  <c r="F595" i="6"/>
  <c r="K594" i="6"/>
  <c r="J594" i="6"/>
  <c r="I594" i="6"/>
  <c r="H594" i="6"/>
  <c r="G594" i="6"/>
  <c r="F594" i="6"/>
  <c r="K593" i="6"/>
  <c r="J593" i="6"/>
  <c r="I593" i="6"/>
  <c r="H593" i="6"/>
  <c r="G593" i="6"/>
  <c r="F593" i="6"/>
  <c r="K592" i="6"/>
  <c r="J592" i="6"/>
  <c r="I592" i="6"/>
  <c r="H592" i="6"/>
  <c r="G592" i="6"/>
  <c r="F592" i="6"/>
  <c r="K591" i="6"/>
  <c r="J591" i="6"/>
  <c r="I591" i="6"/>
  <c r="H591" i="6"/>
  <c r="G591" i="6"/>
  <c r="F591" i="6"/>
  <c r="K590" i="6"/>
  <c r="J590" i="6"/>
  <c r="I590" i="6"/>
  <c r="H590" i="6"/>
  <c r="G590" i="6"/>
  <c r="F590" i="6"/>
  <c r="K589" i="6"/>
  <c r="J589" i="6"/>
  <c r="I589" i="6"/>
  <c r="H589" i="6"/>
  <c r="G589" i="6"/>
  <c r="F589" i="6"/>
  <c r="K588" i="6"/>
  <c r="J588" i="6"/>
  <c r="I588" i="6"/>
  <c r="H588" i="6"/>
  <c r="G588" i="6"/>
  <c r="F588" i="6"/>
  <c r="K587" i="6"/>
  <c r="J587" i="6"/>
  <c r="I587" i="6"/>
  <c r="H587" i="6"/>
  <c r="G587" i="6"/>
  <c r="F587" i="6"/>
  <c r="K586" i="6"/>
  <c r="J586" i="6"/>
  <c r="I586" i="6"/>
  <c r="H586" i="6"/>
  <c r="G586" i="6"/>
  <c r="F586" i="6"/>
  <c r="K585" i="6"/>
  <c r="J585" i="6"/>
  <c r="I585" i="6"/>
  <c r="H585" i="6"/>
  <c r="G585" i="6"/>
  <c r="F585" i="6"/>
  <c r="K584" i="6"/>
  <c r="J584" i="6"/>
  <c r="I584" i="6"/>
  <c r="H584" i="6"/>
  <c r="G584" i="6"/>
  <c r="F584" i="6"/>
  <c r="K583" i="6"/>
  <c r="J583" i="6"/>
  <c r="I583" i="6"/>
  <c r="H583" i="6"/>
  <c r="G583" i="6"/>
  <c r="F583" i="6"/>
  <c r="K582" i="6"/>
  <c r="J582" i="6"/>
  <c r="I582" i="6"/>
  <c r="H582" i="6"/>
  <c r="G582" i="6"/>
  <c r="F582" i="6"/>
  <c r="K581" i="6"/>
  <c r="J581" i="6"/>
  <c r="I581" i="6"/>
  <c r="H581" i="6"/>
  <c r="G581" i="6"/>
  <c r="F581" i="6"/>
  <c r="K580" i="6"/>
  <c r="J580" i="6"/>
  <c r="I580" i="6"/>
  <c r="H580" i="6"/>
  <c r="G580" i="6"/>
  <c r="F580" i="6"/>
  <c r="K579" i="6"/>
  <c r="J579" i="6"/>
  <c r="I579" i="6"/>
  <c r="H579" i="6"/>
  <c r="G579" i="6"/>
  <c r="F579" i="6"/>
  <c r="K578" i="6"/>
  <c r="J578" i="6"/>
  <c r="I578" i="6"/>
  <c r="H578" i="6"/>
  <c r="G578" i="6"/>
  <c r="F578" i="6"/>
  <c r="K577" i="6"/>
  <c r="J577" i="6"/>
  <c r="I577" i="6"/>
  <c r="H577" i="6"/>
  <c r="G577" i="6"/>
  <c r="F577" i="6"/>
  <c r="K576" i="6"/>
  <c r="J576" i="6"/>
  <c r="I576" i="6"/>
  <c r="H576" i="6"/>
  <c r="G576" i="6"/>
  <c r="F576" i="6"/>
  <c r="K575" i="6"/>
  <c r="J575" i="6"/>
  <c r="I575" i="6"/>
  <c r="H575" i="6"/>
  <c r="G575" i="6"/>
  <c r="F575" i="6"/>
  <c r="K574" i="6"/>
  <c r="J574" i="6"/>
  <c r="I574" i="6"/>
  <c r="H574" i="6"/>
  <c r="G574" i="6"/>
  <c r="F574" i="6"/>
  <c r="K573" i="6"/>
  <c r="J573" i="6"/>
  <c r="I573" i="6"/>
  <c r="H573" i="6"/>
  <c r="G573" i="6"/>
  <c r="F573" i="6"/>
  <c r="K572" i="6"/>
  <c r="J572" i="6"/>
  <c r="I572" i="6"/>
  <c r="H572" i="6"/>
  <c r="G572" i="6"/>
  <c r="F572" i="6"/>
  <c r="K571" i="6"/>
  <c r="J571" i="6"/>
  <c r="I571" i="6"/>
  <c r="H571" i="6"/>
  <c r="G571" i="6"/>
  <c r="F571" i="6"/>
  <c r="K570" i="6"/>
  <c r="J570" i="6"/>
  <c r="I570" i="6"/>
  <c r="H570" i="6"/>
  <c r="G570" i="6"/>
  <c r="F570" i="6"/>
  <c r="K569" i="6"/>
  <c r="J569" i="6"/>
  <c r="I569" i="6"/>
  <c r="H569" i="6"/>
  <c r="G569" i="6"/>
  <c r="F569" i="6"/>
  <c r="K568" i="6"/>
  <c r="J568" i="6"/>
  <c r="I568" i="6"/>
  <c r="H568" i="6"/>
  <c r="G568" i="6"/>
  <c r="F568" i="6"/>
  <c r="K567" i="6"/>
  <c r="J567" i="6"/>
  <c r="I567" i="6"/>
  <c r="H567" i="6"/>
  <c r="G567" i="6"/>
  <c r="F567" i="6"/>
  <c r="K566" i="6"/>
  <c r="J566" i="6"/>
  <c r="I566" i="6"/>
  <c r="H566" i="6"/>
  <c r="G566" i="6"/>
  <c r="F566" i="6"/>
  <c r="K565" i="6"/>
  <c r="J565" i="6"/>
  <c r="I565" i="6"/>
  <c r="H565" i="6"/>
  <c r="G565" i="6"/>
  <c r="F565" i="6"/>
  <c r="K564" i="6"/>
  <c r="J564" i="6"/>
  <c r="I564" i="6"/>
  <c r="H564" i="6"/>
  <c r="G564" i="6"/>
  <c r="F564" i="6"/>
  <c r="K563" i="6"/>
  <c r="J563" i="6"/>
  <c r="I563" i="6"/>
  <c r="H563" i="6"/>
  <c r="G563" i="6"/>
  <c r="F563" i="6"/>
  <c r="K562" i="6"/>
  <c r="J562" i="6"/>
  <c r="I562" i="6"/>
  <c r="H562" i="6"/>
  <c r="G562" i="6"/>
  <c r="F562" i="6"/>
  <c r="K561" i="6"/>
  <c r="J561" i="6"/>
  <c r="I561" i="6"/>
  <c r="H561" i="6"/>
  <c r="G561" i="6"/>
  <c r="F561" i="6"/>
  <c r="K560" i="6"/>
  <c r="J560" i="6"/>
  <c r="I560" i="6"/>
  <c r="H560" i="6"/>
  <c r="G560" i="6"/>
  <c r="F560" i="6"/>
  <c r="K559" i="6"/>
  <c r="J559" i="6"/>
  <c r="I559" i="6"/>
  <c r="H559" i="6"/>
  <c r="G559" i="6"/>
  <c r="F559" i="6"/>
  <c r="K558" i="6"/>
  <c r="J558" i="6"/>
  <c r="I558" i="6"/>
  <c r="H558" i="6"/>
  <c r="G558" i="6"/>
  <c r="F558" i="6"/>
  <c r="K557" i="6"/>
  <c r="J557" i="6"/>
  <c r="I557" i="6"/>
  <c r="H557" i="6"/>
  <c r="G557" i="6"/>
  <c r="F557" i="6"/>
  <c r="K556" i="6"/>
  <c r="J556" i="6"/>
  <c r="I556" i="6"/>
  <c r="H556" i="6"/>
  <c r="G556" i="6"/>
  <c r="F556" i="6"/>
  <c r="K555" i="6"/>
  <c r="J555" i="6"/>
  <c r="I555" i="6"/>
  <c r="H555" i="6"/>
  <c r="G555" i="6"/>
  <c r="F555" i="6"/>
  <c r="K554" i="6"/>
  <c r="J554" i="6"/>
  <c r="I554" i="6"/>
  <c r="H554" i="6"/>
  <c r="G554" i="6"/>
  <c r="F554" i="6"/>
  <c r="K553" i="6"/>
  <c r="J553" i="6"/>
  <c r="I553" i="6"/>
  <c r="H553" i="6"/>
  <c r="G553" i="6"/>
  <c r="F553" i="6"/>
  <c r="K552" i="6"/>
  <c r="J552" i="6"/>
  <c r="I552" i="6"/>
  <c r="H552" i="6"/>
  <c r="G552" i="6"/>
  <c r="F552" i="6"/>
  <c r="K551" i="6"/>
  <c r="J551" i="6"/>
  <c r="I551" i="6"/>
  <c r="H551" i="6"/>
  <c r="G551" i="6"/>
  <c r="F551" i="6"/>
  <c r="K550" i="6"/>
  <c r="J550" i="6"/>
  <c r="I550" i="6"/>
  <c r="H550" i="6"/>
  <c r="G550" i="6"/>
  <c r="F550" i="6"/>
  <c r="K549" i="6"/>
  <c r="J549" i="6"/>
  <c r="I549" i="6"/>
  <c r="H549" i="6"/>
  <c r="G549" i="6"/>
  <c r="F549" i="6"/>
  <c r="K548" i="6"/>
  <c r="J548" i="6"/>
  <c r="I548" i="6"/>
  <c r="H548" i="6"/>
  <c r="G548" i="6"/>
  <c r="F548" i="6"/>
  <c r="K547" i="6"/>
  <c r="J547" i="6"/>
  <c r="I547" i="6"/>
  <c r="H547" i="6"/>
  <c r="G547" i="6"/>
  <c r="F547" i="6"/>
  <c r="K546" i="6"/>
  <c r="J546" i="6"/>
  <c r="I546" i="6"/>
  <c r="H546" i="6"/>
  <c r="G546" i="6"/>
  <c r="F546" i="6"/>
  <c r="K545" i="6"/>
  <c r="J545" i="6"/>
  <c r="I545" i="6"/>
  <c r="H545" i="6"/>
  <c r="G545" i="6"/>
  <c r="F545" i="6"/>
  <c r="K544" i="6"/>
  <c r="J544" i="6"/>
  <c r="I544" i="6"/>
  <c r="H544" i="6"/>
  <c r="G544" i="6"/>
  <c r="F544" i="6"/>
  <c r="K543" i="6"/>
  <c r="J543" i="6"/>
  <c r="I543" i="6"/>
  <c r="H543" i="6"/>
  <c r="G543" i="6"/>
  <c r="F543" i="6"/>
  <c r="K542" i="6"/>
  <c r="J542" i="6"/>
  <c r="I542" i="6"/>
  <c r="H542" i="6"/>
  <c r="G542" i="6"/>
  <c r="F542" i="6"/>
  <c r="K541" i="6"/>
  <c r="J541" i="6"/>
  <c r="I541" i="6"/>
  <c r="H541" i="6"/>
  <c r="G541" i="6"/>
  <c r="F541" i="6"/>
  <c r="K540" i="6"/>
  <c r="J540" i="6"/>
  <c r="I540" i="6"/>
  <c r="H540" i="6"/>
  <c r="G540" i="6"/>
  <c r="F540" i="6"/>
  <c r="K539" i="6"/>
  <c r="J539" i="6"/>
  <c r="I539" i="6"/>
  <c r="H539" i="6"/>
  <c r="G539" i="6"/>
  <c r="F539" i="6"/>
  <c r="K538" i="6"/>
  <c r="J538" i="6"/>
  <c r="I538" i="6"/>
  <c r="H538" i="6"/>
  <c r="G538" i="6"/>
  <c r="F538" i="6"/>
  <c r="K537" i="6"/>
  <c r="J537" i="6"/>
  <c r="I537" i="6"/>
  <c r="H537" i="6"/>
  <c r="G537" i="6"/>
  <c r="F537" i="6"/>
  <c r="K536" i="6"/>
  <c r="J536" i="6"/>
  <c r="I536" i="6"/>
  <c r="H536" i="6"/>
  <c r="G536" i="6"/>
  <c r="F536" i="6"/>
  <c r="K535" i="6"/>
  <c r="J535" i="6"/>
  <c r="I535" i="6"/>
  <c r="H535" i="6"/>
  <c r="G535" i="6"/>
  <c r="F535" i="6"/>
  <c r="K534" i="6"/>
  <c r="J534" i="6"/>
  <c r="I534" i="6"/>
  <c r="H534" i="6"/>
  <c r="G534" i="6"/>
  <c r="F534" i="6"/>
  <c r="K533" i="6"/>
  <c r="J533" i="6"/>
  <c r="I533" i="6"/>
  <c r="H533" i="6"/>
  <c r="G533" i="6"/>
  <c r="F533" i="6"/>
  <c r="K532" i="6"/>
  <c r="J532" i="6"/>
  <c r="I532" i="6"/>
  <c r="H532" i="6"/>
  <c r="G532" i="6"/>
  <c r="F532" i="6"/>
  <c r="K531" i="6"/>
  <c r="J531" i="6"/>
  <c r="I531" i="6"/>
  <c r="H531" i="6"/>
  <c r="G531" i="6"/>
  <c r="F531" i="6"/>
  <c r="K530" i="6"/>
  <c r="J530" i="6"/>
  <c r="I530" i="6"/>
  <c r="H530" i="6"/>
  <c r="G530" i="6"/>
  <c r="F530" i="6"/>
  <c r="K529" i="6"/>
  <c r="J529" i="6"/>
  <c r="I529" i="6"/>
  <c r="H529" i="6"/>
  <c r="G529" i="6"/>
  <c r="F529" i="6"/>
  <c r="K528" i="6"/>
  <c r="J528" i="6"/>
  <c r="I528" i="6"/>
  <c r="H528" i="6"/>
  <c r="G528" i="6"/>
  <c r="F528" i="6"/>
  <c r="K527" i="6"/>
  <c r="J527" i="6"/>
  <c r="I527" i="6"/>
  <c r="H527" i="6"/>
  <c r="G527" i="6"/>
  <c r="F527" i="6"/>
  <c r="K526" i="6"/>
  <c r="J526" i="6"/>
  <c r="I526" i="6"/>
  <c r="H526" i="6"/>
  <c r="G526" i="6"/>
  <c r="F526" i="6"/>
  <c r="K525" i="6"/>
  <c r="J525" i="6"/>
  <c r="I525" i="6"/>
  <c r="H525" i="6"/>
  <c r="G525" i="6"/>
  <c r="F525" i="6"/>
  <c r="K524" i="6"/>
  <c r="J524" i="6"/>
  <c r="I524" i="6"/>
  <c r="H524" i="6"/>
  <c r="G524" i="6"/>
  <c r="F524" i="6"/>
  <c r="K523" i="6"/>
  <c r="J523" i="6"/>
  <c r="I523" i="6"/>
  <c r="H523" i="6"/>
  <c r="G523" i="6"/>
  <c r="F523" i="6"/>
  <c r="K522" i="6"/>
  <c r="J522" i="6"/>
  <c r="I522" i="6"/>
  <c r="H522" i="6"/>
  <c r="G522" i="6"/>
  <c r="F522" i="6"/>
  <c r="K521" i="6"/>
  <c r="J521" i="6"/>
  <c r="I521" i="6"/>
  <c r="H521" i="6"/>
  <c r="G521" i="6"/>
  <c r="F521" i="6"/>
  <c r="K520" i="6"/>
  <c r="J520" i="6"/>
  <c r="I520" i="6"/>
  <c r="H520" i="6"/>
  <c r="G520" i="6"/>
  <c r="F520" i="6"/>
  <c r="K519" i="6"/>
  <c r="J519" i="6"/>
  <c r="I519" i="6"/>
  <c r="H519" i="6"/>
  <c r="G519" i="6"/>
  <c r="F519" i="6"/>
  <c r="K518" i="6"/>
  <c r="J518" i="6"/>
  <c r="I518" i="6"/>
  <c r="H518" i="6"/>
  <c r="G518" i="6"/>
  <c r="F518" i="6"/>
  <c r="K517" i="6"/>
  <c r="J517" i="6"/>
  <c r="I517" i="6"/>
  <c r="H517" i="6"/>
  <c r="G517" i="6"/>
  <c r="F517" i="6"/>
  <c r="K516" i="6"/>
  <c r="J516" i="6"/>
  <c r="I516" i="6"/>
  <c r="H516" i="6"/>
  <c r="G516" i="6"/>
  <c r="F516" i="6"/>
  <c r="K515" i="6"/>
  <c r="J515" i="6"/>
  <c r="I515" i="6"/>
  <c r="H515" i="6"/>
  <c r="G515" i="6"/>
  <c r="F515" i="6"/>
  <c r="K514" i="6"/>
  <c r="J514" i="6"/>
  <c r="I514" i="6"/>
  <c r="H514" i="6"/>
  <c r="G514" i="6"/>
  <c r="F514" i="6"/>
  <c r="K513" i="6"/>
  <c r="J513" i="6"/>
  <c r="I513" i="6"/>
  <c r="H513" i="6"/>
  <c r="G513" i="6"/>
  <c r="F513" i="6"/>
  <c r="K512" i="6"/>
  <c r="J512" i="6"/>
  <c r="I512" i="6"/>
  <c r="H512" i="6"/>
  <c r="G512" i="6"/>
  <c r="F512" i="6"/>
  <c r="K511" i="6"/>
  <c r="J511" i="6"/>
  <c r="I511" i="6"/>
  <c r="H511" i="6"/>
  <c r="G511" i="6"/>
  <c r="F511" i="6"/>
  <c r="K510" i="6"/>
  <c r="J510" i="6"/>
  <c r="I510" i="6"/>
  <c r="H510" i="6"/>
  <c r="G510" i="6"/>
  <c r="F510" i="6"/>
  <c r="K509" i="6"/>
  <c r="J509" i="6"/>
  <c r="I509" i="6"/>
  <c r="H509" i="6"/>
  <c r="G509" i="6"/>
  <c r="F509" i="6"/>
  <c r="K508" i="6"/>
  <c r="J508" i="6"/>
  <c r="I508" i="6"/>
  <c r="H508" i="6"/>
  <c r="G508" i="6"/>
  <c r="F508" i="6"/>
  <c r="K507" i="6"/>
  <c r="J507" i="6"/>
  <c r="I507" i="6"/>
  <c r="H507" i="6"/>
  <c r="G507" i="6"/>
  <c r="F507" i="6"/>
  <c r="K506" i="6"/>
  <c r="J506" i="6"/>
  <c r="I506" i="6"/>
  <c r="H506" i="6"/>
  <c r="G506" i="6"/>
  <c r="F506" i="6"/>
  <c r="K505" i="6"/>
  <c r="J505" i="6"/>
  <c r="I505" i="6"/>
  <c r="H505" i="6"/>
  <c r="G505" i="6"/>
  <c r="F505" i="6"/>
  <c r="K504" i="6"/>
  <c r="J504" i="6"/>
  <c r="I504" i="6"/>
  <c r="H504" i="6"/>
  <c r="G504" i="6"/>
  <c r="F504" i="6"/>
  <c r="K503" i="6"/>
  <c r="J503" i="6"/>
  <c r="I503" i="6"/>
  <c r="H503" i="6"/>
  <c r="G503" i="6"/>
  <c r="F503" i="6"/>
  <c r="K502" i="6"/>
  <c r="J502" i="6"/>
  <c r="I502" i="6"/>
  <c r="H502" i="6"/>
  <c r="G502" i="6"/>
  <c r="F502" i="6"/>
  <c r="K501" i="6"/>
  <c r="J501" i="6"/>
  <c r="I501" i="6"/>
  <c r="H501" i="6"/>
  <c r="G501" i="6"/>
  <c r="F501" i="6"/>
  <c r="K500" i="6"/>
  <c r="J500" i="6"/>
  <c r="I500" i="6"/>
  <c r="H500" i="6"/>
  <c r="G500" i="6"/>
  <c r="F500" i="6"/>
  <c r="K499" i="6"/>
  <c r="J499" i="6"/>
  <c r="I499" i="6"/>
  <c r="H499" i="6"/>
  <c r="G499" i="6"/>
  <c r="F499" i="6"/>
  <c r="K498" i="6"/>
  <c r="J498" i="6"/>
  <c r="I498" i="6"/>
  <c r="H498" i="6"/>
  <c r="G498" i="6"/>
  <c r="F498" i="6"/>
  <c r="K497" i="6"/>
  <c r="J497" i="6"/>
  <c r="I497" i="6"/>
  <c r="H497" i="6"/>
  <c r="G497" i="6"/>
  <c r="F497" i="6"/>
  <c r="K496" i="6"/>
  <c r="J496" i="6"/>
  <c r="I496" i="6"/>
  <c r="H496" i="6"/>
  <c r="G496" i="6"/>
  <c r="F496" i="6"/>
  <c r="K495" i="6"/>
  <c r="J495" i="6"/>
  <c r="I495" i="6"/>
  <c r="H495" i="6"/>
  <c r="G495" i="6"/>
  <c r="F495" i="6"/>
  <c r="K494" i="6"/>
  <c r="J494" i="6"/>
  <c r="I494" i="6"/>
  <c r="H494" i="6"/>
  <c r="G494" i="6"/>
  <c r="F494" i="6"/>
  <c r="K493" i="6"/>
  <c r="J493" i="6"/>
  <c r="I493" i="6"/>
  <c r="H493" i="6"/>
  <c r="G493" i="6"/>
  <c r="F493" i="6"/>
  <c r="K492" i="6"/>
  <c r="J492" i="6"/>
  <c r="I492" i="6"/>
  <c r="H492" i="6"/>
  <c r="G492" i="6"/>
  <c r="F492" i="6"/>
  <c r="K491" i="6"/>
  <c r="J491" i="6"/>
  <c r="I491" i="6"/>
  <c r="H491" i="6"/>
  <c r="G491" i="6"/>
  <c r="F491" i="6"/>
  <c r="K490" i="6"/>
  <c r="J490" i="6"/>
  <c r="I490" i="6"/>
  <c r="H490" i="6"/>
  <c r="G490" i="6"/>
  <c r="F490" i="6"/>
  <c r="K489" i="6"/>
  <c r="J489" i="6"/>
  <c r="I489" i="6"/>
  <c r="H489" i="6"/>
  <c r="G489" i="6"/>
  <c r="F489" i="6"/>
  <c r="K488" i="6"/>
  <c r="J488" i="6"/>
  <c r="I488" i="6"/>
  <c r="H488" i="6"/>
  <c r="G488" i="6"/>
  <c r="F488" i="6"/>
  <c r="K487" i="6"/>
  <c r="J487" i="6"/>
  <c r="I487" i="6"/>
  <c r="H487" i="6"/>
  <c r="G487" i="6"/>
  <c r="F487" i="6"/>
  <c r="K486" i="6"/>
  <c r="J486" i="6"/>
  <c r="I486" i="6"/>
  <c r="H486" i="6"/>
  <c r="G486" i="6"/>
  <c r="F486" i="6"/>
  <c r="K485" i="6"/>
  <c r="J485" i="6"/>
  <c r="I485" i="6"/>
  <c r="H485" i="6"/>
  <c r="G485" i="6"/>
  <c r="F485" i="6"/>
  <c r="K484" i="6"/>
  <c r="J484" i="6"/>
  <c r="I484" i="6"/>
  <c r="H484" i="6"/>
  <c r="G484" i="6"/>
  <c r="F484" i="6"/>
  <c r="K483" i="6"/>
  <c r="J483" i="6"/>
  <c r="I483" i="6"/>
  <c r="H483" i="6"/>
  <c r="G483" i="6"/>
  <c r="F483" i="6"/>
  <c r="K482" i="6"/>
  <c r="J482" i="6"/>
  <c r="I482" i="6"/>
  <c r="H482" i="6"/>
  <c r="G482" i="6"/>
  <c r="F482" i="6"/>
  <c r="K481" i="6"/>
  <c r="J481" i="6"/>
  <c r="I481" i="6"/>
  <c r="H481" i="6"/>
  <c r="G481" i="6"/>
  <c r="F481" i="6"/>
  <c r="K480" i="6"/>
  <c r="J480" i="6"/>
  <c r="I480" i="6"/>
  <c r="H480" i="6"/>
  <c r="G480" i="6"/>
  <c r="F480" i="6"/>
  <c r="K479" i="6"/>
  <c r="J479" i="6"/>
  <c r="I479" i="6"/>
  <c r="H479" i="6"/>
  <c r="G479" i="6"/>
  <c r="F479" i="6"/>
  <c r="K478" i="6"/>
  <c r="J478" i="6"/>
  <c r="I478" i="6"/>
  <c r="H478" i="6"/>
  <c r="G478" i="6"/>
  <c r="F478" i="6"/>
  <c r="K477" i="6"/>
  <c r="J477" i="6"/>
  <c r="I477" i="6"/>
  <c r="H477" i="6"/>
  <c r="G477" i="6"/>
  <c r="F477" i="6"/>
  <c r="K476" i="6"/>
  <c r="J476" i="6"/>
  <c r="I476" i="6"/>
  <c r="H476" i="6"/>
  <c r="G476" i="6"/>
  <c r="F476" i="6"/>
  <c r="K475" i="6"/>
  <c r="J475" i="6"/>
  <c r="I475" i="6"/>
  <c r="H475" i="6"/>
  <c r="G475" i="6"/>
  <c r="F475" i="6"/>
  <c r="K474" i="6"/>
  <c r="J474" i="6"/>
  <c r="I474" i="6"/>
  <c r="H474" i="6"/>
  <c r="G474" i="6"/>
  <c r="F474" i="6"/>
  <c r="K473" i="6"/>
  <c r="J473" i="6"/>
  <c r="I473" i="6"/>
  <c r="H473" i="6"/>
  <c r="G473" i="6"/>
  <c r="F473" i="6"/>
  <c r="K472" i="6"/>
  <c r="J472" i="6"/>
  <c r="I472" i="6"/>
  <c r="H472" i="6"/>
  <c r="G472" i="6"/>
  <c r="F472" i="6"/>
  <c r="K471" i="6"/>
  <c r="J471" i="6"/>
  <c r="I471" i="6"/>
  <c r="H471" i="6"/>
  <c r="G471" i="6"/>
  <c r="F471" i="6"/>
  <c r="K470" i="6"/>
  <c r="J470" i="6"/>
  <c r="I470" i="6"/>
  <c r="H470" i="6"/>
  <c r="G470" i="6"/>
  <c r="F470" i="6"/>
  <c r="K469" i="6"/>
  <c r="J469" i="6"/>
  <c r="I469" i="6"/>
  <c r="H469" i="6"/>
  <c r="G469" i="6"/>
  <c r="F469" i="6"/>
  <c r="K468" i="6"/>
  <c r="J468" i="6"/>
  <c r="I468" i="6"/>
  <c r="H468" i="6"/>
  <c r="G468" i="6"/>
  <c r="F468" i="6"/>
  <c r="K467" i="6"/>
  <c r="J467" i="6"/>
  <c r="I467" i="6"/>
  <c r="H467" i="6"/>
  <c r="G467" i="6"/>
  <c r="F467" i="6"/>
  <c r="K466" i="6"/>
  <c r="J466" i="6"/>
  <c r="I466" i="6"/>
  <c r="H466" i="6"/>
  <c r="G466" i="6"/>
  <c r="F466" i="6"/>
  <c r="K465" i="6"/>
  <c r="J465" i="6"/>
  <c r="I465" i="6"/>
  <c r="H465" i="6"/>
  <c r="G465" i="6"/>
  <c r="F465" i="6"/>
  <c r="K464" i="6"/>
  <c r="J464" i="6"/>
  <c r="I464" i="6"/>
  <c r="H464" i="6"/>
  <c r="G464" i="6"/>
  <c r="F464" i="6"/>
  <c r="K463" i="6"/>
  <c r="J463" i="6"/>
  <c r="I463" i="6"/>
  <c r="H463" i="6"/>
  <c r="G463" i="6"/>
  <c r="F463" i="6"/>
  <c r="K462" i="6"/>
  <c r="J462" i="6"/>
  <c r="I462" i="6"/>
  <c r="H462" i="6"/>
  <c r="G462" i="6"/>
  <c r="F462" i="6"/>
  <c r="K461" i="6"/>
  <c r="J461" i="6"/>
  <c r="I461" i="6"/>
  <c r="H461" i="6"/>
  <c r="G461" i="6"/>
  <c r="F461" i="6"/>
  <c r="K460" i="6"/>
  <c r="J460" i="6"/>
  <c r="I460" i="6"/>
  <c r="H460" i="6"/>
  <c r="G460" i="6"/>
  <c r="F460" i="6"/>
  <c r="K459" i="6"/>
  <c r="J459" i="6"/>
  <c r="I459" i="6"/>
  <c r="H459" i="6"/>
  <c r="G459" i="6"/>
  <c r="F459" i="6"/>
  <c r="K458" i="6"/>
  <c r="J458" i="6"/>
  <c r="I458" i="6"/>
  <c r="H458" i="6"/>
  <c r="G458" i="6"/>
  <c r="F458" i="6"/>
  <c r="K457" i="6"/>
  <c r="J457" i="6"/>
  <c r="I457" i="6"/>
  <c r="H457" i="6"/>
  <c r="G457" i="6"/>
  <c r="F457" i="6"/>
  <c r="K456" i="6"/>
  <c r="J456" i="6"/>
  <c r="I456" i="6"/>
  <c r="H456" i="6"/>
  <c r="G456" i="6"/>
  <c r="F456" i="6"/>
  <c r="K455" i="6"/>
  <c r="J455" i="6"/>
  <c r="I455" i="6"/>
  <c r="H455" i="6"/>
  <c r="G455" i="6"/>
  <c r="F455" i="6"/>
  <c r="K454" i="6"/>
  <c r="J454" i="6"/>
  <c r="I454" i="6"/>
  <c r="H454" i="6"/>
  <c r="G454" i="6"/>
  <c r="F454" i="6"/>
  <c r="K453" i="6"/>
  <c r="J453" i="6"/>
  <c r="I453" i="6"/>
  <c r="H453" i="6"/>
  <c r="G453" i="6"/>
  <c r="F453" i="6"/>
  <c r="K452" i="6"/>
  <c r="J452" i="6"/>
  <c r="I452" i="6"/>
  <c r="H452" i="6"/>
  <c r="G452" i="6"/>
  <c r="F452" i="6"/>
  <c r="K451" i="6"/>
  <c r="J451" i="6"/>
  <c r="I451" i="6"/>
  <c r="H451" i="6"/>
  <c r="G451" i="6"/>
  <c r="F451" i="6"/>
  <c r="K450" i="6"/>
  <c r="J450" i="6"/>
  <c r="I450" i="6"/>
  <c r="H450" i="6"/>
  <c r="G450" i="6"/>
  <c r="F450" i="6"/>
  <c r="K449" i="6"/>
  <c r="J449" i="6"/>
  <c r="I449" i="6"/>
  <c r="H449" i="6"/>
  <c r="G449" i="6"/>
  <c r="F449" i="6"/>
  <c r="K448" i="6"/>
  <c r="J448" i="6"/>
  <c r="I448" i="6"/>
  <c r="H448" i="6"/>
  <c r="G448" i="6"/>
  <c r="F448" i="6"/>
  <c r="K447" i="6"/>
  <c r="J447" i="6"/>
  <c r="I447" i="6"/>
  <c r="H447" i="6"/>
  <c r="G447" i="6"/>
  <c r="F447" i="6"/>
  <c r="K446" i="6"/>
  <c r="J446" i="6"/>
  <c r="I446" i="6"/>
  <c r="H446" i="6"/>
  <c r="G446" i="6"/>
  <c r="F446" i="6"/>
  <c r="K445" i="6"/>
  <c r="J445" i="6"/>
  <c r="I445" i="6"/>
  <c r="H445" i="6"/>
  <c r="G445" i="6"/>
  <c r="F445" i="6"/>
  <c r="K444" i="6"/>
  <c r="J444" i="6"/>
  <c r="I444" i="6"/>
  <c r="H444" i="6"/>
  <c r="G444" i="6"/>
  <c r="F444" i="6"/>
  <c r="K443" i="6"/>
  <c r="J443" i="6"/>
  <c r="I443" i="6"/>
  <c r="H443" i="6"/>
  <c r="G443" i="6"/>
  <c r="F443" i="6"/>
  <c r="K442" i="6"/>
  <c r="J442" i="6"/>
  <c r="I442" i="6"/>
  <c r="H442" i="6"/>
  <c r="G442" i="6"/>
  <c r="F442" i="6"/>
  <c r="K441" i="6"/>
  <c r="J441" i="6"/>
  <c r="I441" i="6"/>
  <c r="H441" i="6"/>
  <c r="G441" i="6"/>
  <c r="F441" i="6"/>
  <c r="K440" i="6"/>
  <c r="J440" i="6"/>
  <c r="I440" i="6"/>
  <c r="H440" i="6"/>
  <c r="G440" i="6"/>
  <c r="F440" i="6"/>
  <c r="K439" i="6"/>
  <c r="J439" i="6"/>
  <c r="I439" i="6"/>
  <c r="H439" i="6"/>
  <c r="G439" i="6"/>
  <c r="F439" i="6"/>
  <c r="K438" i="6"/>
  <c r="J438" i="6"/>
  <c r="I438" i="6"/>
  <c r="H438" i="6"/>
  <c r="G438" i="6"/>
  <c r="F438" i="6"/>
  <c r="K437" i="6"/>
  <c r="J437" i="6"/>
  <c r="I437" i="6"/>
  <c r="H437" i="6"/>
  <c r="G437" i="6"/>
  <c r="F437" i="6"/>
  <c r="K436" i="6"/>
  <c r="J436" i="6"/>
  <c r="I436" i="6"/>
  <c r="H436" i="6"/>
  <c r="G436" i="6"/>
  <c r="F436" i="6"/>
  <c r="K435" i="6"/>
  <c r="J435" i="6"/>
  <c r="I435" i="6"/>
  <c r="H435" i="6"/>
  <c r="G435" i="6"/>
  <c r="F435" i="6"/>
  <c r="K434" i="6"/>
  <c r="J434" i="6"/>
  <c r="I434" i="6"/>
  <c r="H434" i="6"/>
  <c r="G434" i="6"/>
  <c r="F434" i="6"/>
  <c r="K433" i="6"/>
  <c r="J433" i="6"/>
  <c r="I433" i="6"/>
  <c r="H433" i="6"/>
  <c r="G433" i="6"/>
  <c r="F433" i="6"/>
  <c r="K432" i="6"/>
  <c r="J432" i="6"/>
  <c r="I432" i="6"/>
  <c r="H432" i="6"/>
  <c r="G432" i="6"/>
  <c r="F432" i="6"/>
  <c r="K431" i="6"/>
  <c r="J431" i="6"/>
  <c r="I431" i="6"/>
  <c r="H431" i="6"/>
  <c r="G431" i="6"/>
  <c r="F431" i="6"/>
  <c r="K430" i="6"/>
  <c r="J430" i="6"/>
  <c r="I430" i="6"/>
  <c r="H430" i="6"/>
  <c r="G430" i="6"/>
  <c r="F430" i="6"/>
  <c r="K429" i="6"/>
  <c r="J429" i="6"/>
  <c r="I429" i="6"/>
  <c r="H429" i="6"/>
  <c r="G429" i="6"/>
  <c r="F429" i="6"/>
  <c r="K428" i="6"/>
  <c r="J428" i="6"/>
  <c r="I428" i="6"/>
  <c r="H428" i="6"/>
  <c r="G428" i="6"/>
  <c r="F428" i="6"/>
  <c r="K427" i="6"/>
  <c r="J427" i="6"/>
  <c r="I427" i="6"/>
  <c r="H427" i="6"/>
  <c r="G427" i="6"/>
  <c r="F427" i="6"/>
  <c r="K426" i="6"/>
  <c r="J426" i="6"/>
  <c r="I426" i="6"/>
  <c r="H426" i="6"/>
  <c r="G426" i="6"/>
  <c r="F426" i="6"/>
  <c r="K425" i="6"/>
  <c r="J425" i="6"/>
  <c r="I425" i="6"/>
  <c r="H425" i="6"/>
  <c r="G425" i="6"/>
  <c r="F425" i="6"/>
  <c r="K424" i="6"/>
  <c r="J424" i="6"/>
  <c r="I424" i="6"/>
  <c r="H424" i="6"/>
  <c r="G424" i="6"/>
  <c r="F424" i="6"/>
  <c r="K423" i="6"/>
  <c r="J423" i="6"/>
  <c r="I423" i="6"/>
  <c r="H423" i="6"/>
  <c r="G423" i="6"/>
  <c r="F423" i="6"/>
  <c r="K422" i="6"/>
  <c r="J422" i="6"/>
  <c r="I422" i="6"/>
  <c r="H422" i="6"/>
  <c r="G422" i="6"/>
  <c r="F422" i="6"/>
  <c r="K421" i="6"/>
  <c r="J421" i="6"/>
  <c r="I421" i="6"/>
  <c r="H421" i="6"/>
  <c r="G421" i="6"/>
  <c r="F421" i="6"/>
  <c r="K420" i="6"/>
  <c r="J420" i="6"/>
  <c r="I420" i="6"/>
  <c r="H420" i="6"/>
  <c r="G420" i="6"/>
  <c r="F420" i="6"/>
  <c r="K419" i="6"/>
  <c r="J419" i="6"/>
  <c r="I419" i="6"/>
  <c r="H419" i="6"/>
  <c r="G419" i="6"/>
  <c r="F419" i="6"/>
  <c r="K418" i="6"/>
  <c r="J418" i="6"/>
  <c r="I418" i="6"/>
  <c r="H418" i="6"/>
  <c r="G418" i="6"/>
  <c r="F418" i="6"/>
  <c r="K417" i="6"/>
  <c r="J417" i="6"/>
  <c r="I417" i="6"/>
  <c r="H417" i="6"/>
  <c r="G417" i="6"/>
  <c r="F417" i="6"/>
  <c r="K416" i="6"/>
  <c r="J416" i="6"/>
  <c r="I416" i="6"/>
  <c r="H416" i="6"/>
  <c r="G416" i="6"/>
  <c r="F416" i="6"/>
  <c r="K415" i="6"/>
  <c r="J415" i="6"/>
  <c r="I415" i="6"/>
  <c r="H415" i="6"/>
  <c r="G415" i="6"/>
  <c r="F415" i="6"/>
  <c r="K414" i="6"/>
  <c r="J414" i="6"/>
  <c r="I414" i="6"/>
  <c r="H414" i="6"/>
  <c r="G414" i="6"/>
  <c r="F414" i="6"/>
  <c r="K413" i="6"/>
  <c r="J413" i="6"/>
  <c r="I413" i="6"/>
  <c r="H413" i="6"/>
  <c r="G413" i="6"/>
  <c r="F413" i="6"/>
  <c r="K412" i="6"/>
  <c r="J412" i="6"/>
  <c r="I412" i="6"/>
  <c r="H412" i="6"/>
  <c r="G412" i="6"/>
  <c r="F412" i="6"/>
  <c r="K411" i="6"/>
  <c r="J411" i="6"/>
  <c r="I411" i="6"/>
  <c r="H411" i="6"/>
  <c r="G411" i="6"/>
  <c r="F411" i="6"/>
  <c r="K410" i="6"/>
  <c r="J410" i="6"/>
  <c r="I410" i="6"/>
  <c r="H410" i="6"/>
  <c r="G410" i="6"/>
  <c r="F410" i="6"/>
  <c r="K409" i="6"/>
  <c r="J409" i="6"/>
  <c r="I409" i="6"/>
  <c r="H409" i="6"/>
  <c r="G409" i="6"/>
  <c r="F409" i="6"/>
  <c r="K408" i="6"/>
  <c r="J408" i="6"/>
  <c r="I408" i="6"/>
  <c r="H408" i="6"/>
  <c r="G408" i="6"/>
  <c r="F408" i="6"/>
  <c r="K407" i="6"/>
  <c r="J407" i="6"/>
  <c r="I407" i="6"/>
  <c r="H407" i="6"/>
  <c r="G407" i="6"/>
  <c r="F407" i="6"/>
  <c r="K406" i="6"/>
  <c r="J406" i="6"/>
  <c r="I406" i="6"/>
  <c r="H406" i="6"/>
  <c r="G406" i="6"/>
  <c r="F406" i="6"/>
  <c r="K405" i="6"/>
  <c r="J405" i="6"/>
  <c r="I405" i="6"/>
  <c r="H405" i="6"/>
  <c r="G405" i="6"/>
  <c r="F405" i="6"/>
  <c r="K404" i="6"/>
  <c r="J404" i="6"/>
  <c r="I404" i="6"/>
  <c r="H404" i="6"/>
  <c r="G404" i="6"/>
  <c r="F404" i="6"/>
  <c r="K403" i="6"/>
  <c r="J403" i="6"/>
  <c r="I403" i="6"/>
  <c r="H403" i="6"/>
  <c r="G403" i="6"/>
  <c r="F403" i="6"/>
  <c r="K402" i="6"/>
  <c r="J402" i="6"/>
  <c r="I402" i="6"/>
  <c r="H402" i="6"/>
  <c r="G402" i="6"/>
  <c r="F402" i="6"/>
  <c r="K401" i="6"/>
  <c r="J401" i="6"/>
  <c r="I401" i="6"/>
  <c r="H401" i="6"/>
  <c r="G401" i="6"/>
  <c r="F401" i="6"/>
  <c r="K400" i="6"/>
  <c r="J400" i="6"/>
  <c r="I400" i="6"/>
  <c r="H400" i="6"/>
  <c r="G400" i="6"/>
  <c r="F400" i="6"/>
  <c r="K399" i="6"/>
  <c r="J399" i="6"/>
  <c r="I399" i="6"/>
  <c r="H399" i="6"/>
  <c r="G399" i="6"/>
  <c r="F399" i="6"/>
  <c r="K398" i="6"/>
  <c r="J398" i="6"/>
  <c r="I398" i="6"/>
  <c r="H398" i="6"/>
  <c r="G398" i="6"/>
  <c r="F398" i="6"/>
  <c r="K397" i="6"/>
  <c r="J397" i="6"/>
  <c r="I397" i="6"/>
  <c r="H397" i="6"/>
  <c r="G397" i="6"/>
  <c r="F397" i="6"/>
  <c r="K396" i="6"/>
  <c r="J396" i="6"/>
  <c r="I396" i="6"/>
  <c r="H396" i="6"/>
  <c r="G396" i="6"/>
  <c r="F396" i="6"/>
  <c r="K395" i="6"/>
  <c r="J395" i="6"/>
  <c r="I395" i="6"/>
  <c r="H395" i="6"/>
  <c r="G395" i="6"/>
  <c r="F395" i="6"/>
  <c r="K394" i="6"/>
  <c r="J394" i="6"/>
  <c r="I394" i="6"/>
  <c r="H394" i="6"/>
  <c r="G394" i="6"/>
  <c r="F394" i="6"/>
  <c r="K393" i="6"/>
  <c r="J393" i="6"/>
  <c r="I393" i="6"/>
  <c r="H393" i="6"/>
  <c r="G393" i="6"/>
  <c r="F393" i="6"/>
  <c r="K392" i="6"/>
  <c r="J392" i="6"/>
  <c r="I392" i="6"/>
  <c r="H392" i="6"/>
  <c r="G392" i="6"/>
  <c r="F392" i="6"/>
  <c r="K391" i="6"/>
  <c r="J391" i="6"/>
  <c r="I391" i="6"/>
  <c r="H391" i="6"/>
  <c r="G391" i="6"/>
  <c r="F391" i="6"/>
  <c r="K390" i="6"/>
  <c r="J390" i="6"/>
  <c r="I390" i="6"/>
  <c r="H390" i="6"/>
  <c r="G390" i="6"/>
  <c r="F390" i="6"/>
  <c r="K389" i="6"/>
  <c r="J389" i="6"/>
  <c r="I389" i="6"/>
  <c r="H389" i="6"/>
  <c r="G389" i="6"/>
  <c r="F389" i="6"/>
  <c r="K388" i="6"/>
  <c r="J388" i="6"/>
  <c r="I388" i="6"/>
  <c r="H388" i="6"/>
  <c r="G388" i="6"/>
  <c r="F388" i="6"/>
  <c r="K387" i="6"/>
  <c r="J387" i="6"/>
  <c r="I387" i="6"/>
  <c r="H387" i="6"/>
  <c r="G387" i="6"/>
  <c r="F387" i="6"/>
  <c r="K386" i="6"/>
  <c r="J386" i="6"/>
  <c r="I386" i="6"/>
  <c r="H386" i="6"/>
  <c r="G386" i="6"/>
  <c r="F386" i="6"/>
  <c r="K385" i="6"/>
  <c r="J385" i="6"/>
  <c r="I385" i="6"/>
  <c r="H385" i="6"/>
  <c r="G385" i="6"/>
  <c r="F385" i="6"/>
  <c r="K384" i="6"/>
  <c r="J384" i="6"/>
  <c r="I384" i="6"/>
  <c r="H384" i="6"/>
  <c r="G384" i="6"/>
  <c r="F384" i="6"/>
  <c r="K383" i="6"/>
  <c r="J383" i="6"/>
  <c r="I383" i="6"/>
  <c r="H383" i="6"/>
  <c r="G383" i="6"/>
  <c r="F383" i="6"/>
  <c r="K382" i="6"/>
  <c r="J382" i="6"/>
  <c r="I382" i="6"/>
  <c r="H382" i="6"/>
  <c r="G382" i="6"/>
  <c r="F382" i="6"/>
  <c r="K381" i="6"/>
  <c r="J381" i="6"/>
  <c r="I381" i="6"/>
  <c r="H381" i="6"/>
  <c r="G381" i="6"/>
  <c r="F381" i="6"/>
  <c r="K380" i="6"/>
  <c r="J380" i="6"/>
  <c r="I380" i="6"/>
  <c r="H380" i="6"/>
  <c r="G380" i="6"/>
  <c r="F380" i="6"/>
  <c r="K379" i="6"/>
  <c r="J379" i="6"/>
  <c r="I379" i="6"/>
  <c r="H379" i="6"/>
  <c r="G379" i="6"/>
  <c r="F379" i="6"/>
  <c r="K378" i="6"/>
  <c r="J378" i="6"/>
  <c r="I378" i="6"/>
  <c r="H378" i="6"/>
  <c r="G378" i="6"/>
  <c r="F378" i="6"/>
  <c r="K377" i="6"/>
  <c r="J377" i="6"/>
  <c r="I377" i="6"/>
  <c r="H377" i="6"/>
  <c r="G377" i="6"/>
  <c r="F377" i="6"/>
  <c r="K376" i="6"/>
  <c r="J376" i="6"/>
  <c r="I376" i="6"/>
  <c r="H376" i="6"/>
  <c r="G376" i="6"/>
  <c r="F376" i="6"/>
  <c r="K375" i="6"/>
  <c r="J375" i="6"/>
  <c r="I375" i="6"/>
  <c r="H375" i="6"/>
  <c r="G375" i="6"/>
  <c r="F375" i="6"/>
  <c r="K374" i="6"/>
  <c r="J374" i="6"/>
  <c r="I374" i="6"/>
  <c r="H374" i="6"/>
  <c r="G374" i="6"/>
  <c r="F374" i="6"/>
  <c r="K373" i="6"/>
  <c r="J373" i="6"/>
  <c r="I373" i="6"/>
  <c r="H373" i="6"/>
  <c r="G373" i="6"/>
  <c r="F373" i="6"/>
  <c r="K372" i="6"/>
  <c r="J372" i="6"/>
  <c r="I372" i="6"/>
  <c r="H372" i="6"/>
  <c r="G372" i="6"/>
  <c r="F372" i="6"/>
  <c r="K371" i="6"/>
  <c r="J371" i="6"/>
  <c r="I371" i="6"/>
  <c r="H371" i="6"/>
  <c r="G371" i="6"/>
  <c r="F371" i="6"/>
  <c r="K370" i="6"/>
  <c r="J370" i="6"/>
  <c r="I370" i="6"/>
  <c r="H370" i="6"/>
  <c r="G370" i="6"/>
  <c r="F370" i="6"/>
  <c r="K369" i="6"/>
  <c r="J369" i="6"/>
  <c r="I369" i="6"/>
  <c r="H369" i="6"/>
  <c r="G369" i="6"/>
  <c r="F369" i="6"/>
  <c r="K368" i="6"/>
  <c r="J368" i="6"/>
  <c r="I368" i="6"/>
  <c r="H368" i="6"/>
  <c r="G368" i="6"/>
  <c r="F368" i="6"/>
  <c r="K367" i="6"/>
  <c r="J367" i="6"/>
  <c r="I367" i="6"/>
  <c r="H367" i="6"/>
  <c r="G367" i="6"/>
  <c r="F367" i="6"/>
  <c r="K366" i="6"/>
  <c r="J366" i="6"/>
  <c r="I366" i="6"/>
  <c r="H366" i="6"/>
  <c r="G366" i="6"/>
  <c r="F366" i="6"/>
  <c r="K365" i="6"/>
  <c r="J365" i="6"/>
  <c r="I365" i="6"/>
  <c r="H365" i="6"/>
  <c r="G365" i="6"/>
  <c r="F365" i="6"/>
  <c r="K364" i="6"/>
  <c r="J364" i="6"/>
  <c r="I364" i="6"/>
  <c r="H364" i="6"/>
  <c r="G364" i="6"/>
  <c r="F364" i="6"/>
  <c r="K363" i="6"/>
  <c r="J363" i="6"/>
  <c r="I363" i="6"/>
  <c r="H363" i="6"/>
  <c r="G363" i="6"/>
  <c r="F363" i="6"/>
  <c r="K362" i="6"/>
  <c r="J362" i="6"/>
  <c r="I362" i="6"/>
  <c r="H362" i="6"/>
  <c r="G362" i="6"/>
  <c r="F362" i="6"/>
  <c r="K361" i="6"/>
  <c r="J361" i="6"/>
  <c r="I361" i="6"/>
  <c r="H361" i="6"/>
  <c r="G361" i="6"/>
  <c r="F361" i="6"/>
  <c r="K360" i="6"/>
  <c r="J360" i="6"/>
  <c r="I360" i="6"/>
  <c r="H360" i="6"/>
  <c r="G360" i="6"/>
  <c r="F360" i="6"/>
  <c r="K359" i="6"/>
  <c r="J359" i="6"/>
  <c r="I359" i="6"/>
  <c r="H359" i="6"/>
  <c r="G359" i="6"/>
  <c r="F359" i="6"/>
  <c r="K358" i="6"/>
  <c r="J358" i="6"/>
  <c r="I358" i="6"/>
  <c r="H358" i="6"/>
  <c r="G358" i="6"/>
  <c r="F358" i="6"/>
  <c r="K357" i="6"/>
  <c r="J357" i="6"/>
  <c r="I357" i="6"/>
  <c r="H357" i="6"/>
  <c r="G357" i="6"/>
  <c r="F357" i="6"/>
  <c r="K356" i="6"/>
  <c r="J356" i="6"/>
  <c r="I356" i="6"/>
  <c r="H356" i="6"/>
  <c r="G356" i="6"/>
  <c r="F356" i="6"/>
  <c r="K355" i="6"/>
  <c r="J355" i="6"/>
  <c r="I355" i="6"/>
  <c r="H355" i="6"/>
  <c r="G355" i="6"/>
  <c r="F355" i="6"/>
  <c r="K354" i="6"/>
  <c r="J354" i="6"/>
  <c r="I354" i="6"/>
  <c r="H354" i="6"/>
  <c r="G354" i="6"/>
  <c r="F354" i="6"/>
  <c r="K353" i="6"/>
  <c r="J353" i="6"/>
  <c r="I353" i="6"/>
  <c r="H353" i="6"/>
  <c r="G353" i="6"/>
  <c r="F353" i="6"/>
  <c r="K352" i="6"/>
  <c r="J352" i="6"/>
  <c r="I352" i="6"/>
  <c r="H352" i="6"/>
  <c r="G352" i="6"/>
  <c r="F352" i="6"/>
  <c r="K351" i="6"/>
  <c r="J351" i="6"/>
  <c r="I351" i="6"/>
  <c r="H351" i="6"/>
  <c r="G351" i="6"/>
  <c r="F351" i="6"/>
  <c r="K350" i="6"/>
  <c r="J350" i="6"/>
  <c r="I350" i="6"/>
  <c r="H350" i="6"/>
  <c r="G350" i="6"/>
  <c r="F350" i="6"/>
  <c r="K349" i="6"/>
  <c r="J349" i="6"/>
  <c r="I349" i="6"/>
  <c r="H349" i="6"/>
  <c r="G349" i="6"/>
  <c r="F349" i="6"/>
  <c r="K348" i="6"/>
  <c r="J348" i="6"/>
  <c r="I348" i="6"/>
  <c r="H348" i="6"/>
  <c r="G348" i="6"/>
  <c r="F348" i="6"/>
  <c r="K347" i="6"/>
  <c r="J347" i="6"/>
  <c r="I347" i="6"/>
  <c r="H347" i="6"/>
  <c r="G347" i="6"/>
  <c r="F347" i="6"/>
  <c r="K346" i="6"/>
  <c r="J346" i="6"/>
  <c r="I346" i="6"/>
  <c r="H346" i="6"/>
  <c r="G346" i="6"/>
  <c r="F346" i="6"/>
  <c r="K345" i="6"/>
  <c r="J345" i="6"/>
  <c r="I345" i="6"/>
  <c r="H345" i="6"/>
  <c r="G345" i="6"/>
  <c r="F345" i="6"/>
  <c r="K344" i="6"/>
  <c r="J344" i="6"/>
  <c r="I344" i="6"/>
  <c r="H344" i="6"/>
  <c r="G344" i="6"/>
  <c r="F344" i="6"/>
  <c r="K343" i="6"/>
  <c r="J343" i="6"/>
  <c r="I343" i="6"/>
  <c r="H343" i="6"/>
  <c r="G343" i="6"/>
  <c r="F343" i="6"/>
  <c r="J342" i="6"/>
  <c r="I342" i="6"/>
  <c r="H342" i="6"/>
  <c r="G342" i="6"/>
  <c r="F342" i="6"/>
  <c r="K341" i="6"/>
  <c r="J341" i="6"/>
  <c r="I341" i="6"/>
  <c r="H341" i="6"/>
  <c r="G341" i="6"/>
  <c r="F341" i="6"/>
  <c r="K340" i="6"/>
  <c r="J340" i="6"/>
  <c r="I340" i="6"/>
  <c r="H340" i="6"/>
  <c r="G340" i="6"/>
  <c r="F340" i="6"/>
  <c r="K339" i="6"/>
  <c r="J339" i="6"/>
  <c r="I339" i="6"/>
  <c r="H339" i="6"/>
  <c r="G339" i="6"/>
  <c r="F339" i="6"/>
  <c r="K338" i="6"/>
  <c r="J338" i="6"/>
  <c r="I338" i="6"/>
  <c r="H338" i="6"/>
  <c r="G338" i="6"/>
  <c r="F338" i="6"/>
  <c r="K337" i="6"/>
  <c r="J337" i="6"/>
  <c r="I337" i="6"/>
  <c r="H337" i="6"/>
  <c r="G337" i="6"/>
  <c r="F337" i="6"/>
  <c r="K336" i="6"/>
  <c r="J336" i="6"/>
  <c r="I336" i="6"/>
  <c r="H336" i="6"/>
  <c r="G336" i="6"/>
  <c r="F336" i="6"/>
  <c r="K335" i="6"/>
  <c r="J335" i="6"/>
  <c r="I335" i="6"/>
  <c r="H335" i="6"/>
  <c r="G335" i="6"/>
  <c r="F335" i="6"/>
  <c r="K334" i="6"/>
  <c r="J334" i="6"/>
  <c r="I334" i="6"/>
  <c r="H334" i="6"/>
  <c r="G334" i="6"/>
  <c r="F334" i="6"/>
  <c r="K333" i="6"/>
  <c r="J333" i="6"/>
  <c r="I333" i="6"/>
  <c r="H333" i="6"/>
  <c r="G333" i="6"/>
  <c r="F333" i="6"/>
  <c r="K332" i="6"/>
  <c r="J332" i="6"/>
  <c r="I332" i="6"/>
  <c r="H332" i="6"/>
  <c r="G332" i="6"/>
  <c r="F332" i="6"/>
  <c r="K331" i="6"/>
  <c r="J331" i="6"/>
  <c r="I331" i="6"/>
  <c r="H331" i="6"/>
  <c r="G331" i="6"/>
  <c r="F331" i="6"/>
  <c r="K330" i="6"/>
  <c r="J330" i="6"/>
  <c r="I330" i="6"/>
  <c r="H330" i="6"/>
  <c r="G330" i="6"/>
  <c r="F330" i="6"/>
  <c r="K329" i="6"/>
  <c r="J329" i="6"/>
  <c r="I329" i="6"/>
  <c r="H329" i="6"/>
  <c r="G329" i="6"/>
  <c r="F329" i="6"/>
  <c r="K328" i="6"/>
  <c r="J328" i="6"/>
  <c r="I328" i="6"/>
  <c r="H328" i="6"/>
  <c r="G328" i="6"/>
  <c r="F328" i="6"/>
  <c r="K327" i="6"/>
  <c r="J327" i="6"/>
  <c r="I327" i="6"/>
  <c r="H327" i="6"/>
  <c r="G327" i="6"/>
  <c r="F327" i="6"/>
  <c r="K326" i="6"/>
  <c r="J326" i="6"/>
  <c r="I326" i="6"/>
  <c r="H326" i="6"/>
  <c r="G326" i="6"/>
  <c r="F326" i="6"/>
  <c r="K325" i="6"/>
  <c r="J325" i="6"/>
  <c r="I325" i="6"/>
  <c r="H325" i="6"/>
  <c r="G325" i="6"/>
  <c r="F325" i="6"/>
  <c r="K324" i="6"/>
  <c r="J324" i="6"/>
  <c r="I324" i="6"/>
  <c r="H324" i="6"/>
  <c r="G324" i="6"/>
  <c r="F324" i="6"/>
  <c r="K323" i="6"/>
  <c r="J323" i="6"/>
  <c r="I323" i="6"/>
  <c r="H323" i="6"/>
  <c r="G323" i="6"/>
  <c r="F323" i="6"/>
  <c r="K322" i="6"/>
  <c r="J322" i="6"/>
  <c r="I322" i="6"/>
  <c r="H322" i="6"/>
  <c r="G322" i="6"/>
  <c r="F322" i="6"/>
  <c r="K321" i="6"/>
  <c r="J321" i="6"/>
  <c r="I321" i="6"/>
  <c r="H321" i="6"/>
  <c r="G321" i="6"/>
  <c r="F321" i="6"/>
  <c r="K320" i="6"/>
  <c r="J320" i="6"/>
  <c r="I320" i="6"/>
  <c r="H320" i="6"/>
  <c r="G320" i="6"/>
  <c r="F320" i="6"/>
  <c r="K319" i="6"/>
  <c r="J319" i="6"/>
  <c r="I319" i="6"/>
  <c r="H319" i="6"/>
  <c r="G319" i="6"/>
  <c r="F319" i="6"/>
  <c r="K318" i="6"/>
  <c r="J318" i="6"/>
  <c r="I318" i="6"/>
  <c r="H318" i="6"/>
  <c r="G318" i="6"/>
  <c r="F318" i="6"/>
  <c r="K317" i="6"/>
  <c r="J317" i="6"/>
  <c r="I317" i="6"/>
  <c r="H317" i="6"/>
  <c r="G317" i="6"/>
  <c r="F317" i="6"/>
  <c r="K316" i="6"/>
  <c r="J316" i="6"/>
  <c r="I316" i="6"/>
  <c r="H316" i="6"/>
  <c r="G316" i="6"/>
  <c r="F316" i="6"/>
  <c r="K315" i="6"/>
  <c r="J315" i="6"/>
  <c r="I315" i="6"/>
  <c r="H315" i="6"/>
  <c r="G315" i="6"/>
  <c r="F315" i="6"/>
  <c r="K314" i="6"/>
  <c r="J314" i="6"/>
  <c r="I314" i="6"/>
  <c r="H314" i="6"/>
  <c r="G314" i="6"/>
  <c r="F314" i="6"/>
  <c r="K313" i="6"/>
  <c r="J313" i="6"/>
  <c r="I313" i="6"/>
  <c r="H313" i="6"/>
  <c r="G313" i="6"/>
  <c r="F313" i="6"/>
  <c r="K312" i="6"/>
  <c r="J312" i="6"/>
  <c r="I312" i="6"/>
  <c r="H312" i="6"/>
  <c r="G312" i="6"/>
  <c r="F312" i="6"/>
  <c r="K311" i="6"/>
  <c r="J311" i="6"/>
  <c r="I311" i="6"/>
  <c r="H311" i="6"/>
  <c r="G311" i="6"/>
  <c r="F311" i="6"/>
  <c r="K310" i="6"/>
  <c r="J310" i="6"/>
  <c r="I310" i="6"/>
  <c r="H310" i="6"/>
  <c r="G310" i="6"/>
  <c r="F310" i="6"/>
  <c r="K309" i="6"/>
  <c r="J309" i="6"/>
  <c r="I309" i="6"/>
  <c r="H309" i="6"/>
  <c r="G309" i="6"/>
  <c r="F309" i="6"/>
  <c r="K308" i="6"/>
  <c r="J308" i="6"/>
  <c r="I308" i="6"/>
  <c r="H308" i="6"/>
  <c r="G308" i="6"/>
  <c r="F308" i="6"/>
  <c r="K307" i="6"/>
  <c r="J307" i="6"/>
  <c r="I307" i="6"/>
  <c r="H307" i="6"/>
  <c r="G307" i="6"/>
  <c r="F307" i="6"/>
  <c r="K306" i="6"/>
  <c r="J306" i="6"/>
  <c r="I306" i="6"/>
  <c r="H306" i="6"/>
  <c r="G306" i="6"/>
  <c r="F306" i="6"/>
  <c r="K305" i="6"/>
  <c r="J305" i="6"/>
  <c r="I305" i="6"/>
  <c r="H305" i="6"/>
  <c r="G305" i="6"/>
  <c r="F305" i="6"/>
  <c r="K304" i="6"/>
  <c r="J304" i="6"/>
  <c r="I304" i="6"/>
  <c r="H304" i="6"/>
  <c r="G304" i="6"/>
  <c r="F304" i="6"/>
  <c r="K303" i="6"/>
  <c r="J303" i="6"/>
  <c r="I303" i="6"/>
  <c r="H303" i="6"/>
  <c r="G303" i="6"/>
  <c r="F303" i="6"/>
  <c r="K302" i="6"/>
  <c r="J302" i="6"/>
  <c r="I302" i="6"/>
  <c r="H302" i="6"/>
  <c r="G302" i="6"/>
  <c r="F302" i="6"/>
  <c r="K301" i="6"/>
  <c r="J301" i="6"/>
  <c r="I301" i="6"/>
  <c r="H301" i="6"/>
  <c r="G301" i="6"/>
  <c r="F301" i="6"/>
  <c r="K300" i="6"/>
  <c r="J300" i="6"/>
  <c r="I300" i="6"/>
  <c r="H300" i="6"/>
  <c r="G300" i="6"/>
  <c r="F300" i="6"/>
  <c r="K299" i="6"/>
  <c r="J299" i="6"/>
  <c r="I299" i="6"/>
  <c r="H299" i="6"/>
  <c r="G299" i="6"/>
  <c r="F299" i="6"/>
  <c r="K298" i="6"/>
  <c r="J298" i="6"/>
  <c r="I298" i="6"/>
  <c r="H298" i="6"/>
  <c r="G298" i="6"/>
  <c r="F298" i="6"/>
  <c r="K297" i="6"/>
  <c r="J297" i="6"/>
  <c r="I297" i="6"/>
  <c r="H297" i="6"/>
  <c r="G297" i="6"/>
  <c r="F297" i="6"/>
  <c r="K296" i="6"/>
  <c r="J296" i="6"/>
  <c r="I296" i="6"/>
  <c r="H296" i="6"/>
  <c r="G296" i="6"/>
  <c r="F296" i="6"/>
  <c r="K295" i="6"/>
  <c r="J295" i="6"/>
  <c r="I295" i="6"/>
  <c r="H295" i="6"/>
  <c r="G295" i="6"/>
  <c r="F295" i="6"/>
  <c r="K294" i="6"/>
  <c r="J294" i="6"/>
  <c r="I294" i="6"/>
  <c r="H294" i="6"/>
  <c r="G294" i="6"/>
  <c r="F294" i="6"/>
  <c r="K293" i="6"/>
  <c r="J293" i="6"/>
  <c r="I293" i="6"/>
  <c r="H293" i="6"/>
  <c r="G293" i="6"/>
  <c r="F293" i="6"/>
  <c r="K292" i="6"/>
  <c r="J292" i="6"/>
  <c r="I292" i="6"/>
  <c r="H292" i="6"/>
  <c r="G292" i="6"/>
  <c r="F292" i="6"/>
  <c r="K291" i="6"/>
  <c r="J291" i="6"/>
  <c r="I291" i="6"/>
  <c r="H291" i="6"/>
  <c r="G291" i="6"/>
  <c r="F291" i="6"/>
  <c r="K290" i="6"/>
  <c r="J290" i="6"/>
  <c r="I290" i="6"/>
  <c r="H290" i="6"/>
  <c r="G290" i="6"/>
  <c r="F290" i="6"/>
  <c r="K289" i="6"/>
  <c r="J289" i="6"/>
  <c r="I289" i="6"/>
  <c r="H289" i="6"/>
  <c r="G289" i="6"/>
  <c r="F289" i="6"/>
  <c r="K288" i="6"/>
  <c r="J288" i="6"/>
  <c r="I288" i="6"/>
  <c r="H288" i="6"/>
  <c r="G288" i="6"/>
  <c r="F288" i="6"/>
  <c r="K287" i="6"/>
  <c r="J287" i="6"/>
  <c r="I287" i="6"/>
  <c r="H287" i="6"/>
  <c r="G287" i="6"/>
  <c r="F287" i="6"/>
  <c r="K286" i="6"/>
  <c r="J286" i="6"/>
  <c r="I286" i="6"/>
  <c r="H286" i="6"/>
  <c r="G286" i="6"/>
  <c r="F286" i="6"/>
  <c r="K285" i="6"/>
  <c r="J285" i="6"/>
  <c r="I285" i="6"/>
  <c r="H285" i="6"/>
  <c r="G285" i="6"/>
  <c r="F285" i="6"/>
  <c r="K284" i="6"/>
  <c r="J284" i="6"/>
  <c r="I284" i="6"/>
  <c r="H284" i="6"/>
  <c r="G284" i="6"/>
  <c r="F284" i="6"/>
  <c r="K283" i="6"/>
  <c r="J283" i="6"/>
  <c r="I283" i="6"/>
  <c r="H283" i="6"/>
  <c r="G283" i="6"/>
  <c r="F283" i="6"/>
  <c r="K282" i="6"/>
  <c r="J282" i="6"/>
  <c r="I282" i="6"/>
  <c r="H282" i="6"/>
  <c r="G282" i="6"/>
  <c r="F282" i="6"/>
  <c r="K281" i="6"/>
  <c r="J281" i="6"/>
  <c r="I281" i="6"/>
  <c r="H281" i="6"/>
  <c r="G281" i="6"/>
  <c r="F281" i="6"/>
  <c r="K280" i="6"/>
  <c r="J280" i="6"/>
  <c r="I280" i="6"/>
  <c r="H280" i="6"/>
  <c r="G280" i="6"/>
  <c r="F280" i="6"/>
  <c r="K279" i="6"/>
  <c r="J279" i="6"/>
  <c r="I279" i="6"/>
  <c r="H279" i="6"/>
  <c r="G279" i="6"/>
  <c r="F279" i="6"/>
  <c r="K278" i="6"/>
  <c r="J278" i="6"/>
  <c r="I278" i="6"/>
  <c r="H278" i="6"/>
  <c r="G278" i="6"/>
  <c r="F278" i="6"/>
  <c r="K277" i="6"/>
  <c r="J277" i="6"/>
  <c r="I277" i="6"/>
  <c r="H277" i="6"/>
  <c r="G277" i="6"/>
  <c r="F277" i="6"/>
  <c r="K276" i="6"/>
  <c r="J276" i="6"/>
  <c r="I276" i="6"/>
  <c r="H276" i="6"/>
  <c r="G276" i="6"/>
  <c r="F276" i="6"/>
  <c r="K275" i="6"/>
  <c r="J275" i="6"/>
  <c r="I275" i="6"/>
  <c r="H275" i="6"/>
  <c r="G275" i="6"/>
  <c r="F275" i="6"/>
  <c r="K274" i="6"/>
  <c r="J274" i="6"/>
  <c r="I274" i="6"/>
  <c r="H274" i="6"/>
  <c r="G274" i="6"/>
  <c r="F274" i="6"/>
  <c r="K273" i="6"/>
  <c r="J273" i="6"/>
  <c r="I273" i="6"/>
  <c r="H273" i="6"/>
  <c r="G273" i="6"/>
  <c r="F273" i="6"/>
  <c r="K272" i="6"/>
  <c r="J272" i="6"/>
  <c r="I272" i="6"/>
  <c r="H272" i="6"/>
  <c r="G272" i="6"/>
  <c r="F272" i="6"/>
  <c r="K271" i="6"/>
  <c r="J271" i="6"/>
  <c r="I271" i="6"/>
  <c r="H271" i="6"/>
  <c r="G271" i="6"/>
  <c r="F271" i="6"/>
  <c r="K270" i="6"/>
  <c r="J270" i="6"/>
  <c r="I270" i="6"/>
  <c r="H270" i="6"/>
  <c r="G270" i="6"/>
  <c r="F270" i="6"/>
  <c r="K269" i="6"/>
  <c r="J269" i="6"/>
  <c r="I269" i="6"/>
  <c r="H269" i="6"/>
  <c r="G269" i="6"/>
  <c r="F269" i="6"/>
  <c r="K268" i="6"/>
  <c r="J268" i="6"/>
  <c r="I268" i="6"/>
  <c r="H268" i="6"/>
  <c r="G268" i="6"/>
  <c r="F268" i="6"/>
  <c r="K267" i="6"/>
  <c r="J267" i="6"/>
  <c r="I267" i="6"/>
  <c r="H267" i="6"/>
  <c r="G267" i="6"/>
  <c r="F267" i="6"/>
  <c r="K266" i="6"/>
  <c r="J266" i="6"/>
  <c r="I266" i="6"/>
  <c r="H266" i="6"/>
  <c r="G266" i="6"/>
  <c r="F266" i="6"/>
  <c r="K265" i="6"/>
  <c r="J265" i="6"/>
  <c r="I265" i="6"/>
  <c r="H265" i="6"/>
  <c r="G265" i="6"/>
  <c r="F265" i="6"/>
  <c r="K264" i="6"/>
  <c r="J264" i="6"/>
  <c r="I264" i="6"/>
  <c r="H264" i="6"/>
  <c r="G264" i="6"/>
  <c r="F264" i="6"/>
  <c r="K263" i="6"/>
  <c r="J263" i="6"/>
  <c r="I263" i="6"/>
  <c r="H263" i="6"/>
  <c r="G263" i="6"/>
  <c r="F263" i="6"/>
  <c r="K262" i="6"/>
  <c r="J262" i="6"/>
  <c r="I262" i="6"/>
  <c r="H262" i="6"/>
  <c r="G262" i="6"/>
  <c r="F262" i="6"/>
  <c r="K261" i="6"/>
  <c r="J261" i="6"/>
  <c r="I261" i="6"/>
  <c r="H261" i="6"/>
  <c r="G261" i="6"/>
  <c r="F261" i="6"/>
  <c r="K260" i="6"/>
  <c r="J260" i="6"/>
  <c r="I260" i="6"/>
  <c r="H260" i="6"/>
  <c r="G260" i="6"/>
  <c r="F260" i="6"/>
  <c r="K259" i="6"/>
  <c r="J259" i="6"/>
  <c r="I259" i="6"/>
  <c r="H259" i="6"/>
  <c r="G259" i="6"/>
  <c r="F259" i="6"/>
  <c r="K258" i="6"/>
  <c r="J258" i="6"/>
  <c r="I258" i="6"/>
  <c r="H258" i="6"/>
  <c r="G258" i="6"/>
  <c r="F258" i="6"/>
  <c r="K257" i="6"/>
  <c r="J257" i="6"/>
  <c r="I257" i="6"/>
  <c r="H257" i="6"/>
  <c r="G257" i="6"/>
  <c r="F257" i="6"/>
  <c r="K256" i="6"/>
  <c r="J256" i="6"/>
  <c r="I256" i="6"/>
  <c r="H256" i="6"/>
  <c r="G256" i="6"/>
  <c r="F256" i="6"/>
  <c r="K255" i="6"/>
  <c r="J255" i="6"/>
  <c r="I255" i="6"/>
  <c r="H255" i="6"/>
  <c r="G255" i="6"/>
  <c r="F255" i="6"/>
  <c r="K254" i="6"/>
  <c r="J254" i="6"/>
  <c r="I254" i="6"/>
  <c r="H254" i="6"/>
  <c r="G254" i="6"/>
  <c r="F254" i="6"/>
  <c r="K253" i="6"/>
  <c r="J253" i="6"/>
  <c r="I253" i="6"/>
  <c r="H253" i="6"/>
  <c r="G253" i="6"/>
  <c r="F253" i="6"/>
  <c r="K252" i="6"/>
  <c r="J252" i="6"/>
  <c r="I252" i="6"/>
  <c r="H252" i="6"/>
  <c r="G252" i="6"/>
  <c r="F252" i="6"/>
  <c r="K251" i="6"/>
  <c r="J251" i="6"/>
  <c r="I251" i="6"/>
  <c r="H251" i="6"/>
  <c r="G251" i="6"/>
  <c r="F251" i="6"/>
  <c r="K250" i="6"/>
  <c r="J250" i="6"/>
  <c r="I250" i="6"/>
  <c r="H250" i="6"/>
  <c r="G250" i="6"/>
  <c r="F250" i="6"/>
  <c r="K249" i="6"/>
  <c r="J249" i="6"/>
  <c r="I249" i="6"/>
  <c r="H249" i="6"/>
  <c r="G249" i="6"/>
  <c r="F249" i="6"/>
  <c r="K248" i="6"/>
  <c r="J248" i="6"/>
  <c r="I248" i="6"/>
  <c r="H248" i="6"/>
  <c r="G248" i="6"/>
  <c r="F248" i="6"/>
  <c r="K247" i="6"/>
  <c r="J247" i="6"/>
  <c r="I247" i="6"/>
  <c r="H247" i="6"/>
  <c r="G247" i="6"/>
  <c r="F247" i="6"/>
  <c r="K246" i="6"/>
  <c r="J246" i="6"/>
  <c r="I246" i="6"/>
  <c r="H246" i="6"/>
  <c r="G246" i="6"/>
  <c r="F246" i="6"/>
  <c r="K245" i="6"/>
  <c r="J245" i="6"/>
  <c r="I245" i="6"/>
  <c r="H245" i="6"/>
  <c r="G245" i="6"/>
  <c r="F245" i="6"/>
  <c r="K244" i="6"/>
  <c r="J244" i="6"/>
  <c r="I244" i="6"/>
  <c r="H244" i="6"/>
  <c r="G244" i="6"/>
  <c r="F244" i="6"/>
  <c r="K243" i="6"/>
  <c r="J243" i="6"/>
  <c r="I243" i="6"/>
  <c r="H243" i="6"/>
  <c r="G243" i="6"/>
  <c r="F243" i="6"/>
  <c r="K242" i="6"/>
  <c r="J242" i="6"/>
  <c r="I242" i="6"/>
  <c r="H242" i="6"/>
  <c r="G242" i="6"/>
  <c r="F242" i="6"/>
  <c r="K241" i="6"/>
  <c r="J241" i="6"/>
  <c r="I241" i="6"/>
  <c r="H241" i="6"/>
  <c r="G241" i="6"/>
  <c r="F241" i="6"/>
  <c r="K240" i="6"/>
  <c r="J240" i="6"/>
  <c r="I240" i="6"/>
  <c r="H240" i="6"/>
  <c r="G240" i="6"/>
  <c r="F240" i="6"/>
  <c r="K239" i="6"/>
  <c r="J239" i="6"/>
  <c r="I239" i="6"/>
  <c r="H239" i="6"/>
  <c r="G239" i="6"/>
  <c r="F239" i="6"/>
  <c r="K238" i="6"/>
  <c r="J238" i="6"/>
  <c r="I238" i="6"/>
  <c r="H238" i="6"/>
  <c r="G238" i="6"/>
  <c r="F238" i="6"/>
  <c r="K237" i="6"/>
  <c r="J237" i="6"/>
  <c r="I237" i="6"/>
  <c r="H237" i="6"/>
  <c r="G237" i="6"/>
  <c r="F237" i="6"/>
  <c r="K236" i="6"/>
  <c r="J236" i="6"/>
  <c r="I236" i="6"/>
  <c r="H236" i="6"/>
  <c r="G236" i="6"/>
  <c r="F236" i="6"/>
  <c r="K235" i="6"/>
  <c r="J235" i="6"/>
  <c r="I235" i="6"/>
  <c r="H235" i="6"/>
  <c r="G235" i="6"/>
  <c r="F235" i="6"/>
  <c r="K234" i="6"/>
  <c r="J234" i="6"/>
  <c r="I234" i="6"/>
  <c r="H234" i="6"/>
  <c r="G234" i="6"/>
  <c r="F234" i="6"/>
  <c r="K233" i="6"/>
  <c r="J233" i="6"/>
  <c r="I233" i="6"/>
  <c r="H233" i="6"/>
  <c r="G233" i="6"/>
  <c r="F233" i="6"/>
  <c r="K232" i="6"/>
  <c r="J232" i="6"/>
  <c r="I232" i="6"/>
  <c r="H232" i="6"/>
  <c r="G232" i="6"/>
  <c r="F232" i="6"/>
  <c r="K231" i="6"/>
  <c r="J231" i="6"/>
  <c r="I231" i="6"/>
  <c r="H231" i="6"/>
  <c r="G231" i="6"/>
  <c r="F231" i="6"/>
  <c r="K230" i="6"/>
  <c r="J230" i="6"/>
  <c r="I230" i="6"/>
  <c r="H230" i="6"/>
  <c r="G230" i="6"/>
  <c r="F230" i="6"/>
  <c r="K229" i="6"/>
  <c r="J229" i="6"/>
  <c r="I229" i="6"/>
  <c r="H229" i="6"/>
  <c r="G229" i="6"/>
  <c r="F229" i="6"/>
  <c r="K228" i="6"/>
  <c r="J228" i="6"/>
  <c r="I228" i="6"/>
  <c r="H228" i="6"/>
  <c r="G228" i="6"/>
  <c r="F228" i="6"/>
  <c r="K227" i="6"/>
  <c r="J227" i="6"/>
  <c r="I227" i="6"/>
  <c r="H227" i="6"/>
  <c r="G227" i="6"/>
  <c r="F227" i="6"/>
  <c r="K226" i="6"/>
  <c r="J226" i="6"/>
  <c r="I226" i="6"/>
  <c r="H226" i="6"/>
  <c r="G226" i="6"/>
  <c r="F226" i="6"/>
  <c r="K225" i="6"/>
  <c r="J225" i="6"/>
  <c r="I225" i="6"/>
  <c r="H225" i="6"/>
  <c r="G225" i="6"/>
  <c r="F225" i="6"/>
  <c r="K224" i="6"/>
  <c r="J224" i="6"/>
  <c r="I224" i="6"/>
  <c r="H224" i="6"/>
  <c r="G224" i="6"/>
  <c r="F224" i="6"/>
  <c r="K223" i="6"/>
  <c r="J223" i="6"/>
  <c r="I223" i="6"/>
  <c r="H223" i="6"/>
  <c r="G223" i="6"/>
  <c r="F223" i="6"/>
  <c r="K222" i="6"/>
  <c r="J222" i="6"/>
  <c r="I222" i="6"/>
  <c r="H222" i="6"/>
  <c r="G222" i="6"/>
  <c r="F222" i="6"/>
  <c r="K221" i="6"/>
  <c r="J221" i="6"/>
  <c r="I221" i="6"/>
  <c r="H221" i="6"/>
  <c r="G221" i="6"/>
  <c r="F221" i="6"/>
  <c r="K220" i="6"/>
  <c r="J220" i="6"/>
  <c r="I220" i="6"/>
  <c r="H220" i="6"/>
  <c r="G220" i="6"/>
  <c r="F220" i="6"/>
  <c r="K219" i="6"/>
  <c r="J219" i="6"/>
  <c r="I219" i="6"/>
  <c r="H219" i="6"/>
  <c r="G219" i="6"/>
  <c r="F219" i="6"/>
  <c r="K218" i="6"/>
  <c r="J218" i="6"/>
  <c r="I218" i="6"/>
  <c r="H218" i="6"/>
  <c r="G218" i="6"/>
  <c r="F218" i="6"/>
  <c r="K217" i="6"/>
  <c r="J217" i="6"/>
  <c r="I217" i="6"/>
  <c r="H217" i="6"/>
  <c r="G217" i="6"/>
  <c r="F217" i="6"/>
  <c r="K216" i="6"/>
  <c r="J216" i="6"/>
  <c r="I216" i="6"/>
  <c r="H216" i="6"/>
  <c r="G216" i="6"/>
  <c r="F216" i="6"/>
  <c r="K215" i="6"/>
  <c r="J215" i="6"/>
  <c r="I215" i="6"/>
  <c r="H215" i="6"/>
  <c r="G215" i="6"/>
  <c r="F215" i="6"/>
  <c r="K214" i="6"/>
  <c r="J214" i="6"/>
  <c r="I214" i="6"/>
  <c r="H214" i="6"/>
  <c r="G214" i="6"/>
  <c r="F214" i="6"/>
  <c r="K213" i="6"/>
  <c r="J213" i="6"/>
  <c r="I213" i="6"/>
  <c r="H213" i="6"/>
  <c r="G213" i="6"/>
  <c r="F213" i="6"/>
  <c r="K212" i="6"/>
  <c r="J212" i="6"/>
  <c r="I212" i="6"/>
  <c r="H212" i="6"/>
  <c r="G212" i="6"/>
  <c r="F212" i="6"/>
  <c r="K211" i="6"/>
  <c r="J211" i="6"/>
  <c r="I211" i="6"/>
  <c r="H211" i="6"/>
  <c r="G211" i="6"/>
  <c r="F211" i="6"/>
  <c r="K210" i="6"/>
  <c r="J210" i="6"/>
  <c r="I210" i="6"/>
  <c r="H210" i="6"/>
  <c r="G210" i="6"/>
  <c r="F210" i="6"/>
  <c r="K209" i="6"/>
  <c r="J209" i="6"/>
  <c r="I209" i="6"/>
  <c r="H209" i="6"/>
  <c r="G209" i="6"/>
  <c r="F209" i="6"/>
  <c r="K208" i="6"/>
  <c r="J208" i="6"/>
  <c r="I208" i="6"/>
  <c r="H208" i="6"/>
  <c r="G208" i="6"/>
  <c r="F208" i="6"/>
  <c r="K207" i="6"/>
  <c r="J207" i="6"/>
  <c r="I207" i="6"/>
  <c r="H207" i="6"/>
  <c r="G207" i="6"/>
  <c r="F207" i="6"/>
  <c r="K206" i="6"/>
  <c r="J206" i="6"/>
  <c r="I206" i="6"/>
  <c r="H206" i="6"/>
  <c r="G206" i="6"/>
  <c r="F206" i="6"/>
  <c r="K205" i="6"/>
  <c r="J205" i="6"/>
  <c r="I205" i="6"/>
  <c r="H205" i="6"/>
  <c r="G205" i="6"/>
  <c r="F205" i="6"/>
  <c r="K204" i="6"/>
  <c r="J204" i="6"/>
  <c r="I204" i="6"/>
  <c r="H204" i="6"/>
  <c r="G204" i="6"/>
  <c r="F204" i="6"/>
  <c r="K203" i="6"/>
  <c r="J203" i="6"/>
  <c r="I203" i="6"/>
  <c r="H203" i="6"/>
  <c r="G203" i="6"/>
  <c r="F203" i="6"/>
  <c r="K202" i="6"/>
  <c r="J202" i="6"/>
  <c r="I202" i="6"/>
  <c r="H202" i="6"/>
  <c r="G202" i="6"/>
  <c r="F202" i="6"/>
  <c r="K201" i="6"/>
  <c r="J201" i="6"/>
  <c r="I201" i="6"/>
  <c r="H201" i="6"/>
  <c r="G201" i="6"/>
  <c r="F201" i="6"/>
  <c r="K200" i="6"/>
  <c r="J200" i="6"/>
  <c r="I200" i="6"/>
  <c r="H200" i="6"/>
  <c r="G200" i="6"/>
  <c r="F200" i="6"/>
  <c r="K199" i="6"/>
  <c r="J199" i="6"/>
  <c r="I199" i="6"/>
  <c r="H199" i="6"/>
  <c r="G199" i="6"/>
  <c r="F199" i="6"/>
  <c r="K198" i="6"/>
  <c r="J198" i="6"/>
  <c r="I198" i="6"/>
  <c r="H198" i="6"/>
  <c r="G198" i="6"/>
  <c r="F198" i="6"/>
  <c r="K197" i="6"/>
  <c r="J197" i="6"/>
  <c r="I197" i="6"/>
  <c r="H197" i="6"/>
  <c r="G197" i="6"/>
  <c r="F197" i="6"/>
  <c r="K196" i="6"/>
  <c r="J196" i="6"/>
  <c r="I196" i="6"/>
  <c r="H196" i="6"/>
  <c r="G196" i="6"/>
  <c r="F196" i="6"/>
  <c r="K195" i="6"/>
  <c r="J195" i="6"/>
  <c r="I195" i="6"/>
  <c r="H195" i="6"/>
  <c r="G195" i="6"/>
  <c r="F195" i="6"/>
  <c r="K194" i="6"/>
  <c r="J194" i="6"/>
  <c r="I194" i="6"/>
  <c r="H194" i="6"/>
  <c r="G194" i="6"/>
  <c r="F194" i="6"/>
  <c r="K193" i="6"/>
  <c r="J193" i="6"/>
  <c r="I193" i="6"/>
  <c r="H193" i="6"/>
  <c r="G193" i="6"/>
  <c r="F193" i="6"/>
  <c r="K192" i="6"/>
  <c r="J192" i="6"/>
  <c r="I192" i="6"/>
  <c r="H192" i="6"/>
  <c r="G192" i="6"/>
  <c r="F192" i="6"/>
  <c r="K191" i="6"/>
  <c r="J191" i="6"/>
  <c r="I191" i="6"/>
  <c r="H191" i="6"/>
  <c r="G191" i="6"/>
  <c r="F191" i="6"/>
  <c r="K190" i="6"/>
  <c r="J190" i="6"/>
  <c r="I190" i="6"/>
  <c r="H190" i="6"/>
  <c r="G190" i="6"/>
  <c r="F190" i="6"/>
  <c r="K189" i="6"/>
  <c r="J189" i="6"/>
  <c r="I189" i="6"/>
  <c r="H189" i="6"/>
  <c r="G189" i="6"/>
  <c r="F189" i="6"/>
  <c r="K188" i="6"/>
  <c r="J188" i="6"/>
  <c r="I188" i="6"/>
  <c r="H188" i="6"/>
  <c r="G188" i="6"/>
  <c r="F188" i="6"/>
  <c r="K187" i="6"/>
  <c r="J187" i="6"/>
  <c r="I187" i="6"/>
  <c r="H187" i="6"/>
  <c r="G187" i="6"/>
  <c r="F187" i="6"/>
  <c r="K186" i="6"/>
  <c r="J186" i="6"/>
  <c r="I186" i="6"/>
  <c r="H186" i="6"/>
  <c r="G186" i="6"/>
  <c r="F186" i="6"/>
  <c r="K185" i="6"/>
  <c r="J185" i="6"/>
  <c r="I185" i="6"/>
  <c r="H185" i="6"/>
  <c r="G185" i="6"/>
  <c r="F185" i="6"/>
  <c r="K184" i="6"/>
  <c r="J184" i="6"/>
  <c r="I184" i="6"/>
  <c r="H184" i="6"/>
  <c r="G184" i="6"/>
  <c r="F184" i="6"/>
  <c r="K183" i="6"/>
  <c r="J183" i="6"/>
  <c r="I183" i="6"/>
  <c r="H183" i="6"/>
  <c r="G183" i="6"/>
  <c r="F183" i="6"/>
  <c r="K182" i="6"/>
  <c r="J182" i="6"/>
  <c r="I182" i="6"/>
  <c r="H182" i="6"/>
  <c r="G182" i="6"/>
  <c r="F182" i="6"/>
  <c r="K181" i="6"/>
  <c r="J181" i="6"/>
  <c r="I181" i="6"/>
  <c r="H181" i="6"/>
  <c r="G181" i="6"/>
  <c r="F181" i="6"/>
  <c r="K180" i="6"/>
  <c r="J180" i="6"/>
  <c r="I180" i="6"/>
  <c r="H180" i="6"/>
  <c r="G180" i="6"/>
  <c r="F180" i="6"/>
  <c r="K179" i="6"/>
  <c r="J179" i="6"/>
  <c r="I179" i="6"/>
  <c r="H179" i="6"/>
  <c r="G179" i="6"/>
  <c r="F179" i="6"/>
  <c r="K178" i="6"/>
  <c r="J178" i="6"/>
  <c r="I178" i="6"/>
  <c r="H178" i="6"/>
  <c r="G178" i="6"/>
  <c r="F178" i="6"/>
  <c r="K177" i="6"/>
  <c r="J177" i="6"/>
  <c r="I177" i="6"/>
  <c r="H177" i="6"/>
  <c r="G177" i="6"/>
  <c r="F177" i="6"/>
  <c r="K176" i="6"/>
  <c r="J176" i="6"/>
  <c r="I176" i="6"/>
  <c r="H176" i="6"/>
  <c r="G176" i="6"/>
  <c r="F176" i="6"/>
  <c r="K175" i="6"/>
  <c r="J175" i="6"/>
  <c r="I175" i="6"/>
  <c r="H175" i="6"/>
  <c r="G175" i="6"/>
  <c r="F175" i="6"/>
  <c r="K174" i="6"/>
  <c r="J174" i="6"/>
  <c r="I174" i="6"/>
  <c r="H174" i="6"/>
  <c r="G174" i="6"/>
  <c r="F174" i="6"/>
  <c r="K173" i="6"/>
  <c r="J173" i="6"/>
  <c r="I173" i="6"/>
  <c r="H173" i="6"/>
  <c r="G173" i="6"/>
  <c r="F173" i="6"/>
  <c r="K172" i="6"/>
  <c r="J172" i="6"/>
  <c r="I172" i="6"/>
  <c r="H172" i="6"/>
  <c r="G172" i="6"/>
  <c r="F172" i="6"/>
  <c r="K171" i="6"/>
  <c r="J171" i="6"/>
  <c r="I171" i="6"/>
  <c r="H171" i="6"/>
  <c r="G171" i="6"/>
  <c r="F171" i="6"/>
  <c r="K170" i="6"/>
  <c r="J170" i="6"/>
  <c r="I170" i="6"/>
  <c r="H170" i="6"/>
  <c r="G170" i="6"/>
  <c r="F170" i="6"/>
  <c r="K169" i="6"/>
  <c r="J169" i="6"/>
  <c r="I169" i="6"/>
  <c r="H169" i="6"/>
  <c r="G169" i="6"/>
  <c r="F169" i="6"/>
  <c r="K168" i="6"/>
  <c r="J168" i="6"/>
  <c r="I168" i="6"/>
  <c r="H168" i="6"/>
  <c r="G168" i="6"/>
  <c r="F168" i="6"/>
  <c r="K167" i="6"/>
  <c r="J167" i="6"/>
  <c r="I167" i="6"/>
  <c r="H167" i="6"/>
  <c r="G167" i="6"/>
  <c r="F167" i="6"/>
  <c r="K166" i="6"/>
  <c r="J166" i="6"/>
  <c r="I166" i="6"/>
  <c r="H166" i="6"/>
  <c r="G166" i="6"/>
  <c r="F166" i="6"/>
  <c r="K165" i="6"/>
  <c r="J165" i="6"/>
  <c r="I165" i="6"/>
  <c r="H165" i="6"/>
  <c r="G165" i="6"/>
  <c r="F165" i="6"/>
  <c r="K164" i="6"/>
  <c r="J164" i="6"/>
  <c r="I164" i="6"/>
  <c r="H164" i="6"/>
  <c r="G164" i="6"/>
  <c r="F164" i="6"/>
  <c r="K163" i="6"/>
  <c r="J163" i="6"/>
  <c r="I163" i="6"/>
  <c r="H163" i="6"/>
  <c r="G163" i="6"/>
  <c r="F163" i="6"/>
  <c r="K162" i="6"/>
  <c r="J162" i="6"/>
  <c r="I162" i="6"/>
  <c r="H162" i="6"/>
  <c r="G162" i="6"/>
  <c r="F162" i="6"/>
  <c r="K161" i="6"/>
  <c r="J161" i="6"/>
  <c r="I161" i="6"/>
  <c r="H161" i="6"/>
  <c r="G161" i="6"/>
  <c r="F161" i="6"/>
  <c r="K160" i="6"/>
  <c r="J160" i="6"/>
  <c r="I160" i="6"/>
  <c r="H160" i="6"/>
  <c r="G160" i="6"/>
  <c r="F160" i="6"/>
  <c r="K159" i="6"/>
  <c r="J159" i="6"/>
  <c r="I159" i="6"/>
  <c r="H159" i="6"/>
  <c r="G159" i="6"/>
  <c r="F159" i="6"/>
  <c r="K158" i="6"/>
  <c r="J158" i="6"/>
  <c r="I158" i="6"/>
  <c r="H158" i="6"/>
  <c r="G158" i="6"/>
  <c r="F158" i="6"/>
  <c r="K157" i="6"/>
  <c r="J157" i="6"/>
  <c r="I157" i="6"/>
  <c r="H157" i="6"/>
  <c r="G157" i="6"/>
  <c r="F157" i="6"/>
  <c r="K156" i="6"/>
  <c r="J156" i="6"/>
  <c r="I156" i="6"/>
  <c r="H156" i="6"/>
  <c r="G156" i="6"/>
  <c r="F156" i="6"/>
  <c r="K155" i="6"/>
  <c r="J155" i="6"/>
  <c r="I155" i="6"/>
  <c r="H155" i="6"/>
  <c r="G155" i="6"/>
  <c r="F155" i="6"/>
  <c r="K154" i="6"/>
  <c r="J154" i="6"/>
  <c r="I154" i="6"/>
  <c r="H154" i="6"/>
  <c r="G154" i="6"/>
  <c r="F154" i="6"/>
  <c r="K153" i="6"/>
  <c r="J153" i="6"/>
  <c r="I153" i="6"/>
  <c r="H153" i="6"/>
  <c r="G153" i="6"/>
  <c r="F153" i="6"/>
  <c r="K152" i="6"/>
  <c r="J152" i="6"/>
  <c r="I152" i="6"/>
  <c r="H152" i="6"/>
  <c r="G152" i="6"/>
  <c r="F152" i="6"/>
  <c r="K151" i="6"/>
  <c r="J151" i="6"/>
  <c r="I151" i="6"/>
  <c r="H151" i="6"/>
  <c r="G151" i="6"/>
  <c r="F151" i="6"/>
  <c r="K150" i="6"/>
  <c r="J150" i="6"/>
  <c r="I150" i="6"/>
  <c r="H150" i="6"/>
  <c r="G150" i="6"/>
  <c r="F150" i="6"/>
  <c r="K149" i="6"/>
  <c r="J149" i="6"/>
  <c r="I149" i="6"/>
  <c r="H149" i="6"/>
  <c r="G149" i="6"/>
  <c r="F149" i="6"/>
  <c r="K148" i="6"/>
  <c r="J148" i="6"/>
  <c r="I148" i="6"/>
  <c r="H148" i="6"/>
  <c r="G148" i="6"/>
  <c r="F148" i="6"/>
  <c r="K147" i="6"/>
  <c r="J147" i="6"/>
  <c r="I147" i="6"/>
  <c r="H147" i="6"/>
  <c r="G147" i="6"/>
  <c r="F147" i="6"/>
  <c r="K146" i="6"/>
  <c r="J146" i="6"/>
  <c r="I146" i="6"/>
  <c r="H146" i="6"/>
  <c r="G146" i="6"/>
  <c r="F146" i="6"/>
  <c r="K145" i="6"/>
  <c r="J145" i="6"/>
  <c r="I145" i="6"/>
  <c r="H145" i="6"/>
  <c r="G145" i="6"/>
  <c r="F145" i="6"/>
  <c r="K144" i="6"/>
  <c r="J144" i="6"/>
  <c r="I144" i="6"/>
  <c r="H144" i="6"/>
  <c r="G144" i="6"/>
  <c r="F144" i="6"/>
  <c r="K143" i="6"/>
  <c r="J143" i="6"/>
  <c r="I143" i="6"/>
  <c r="H143" i="6"/>
  <c r="G143" i="6"/>
  <c r="F143" i="6"/>
  <c r="K142" i="6"/>
  <c r="J142" i="6"/>
  <c r="I142" i="6"/>
  <c r="H142" i="6"/>
  <c r="G142" i="6"/>
  <c r="F142" i="6"/>
  <c r="K141" i="6"/>
  <c r="J141" i="6"/>
  <c r="I141" i="6"/>
  <c r="H141" i="6"/>
  <c r="G141" i="6"/>
  <c r="F141" i="6"/>
  <c r="K140" i="6"/>
  <c r="J140" i="6"/>
  <c r="I140" i="6"/>
  <c r="H140" i="6"/>
  <c r="G140" i="6"/>
  <c r="F140" i="6"/>
  <c r="K139" i="6"/>
  <c r="J139" i="6"/>
  <c r="I139" i="6"/>
  <c r="H139" i="6"/>
  <c r="G139" i="6"/>
  <c r="F139" i="6"/>
  <c r="K138" i="6"/>
  <c r="J138" i="6"/>
  <c r="I138" i="6"/>
  <c r="H138" i="6"/>
  <c r="G138" i="6"/>
  <c r="F138" i="6"/>
  <c r="K137" i="6"/>
  <c r="J137" i="6"/>
  <c r="I137" i="6"/>
  <c r="H137" i="6"/>
  <c r="G137" i="6"/>
  <c r="F137" i="6"/>
  <c r="K136" i="6"/>
  <c r="J136" i="6"/>
  <c r="I136" i="6"/>
  <c r="H136" i="6"/>
  <c r="G136" i="6"/>
  <c r="F136" i="6"/>
  <c r="K135" i="6"/>
  <c r="J135" i="6"/>
  <c r="I135" i="6"/>
  <c r="H135" i="6"/>
  <c r="G135" i="6"/>
  <c r="F135" i="6"/>
  <c r="K134" i="6"/>
  <c r="J134" i="6"/>
  <c r="I134" i="6"/>
  <c r="H134" i="6"/>
  <c r="G134" i="6"/>
  <c r="F134" i="6"/>
  <c r="K133" i="6"/>
  <c r="J133" i="6"/>
  <c r="I133" i="6"/>
  <c r="H133" i="6"/>
  <c r="G133" i="6"/>
  <c r="F133" i="6"/>
  <c r="K132" i="6"/>
  <c r="J132" i="6"/>
  <c r="I132" i="6"/>
  <c r="H132" i="6"/>
  <c r="G132" i="6"/>
  <c r="F132" i="6"/>
  <c r="K131" i="6"/>
  <c r="J131" i="6"/>
  <c r="I131" i="6"/>
  <c r="H131" i="6"/>
  <c r="G131" i="6"/>
  <c r="F131" i="6"/>
  <c r="K130" i="6"/>
  <c r="J130" i="6"/>
  <c r="I130" i="6"/>
  <c r="H130" i="6"/>
  <c r="G130" i="6"/>
  <c r="F130" i="6"/>
  <c r="K129" i="6"/>
  <c r="J129" i="6"/>
  <c r="I129" i="6"/>
  <c r="H129" i="6"/>
  <c r="G129" i="6"/>
  <c r="F129" i="6"/>
  <c r="K128" i="6"/>
  <c r="J128" i="6"/>
  <c r="I128" i="6"/>
  <c r="H128" i="6"/>
  <c r="G128" i="6"/>
  <c r="F128" i="6"/>
  <c r="K127" i="6"/>
  <c r="J127" i="6"/>
  <c r="I127" i="6"/>
  <c r="H127" i="6"/>
  <c r="G127" i="6"/>
  <c r="F127" i="6"/>
  <c r="K126" i="6"/>
  <c r="J126" i="6"/>
  <c r="I126" i="6"/>
  <c r="H126" i="6"/>
  <c r="G126" i="6"/>
  <c r="F126" i="6"/>
  <c r="K125" i="6"/>
  <c r="J125" i="6"/>
  <c r="I125" i="6"/>
  <c r="H125" i="6"/>
  <c r="G125" i="6"/>
  <c r="F125" i="6"/>
  <c r="K124" i="6"/>
  <c r="J124" i="6"/>
  <c r="I124" i="6"/>
  <c r="H124" i="6"/>
  <c r="G124" i="6"/>
  <c r="F124" i="6"/>
  <c r="K123" i="6"/>
  <c r="J123" i="6"/>
  <c r="I123" i="6"/>
  <c r="H123" i="6"/>
  <c r="G123" i="6"/>
  <c r="F123" i="6"/>
  <c r="K122" i="6"/>
  <c r="J122" i="6"/>
  <c r="I122" i="6"/>
  <c r="H122" i="6"/>
  <c r="G122" i="6"/>
  <c r="F122" i="6"/>
  <c r="K121" i="6"/>
  <c r="J121" i="6"/>
  <c r="I121" i="6"/>
  <c r="H121" i="6"/>
  <c r="G121" i="6"/>
  <c r="F121" i="6"/>
  <c r="K120" i="6"/>
  <c r="J120" i="6"/>
  <c r="I120" i="6"/>
  <c r="H120" i="6"/>
  <c r="G120" i="6"/>
  <c r="F120" i="6"/>
  <c r="K119" i="6"/>
  <c r="J119" i="6"/>
  <c r="I119" i="6"/>
  <c r="H119" i="6"/>
  <c r="G119" i="6"/>
  <c r="F119" i="6"/>
  <c r="K118" i="6"/>
  <c r="J118" i="6"/>
  <c r="I118" i="6"/>
  <c r="H118" i="6"/>
  <c r="G118" i="6"/>
  <c r="F118" i="6"/>
  <c r="K117" i="6"/>
  <c r="J117" i="6"/>
  <c r="I117" i="6"/>
  <c r="H117" i="6"/>
  <c r="G117" i="6"/>
  <c r="F117" i="6"/>
  <c r="K116" i="6"/>
  <c r="J116" i="6"/>
  <c r="I116" i="6"/>
  <c r="H116" i="6"/>
  <c r="G116" i="6"/>
  <c r="F116" i="6"/>
  <c r="K115" i="6"/>
  <c r="J115" i="6"/>
  <c r="I115" i="6"/>
  <c r="H115" i="6"/>
  <c r="G115" i="6"/>
  <c r="F115" i="6"/>
  <c r="K114" i="6"/>
  <c r="J114" i="6"/>
  <c r="I114" i="6"/>
  <c r="H114" i="6"/>
  <c r="G114" i="6"/>
  <c r="F114" i="6"/>
  <c r="K113" i="6"/>
  <c r="J113" i="6"/>
  <c r="I113" i="6"/>
  <c r="H113" i="6"/>
  <c r="G113" i="6"/>
  <c r="F113" i="6"/>
  <c r="K112" i="6"/>
  <c r="J112" i="6"/>
  <c r="I112" i="6"/>
  <c r="H112" i="6"/>
  <c r="G112" i="6"/>
  <c r="F112" i="6"/>
  <c r="K111" i="6"/>
  <c r="J111" i="6"/>
  <c r="I111" i="6"/>
  <c r="H111" i="6"/>
  <c r="G111" i="6"/>
  <c r="F111" i="6"/>
  <c r="K110" i="6"/>
  <c r="J110" i="6"/>
  <c r="I110" i="6"/>
  <c r="H110" i="6"/>
  <c r="G110" i="6"/>
  <c r="F110" i="6"/>
  <c r="K109" i="6"/>
  <c r="J109" i="6"/>
  <c r="I109" i="6"/>
  <c r="H109" i="6"/>
  <c r="G109" i="6"/>
  <c r="F109" i="6"/>
  <c r="K108" i="6"/>
  <c r="J108" i="6"/>
  <c r="I108" i="6"/>
  <c r="H108" i="6"/>
  <c r="G108" i="6"/>
  <c r="F108" i="6"/>
  <c r="K107" i="6"/>
  <c r="J107" i="6"/>
  <c r="I107" i="6"/>
  <c r="H107" i="6"/>
  <c r="G107" i="6"/>
  <c r="F107" i="6"/>
  <c r="K106" i="6"/>
  <c r="J106" i="6"/>
  <c r="I106" i="6"/>
  <c r="H106" i="6"/>
  <c r="G106" i="6"/>
  <c r="F106" i="6"/>
  <c r="K105" i="6"/>
  <c r="J105" i="6"/>
  <c r="I105" i="6"/>
  <c r="H105" i="6"/>
  <c r="G105" i="6"/>
  <c r="F105" i="6"/>
  <c r="K104" i="6"/>
  <c r="J104" i="6"/>
  <c r="I104" i="6"/>
  <c r="H104" i="6"/>
  <c r="G104" i="6"/>
  <c r="F104" i="6"/>
  <c r="K103" i="6"/>
  <c r="J103" i="6"/>
  <c r="I103" i="6"/>
  <c r="H103" i="6"/>
  <c r="G103" i="6"/>
  <c r="F103" i="6"/>
  <c r="K102" i="6"/>
  <c r="J102" i="6"/>
  <c r="I102" i="6"/>
  <c r="H102" i="6"/>
  <c r="G102" i="6"/>
  <c r="F102" i="6"/>
  <c r="K101" i="6"/>
  <c r="J101" i="6"/>
  <c r="I101" i="6"/>
  <c r="H101" i="6"/>
  <c r="G101" i="6"/>
  <c r="F101" i="6"/>
  <c r="K100" i="6"/>
  <c r="J100" i="6"/>
  <c r="I100" i="6"/>
  <c r="H100" i="6"/>
  <c r="G100" i="6"/>
  <c r="F100" i="6"/>
  <c r="K99" i="6"/>
  <c r="J99" i="6"/>
  <c r="I99" i="6"/>
  <c r="H99" i="6"/>
  <c r="G99" i="6"/>
  <c r="F99" i="6"/>
  <c r="K98" i="6"/>
  <c r="J98" i="6"/>
  <c r="I98" i="6"/>
  <c r="H98" i="6"/>
  <c r="G98" i="6"/>
  <c r="F98" i="6"/>
  <c r="K97" i="6"/>
  <c r="J97" i="6"/>
  <c r="I97" i="6"/>
  <c r="H97" i="6"/>
  <c r="G97" i="6"/>
  <c r="F97" i="6"/>
  <c r="K96" i="6"/>
  <c r="J96" i="6"/>
  <c r="I96" i="6"/>
  <c r="H96" i="6"/>
  <c r="G96" i="6"/>
  <c r="F96" i="6"/>
  <c r="K95" i="6"/>
  <c r="J95" i="6"/>
  <c r="I95" i="6"/>
  <c r="H95" i="6"/>
  <c r="G95" i="6"/>
  <c r="F95" i="6"/>
  <c r="K94" i="6"/>
  <c r="J94" i="6"/>
  <c r="I94" i="6"/>
  <c r="H94" i="6"/>
  <c r="G94" i="6"/>
  <c r="F94" i="6"/>
  <c r="K93" i="6"/>
  <c r="J93" i="6"/>
  <c r="I93" i="6"/>
  <c r="H93" i="6"/>
  <c r="G93" i="6"/>
  <c r="F93" i="6"/>
  <c r="K92" i="6"/>
  <c r="J92" i="6"/>
  <c r="I92" i="6"/>
  <c r="H92" i="6"/>
  <c r="G92" i="6"/>
  <c r="F92" i="6"/>
  <c r="K91" i="6"/>
  <c r="J91" i="6"/>
  <c r="I91" i="6"/>
  <c r="H91" i="6"/>
  <c r="G91" i="6"/>
  <c r="F91" i="6"/>
  <c r="K90" i="6"/>
  <c r="J90" i="6"/>
  <c r="I90" i="6"/>
  <c r="H90" i="6"/>
  <c r="G90" i="6"/>
  <c r="F90" i="6"/>
  <c r="K89" i="6"/>
  <c r="J89" i="6"/>
  <c r="I89" i="6"/>
  <c r="H89" i="6"/>
  <c r="G89" i="6"/>
  <c r="F89" i="6"/>
  <c r="K88" i="6"/>
  <c r="J88" i="6"/>
  <c r="I88" i="6"/>
  <c r="H88" i="6"/>
  <c r="G88" i="6"/>
  <c r="F88" i="6"/>
  <c r="K87" i="6"/>
  <c r="J87" i="6"/>
  <c r="I87" i="6"/>
  <c r="H87" i="6"/>
  <c r="G87" i="6"/>
  <c r="F87" i="6"/>
  <c r="K86" i="6"/>
  <c r="J86" i="6"/>
  <c r="I86" i="6"/>
  <c r="H86" i="6"/>
  <c r="G86" i="6"/>
  <c r="F86" i="6"/>
  <c r="K85" i="6"/>
  <c r="J85" i="6"/>
  <c r="I85" i="6"/>
  <c r="H85" i="6"/>
  <c r="G85" i="6"/>
  <c r="F85" i="6"/>
  <c r="K84" i="6"/>
  <c r="J84" i="6"/>
  <c r="I84" i="6"/>
  <c r="H84" i="6"/>
  <c r="G84" i="6"/>
  <c r="F84" i="6"/>
  <c r="K83" i="6"/>
  <c r="J83" i="6"/>
  <c r="I83" i="6"/>
  <c r="H83" i="6"/>
  <c r="G83" i="6"/>
  <c r="F83" i="6"/>
  <c r="K82" i="6"/>
  <c r="J82" i="6"/>
  <c r="I82" i="6"/>
  <c r="H82" i="6"/>
  <c r="G82" i="6"/>
  <c r="F82" i="6"/>
  <c r="K81" i="6"/>
  <c r="J81" i="6"/>
  <c r="I81" i="6"/>
  <c r="H81" i="6"/>
  <c r="G81" i="6"/>
  <c r="F81" i="6"/>
  <c r="K80" i="6"/>
  <c r="J80" i="6"/>
  <c r="I80" i="6"/>
  <c r="H80" i="6"/>
  <c r="G80" i="6"/>
  <c r="F80" i="6"/>
  <c r="K79" i="6"/>
  <c r="J79" i="6"/>
  <c r="I79" i="6"/>
  <c r="H79" i="6"/>
  <c r="G79" i="6"/>
  <c r="F79" i="6"/>
  <c r="K78" i="6"/>
  <c r="J78" i="6"/>
  <c r="I78" i="6"/>
  <c r="H78" i="6"/>
  <c r="G78" i="6"/>
  <c r="F78" i="6"/>
  <c r="K77" i="6"/>
  <c r="J77" i="6"/>
  <c r="I77" i="6"/>
  <c r="H77" i="6"/>
  <c r="G77" i="6"/>
  <c r="F77" i="6"/>
  <c r="K76" i="6"/>
  <c r="J76" i="6"/>
  <c r="I76" i="6"/>
  <c r="H76" i="6"/>
  <c r="G76" i="6"/>
  <c r="F76" i="6"/>
  <c r="K75" i="6"/>
  <c r="J75" i="6"/>
  <c r="I75" i="6"/>
  <c r="H75" i="6"/>
  <c r="G75" i="6"/>
  <c r="F75" i="6"/>
  <c r="K74" i="6"/>
  <c r="J74" i="6"/>
  <c r="I74" i="6"/>
  <c r="H74" i="6"/>
  <c r="G74" i="6"/>
  <c r="F74" i="6"/>
  <c r="K73" i="6"/>
  <c r="J73" i="6"/>
  <c r="I73" i="6"/>
  <c r="H73" i="6"/>
  <c r="G73" i="6"/>
  <c r="F73" i="6"/>
  <c r="K72" i="6"/>
  <c r="J72" i="6"/>
  <c r="I72" i="6"/>
  <c r="H72" i="6"/>
  <c r="G72" i="6"/>
  <c r="F72" i="6"/>
  <c r="K71" i="6"/>
  <c r="J71" i="6"/>
  <c r="I71" i="6"/>
  <c r="H71" i="6"/>
  <c r="G71" i="6"/>
  <c r="F71" i="6"/>
  <c r="K70" i="6"/>
  <c r="J70" i="6"/>
  <c r="I70" i="6"/>
  <c r="H70" i="6"/>
  <c r="G70" i="6"/>
  <c r="F70" i="6"/>
  <c r="K69" i="6"/>
  <c r="J69" i="6"/>
  <c r="I69" i="6"/>
  <c r="H69" i="6"/>
  <c r="G69" i="6"/>
  <c r="F69" i="6"/>
  <c r="K68" i="6"/>
  <c r="J68" i="6"/>
  <c r="I68" i="6"/>
  <c r="H68" i="6"/>
  <c r="G68" i="6"/>
  <c r="F68" i="6"/>
  <c r="K67" i="6"/>
  <c r="J67" i="6"/>
  <c r="I67" i="6"/>
  <c r="H67" i="6"/>
  <c r="G67" i="6"/>
  <c r="F67" i="6"/>
  <c r="K66" i="6"/>
  <c r="J66" i="6"/>
  <c r="I66" i="6"/>
  <c r="H66" i="6"/>
  <c r="G66" i="6"/>
  <c r="F66" i="6"/>
  <c r="K65" i="6"/>
  <c r="J65" i="6"/>
  <c r="I65" i="6"/>
  <c r="H65" i="6"/>
  <c r="G65" i="6"/>
  <c r="F65" i="6"/>
  <c r="K64" i="6"/>
  <c r="J64" i="6"/>
  <c r="I64" i="6"/>
  <c r="H64" i="6"/>
  <c r="G64" i="6"/>
  <c r="F64" i="6"/>
  <c r="K63" i="6"/>
  <c r="J63" i="6"/>
  <c r="I63" i="6"/>
  <c r="H63" i="6"/>
  <c r="G63" i="6"/>
  <c r="F63" i="6"/>
  <c r="K62" i="6"/>
  <c r="J62" i="6"/>
  <c r="I62" i="6"/>
  <c r="H62" i="6"/>
  <c r="G62" i="6"/>
  <c r="F62" i="6"/>
  <c r="K61" i="6"/>
  <c r="J61" i="6"/>
  <c r="I61" i="6"/>
  <c r="H61" i="6"/>
  <c r="G61" i="6"/>
  <c r="F61" i="6"/>
  <c r="K60" i="6"/>
  <c r="J60" i="6"/>
  <c r="I60" i="6"/>
  <c r="H60" i="6"/>
  <c r="G60" i="6"/>
  <c r="F60" i="6"/>
  <c r="K59" i="6"/>
  <c r="J59" i="6"/>
  <c r="I59" i="6"/>
  <c r="H59" i="6"/>
  <c r="G59" i="6"/>
  <c r="F59" i="6"/>
  <c r="K58" i="6"/>
  <c r="J58" i="6"/>
  <c r="I58" i="6"/>
  <c r="H58" i="6"/>
  <c r="G58" i="6"/>
  <c r="F58" i="6"/>
  <c r="K57" i="6"/>
  <c r="J57" i="6"/>
  <c r="I57" i="6"/>
  <c r="H57" i="6"/>
  <c r="G57" i="6"/>
  <c r="F57" i="6"/>
  <c r="K56" i="6"/>
  <c r="J56" i="6"/>
  <c r="I56" i="6"/>
  <c r="H56" i="6"/>
  <c r="G56" i="6"/>
  <c r="F56" i="6"/>
  <c r="K55" i="6"/>
  <c r="J55" i="6"/>
  <c r="I55" i="6"/>
  <c r="H55" i="6"/>
  <c r="G55" i="6"/>
  <c r="F55" i="6"/>
  <c r="K54" i="6"/>
  <c r="J54" i="6"/>
  <c r="I54" i="6"/>
  <c r="H54" i="6"/>
  <c r="G54" i="6"/>
  <c r="F54" i="6"/>
  <c r="K53" i="6"/>
  <c r="J53" i="6"/>
  <c r="I53" i="6"/>
  <c r="H53" i="6"/>
  <c r="G53" i="6"/>
  <c r="F53" i="6"/>
  <c r="K52" i="6"/>
  <c r="J52" i="6"/>
  <c r="I52" i="6"/>
  <c r="H52" i="6"/>
  <c r="G52" i="6"/>
  <c r="F52" i="6"/>
  <c r="K51" i="6"/>
  <c r="J51" i="6"/>
  <c r="I51" i="6"/>
  <c r="H51" i="6"/>
  <c r="G51" i="6"/>
  <c r="F51" i="6"/>
  <c r="K50" i="6"/>
  <c r="J50" i="6"/>
  <c r="I50" i="6"/>
  <c r="H50" i="6"/>
  <c r="G50" i="6"/>
  <c r="F50" i="6"/>
  <c r="K49" i="6"/>
  <c r="J49" i="6"/>
  <c r="I49" i="6"/>
  <c r="H49" i="6"/>
  <c r="G49" i="6"/>
  <c r="F49" i="6"/>
  <c r="K48" i="6"/>
  <c r="J48" i="6"/>
  <c r="I48" i="6"/>
  <c r="H48" i="6"/>
  <c r="G48" i="6"/>
  <c r="F48" i="6"/>
  <c r="K47" i="6"/>
  <c r="J47" i="6"/>
  <c r="I47" i="6"/>
  <c r="H47" i="6"/>
  <c r="G47" i="6"/>
  <c r="F47" i="6"/>
  <c r="K46" i="6"/>
  <c r="J46" i="6"/>
  <c r="I46" i="6"/>
  <c r="H46" i="6"/>
  <c r="G46" i="6"/>
  <c r="F46" i="6"/>
  <c r="K45" i="6"/>
  <c r="J45" i="6"/>
  <c r="I45" i="6"/>
  <c r="H45" i="6"/>
  <c r="G45" i="6"/>
  <c r="F45" i="6"/>
  <c r="K44" i="6"/>
  <c r="J44" i="6"/>
  <c r="I44" i="6"/>
  <c r="H44" i="6"/>
  <c r="G44" i="6"/>
  <c r="F44" i="6"/>
  <c r="K43" i="6"/>
  <c r="J43" i="6"/>
  <c r="I43" i="6"/>
  <c r="H43" i="6"/>
  <c r="G43" i="6"/>
  <c r="F43" i="6"/>
  <c r="K42" i="6"/>
  <c r="J42" i="6"/>
  <c r="I42" i="6"/>
  <c r="H42" i="6"/>
  <c r="G42" i="6"/>
  <c r="F42" i="6"/>
  <c r="K41" i="6"/>
  <c r="J41" i="6"/>
  <c r="I41" i="6"/>
  <c r="H41" i="6"/>
  <c r="G41" i="6"/>
  <c r="F41" i="6"/>
  <c r="K40" i="6"/>
  <c r="J40" i="6"/>
  <c r="I40" i="6"/>
  <c r="H40" i="6"/>
  <c r="G40" i="6"/>
  <c r="F40" i="6"/>
  <c r="K39" i="6"/>
  <c r="J39" i="6"/>
  <c r="I39" i="6"/>
  <c r="H39" i="6"/>
  <c r="G39" i="6"/>
  <c r="F39" i="6"/>
  <c r="K38" i="6"/>
  <c r="J38" i="6"/>
  <c r="I38" i="6"/>
  <c r="H38" i="6"/>
  <c r="G38" i="6"/>
  <c r="F38" i="6"/>
  <c r="K37" i="6"/>
  <c r="J37" i="6"/>
  <c r="I37" i="6"/>
  <c r="H37" i="6"/>
  <c r="G37" i="6"/>
  <c r="F37" i="6"/>
  <c r="K36" i="6"/>
  <c r="J36" i="6"/>
  <c r="I36" i="6"/>
  <c r="H36" i="6"/>
  <c r="G36" i="6"/>
  <c r="F36" i="6"/>
  <c r="K35" i="6"/>
  <c r="J35" i="6"/>
  <c r="I35" i="6"/>
  <c r="H35" i="6"/>
  <c r="G35" i="6"/>
  <c r="F35" i="6"/>
  <c r="K34" i="6"/>
  <c r="J34" i="6"/>
  <c r="I34" i="6"/>
  <c r="H34" i="6"/>
  <c r="G34" i="6"/>
  <c r="F34" i="6"/>
  <c r="K33" i="6"/>
  <c r="J33" i="6"/>
  <c r="I33" i="6"/>
  <c r="H33" i="6"/>
  <c r="G33" i="6"/>
  <c r="F33" i="6"/>
  <c r="K32" i="6"/>
  <c r="J32" i="6"/>
  <c r="I32" i="6"/>
  <c r="H32" i="6"/>
  <c r="G32" i="6"/>
  <c r="F32" i="6"/>
  <c r="K31" i="6"/>
  <c r="J31" i="6"/>
  <c r="I31" i="6"/>
  <c r="H31" i="6"/>
  <c r="G31" i="6"/>
  <c r="F31" i="6"/>
  <c r="K30" i="6"/>
  <c r="J30" i="6"/>
  <c r="I30" i="6"/>
  <c r="H30" i="6"/>
  <c r="G30" i="6"/>
  <c r="F30" i="6"/>
  <c r="K29" i="6"/>
  <c r="J29" i="6"/>
  <c r="I29" i="6"/>
  <c r="H29" i="6"/>
  <c r="G29" i="6"/>
  <c r="F29" i="6"/>
  <c r="K28" i="6"/>
  <c r="J28" i="6"/>
  <c r="I28" i="6"/>
  <c r="H28" i="6"/>
  <c r="G28" i="6"/>
  <c r="F28" i="6"/>
  <c r="K27" i="6"/>
  <c r="J27" i="6"/>
  <c r="I27" i="6"/>
  <c r="H27" i="6"/>
  <c r="G27" i="6"/>
  <c r="F27" i="6"/>
  <c r="K26" i="6"/>
  <c r="J26" i="6"/>
  <c r="I26" i="6"/>
  <c r="H26" i="6"/>
  <c r="G26" i="6"/>
  <c r="F26" i="6"/>
  <c r="K25" i="6"/>
  <c r="J25" i="6"/>
  <c r="I25" i="6"/>
  <c r="H25" i="6"/>
  <c r="G25" i="6"/>
  <c r="F25" i="6"/>
  <c r="K24" i="6"/>
  <c r="J24" i="6"/>
  <c r="I24" i="6"/>
  <c r="H24" i="6"/>
  <c r="G24" i="6"/>
  <c r="F24" i="6"/>
  <c r="K23" i="6"/>
  <c r="J23" i="6"/>
  <c r="I23" i="6"/>
  <c r="H23" i="6"/>
  <c r="G23" i="6"/>
  <c r="F23" i="6"/>
  <c r="K22" i="6"/>
  <c r="J22" i="6"/>
  <c r="I22" i="6"/>
  <c r="H22" i="6"/>
  <c r="G22" i="6"/>
  <c r="F22" i="6"/>
  <c r="K21" i="6"/>
  <c r="J21" i="6"/>
  <c r="I21" i="6"/>
  <c r="H21" i="6"/>
  <c r="G21" i="6"/>
  <c r="F21" i="6"/>
  <c r="K20" i="6"/>
  <c r="J20" i="6"/>
  <c r="I20" i="6"/>
  <c r="H20" i="6"/>
  <c r="G20" i="6"/>
  <c r="F20" i="6"/>
  <c r="K19" i="6"/>
  <c r="J19" i="6"/>
  <c r="I19" i="6"/>
  <c r="H19" i="6"/>
  <c r="G19" i="6"/>
  <c r="F19" i="6"/>
  <c r="K18" i="6"/>
  <c r="J18" i="6"/>
  <c r="I18" i="6"/>
  <c r="H18" i="6"/>
  <c r="G18" i="6"/>
  <c r="F18" i="6"/>
  <c r="K17" i="6"/>
  <c r="J17" i="6"/>
  <c r="I17" i="6"/>
  <c r="H17" i="6"/>
  <c r="G17" i="6"/>
  <c r="F17" i="6"/>
  <c r="K16" i="6"/>
  <c r="J16" i="6"/>
  <c r="I16" i="6"/>
  <c r="H16" i="6"/>
  <c r="G16" i="6"/>
  <c r="F16" i="6"/>
  <c r="K15" i="6"/>
  <c r="J15" i="6"/>
  <c r="I15" i="6"/>
  <c r="H15" i="6"/>
  <c r="G15" i="6"/>
  <c r="F15" i="6"/>
  <c r="K14" i="6"/>
  <c r="J14" i="6"/>
  <c r="I14" i="6"/>
  <c r="H14" i="6"/>
  <c r="G14" i="6"/>
  <c r="F14" i="6"/>
  <c r="K13" i="6"/>
  <c r="J13" i="6"/>
  <c r="I13" i="6"/>
  <c r="H13" i="6"/>
  <c r="G13" i="6"/>
  <c r="F13" i="6"/>
  <c r="K12" i="6"/>
  <c r="J12" i="6"/>
  <c r="I12" i="6"/>
  <c r="H12" i="6"/>
  <c r="G12" i="6"/>
  <c r="F12" i="6"/>
  <c r="K11" i="6"/>
  <c r="J11" i="6"/>
  <c r="I11" i="6"/>
  <c r="H11" i="6"/>
  <c r="G11" i="6"/>
  <c r="F11" i="6"/>
  <c r="K10" i="6"/>
  <c r="J10" i="6"/>
  <c r="I10" i="6"/>
  <c r="H10" i="6"/>
  <c r="G10" i="6"/>
  <c r="F10" i="6"/>
  <c r="K9" i="6"/>
  <c r="J9" i="6"/>
  <c r="I9" i="6"/>
  <c r="H9" i="6"/>
  <c r="G9" i="6"/>
  <c r="F9" i="6"/>
  <c r="K8" i="6"/>
  <c r="J8" i="6"/>
  <c r="I8" i="6"/>
  <c r="H8" i="6"/>
  <c r="G8" i="6"/>
  <c r="F8" i="6"/>
  <c r="K7" i="6"/>
  <c r="J7" i="6"/>
  <c r="I7" i="6"/>
  <c r="H7" i="6"/>
  <c r="G7" i="6"/>
  <c r="F7" i="6"/>
  <c r="K6" i="6"/>
  <c r="J6" i="6"/>
  <c r="I6" i="6"/>
  <c r="H6" i="6"/>
  <c r="G6" i="6"/>
  <c r="F6" i="6"/>
  <c r="K5" i="6"/>
  <c r="J5" i="6"/>
  <c r="I5" i="6"/>
  <c r="H5" i="6"/>
  <c r="G5" i="6"/>
  <c r="F5" i="6"/>
  <c r="K4" i="6"/>
  <c r="J4" i="6"/>
  <c r="I4" i="6"/>
  <c r="H4" i="6"/>
  <c r="G4" i="6"/>
  <c r="F4" i="6"/>
  <c r="K3" i="6"/>
  <c r="J3" i="6"/>
  <c r="I3" i="6"/>
  <c r="H3" i="6"/>
  <c r="G3" i="6"/>
  <c r="F3" i="6"/>
  <c r="K2" i="6"/>
  <c r="J2" i="6"/>
  <c r="I2" i="6"/>
  <c r="H2" i="6"/>
  <c r="G2" i="6"/>
  <c r="F2" i="6"/>
  <c r="V14" i="3"/>
  <c r="Y14"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2" i="3"/>
  <c r="R3" i="3"/>
  <c r="R4" i="3"/>
  <c r="R5" i="3"/>
  <c r="R6" i="3"/>
  <c r="R7" i="3"/>
  <c r="R8" i="3"/>
  <c r="R9" i="3"/>
  <c r="R10" i="3"/>
  <c r="R11" i="3"/>
  <c r="Q12" i="3" a="1"/>
  <c r="Q12" i="3" s="1"/>
  <c r="Q13" i="3" a="1"/>
  <c r="Q13" i="3" s="1"/>
  <c r="Q14" i="3" a="1"/>
  <c r="Q14" i="3" s="1"/>
  <c r="Q15" i="3" a="1"/>
  <c r="Q15" i="3"/>
  <c r="Q16" i="3" a="1"/>
  <c r="Q16" i="3"/>
  <c r="Q17" i="3" a="1"/>
  <c r="Q17" i="3"/>
  <c r="Q18" i="3" a="1"/>
  <c r="Q18" i="3" s="1"/>
  <c r="Q19" i="3" a="1"/>
  <c r="Q19" i="3" s="1"/>
  <c r="Q20" i="3" a="1"/>
  <c r="Q20" i="3" s="1"/>
  <c r="Q21" i="3" a="1"/>
  <c r="Q21" i="3" s="1"/>
  <c r="Q22" i="3" a="1"/>
  <c r="Q22" i="3" s="1"/>
  <c r="Q23" i="3" a="1"/>
  <c r="Q23" i="3" s="1"/>
  <c r="Q24" i="3" a="1"/>
  <c r="Q24" i="3" s="1"/>
  <c r="Q25" i="3" a="1"/>
  <c r="Q25" i="3" s="1"/>
  <c r="Q26" i="3" a="1"/>
  <c r="Q26" i="3" s="1"/>
  <c r="Q27" i="3" a="1"/>
  <c r="Q27" i="3"/>
  <c r="Q28" i="3" a="1"/>
  <c r="Q28" i="3"/>
  <c r="Q29" i="3" a="1"/>
  <c r="Q29" i="3"/>
  <c r="Q30" i="3" a="1"/>
  <c r="Q30" i="3" s="1"/>
  <c r="Q31" i="3" a="1"/>
  <c r="Q31" i="3" s="1"/>
  <c r="Q32" i="3" a="1"/>
  <c r="Q32" i="3"/>
  <c r="Q33" i="3" a="1"/>
  <c r="Q33" i="3" s="1"/>
  <c r="Q34" i="3" a="1"/>
  <c r="Q34" i="3" s="1"/>
  <c r="Q35" i="3" a="1"/>
  <c r="Q35" i="3"/>
  <c r="Q36" i="3" a="1"/>
  <c r="Q36" i="3" s="1"/>
  <c r="Q37" i="3" a="1"/>
  <c r="Q37" i="3"/>
  <c r="Q38" i="3" a="1"/>
  <c r="Q38" i="3" s="1"/>
  <c r="Q39" i="3" a="1"/>
  <c r="Q39" i="3" s="1"/>
  <c r="Q40" i="3" a="1"/>
  <c r="Q40" i="3"/>
  <c r="Q41" i="3" a="1"/>
  <c r="Q41" i="3"/>
  <c r="Q42" i="3" a="1"/>
  <c r="Q42" i="3" s="1"/>
  <c r="Q43" i="3" a="1"/>
  <c r="Q43" i="3"/>
  <c r="Q44" i="3" a="1"/>
  <c r="Q44" i="3" s="1"/>
  <c r="Q45" i="3" a="1"/>
  <c r="Q45" i="3" s="1"/>
  <c r="Q46" i="3" a="1"/>
  <c r="Q46" i="3"/>
  <c r="Q47" i="3" a="1"/>
  <c r="Q47" i="3" s="1"/>
  <c r="Q48" i="3" a="1"/>
  <c r="Q48" i="3" s="1"/>
  <c r="Q49" i="3" a="1"/>
  <c r="Q49" i="3"/>
  <c r="Q50" i="3" a="1"/>
  <c r="Q50" i="3"/>
  <c r="Q51" i="3" a="1"/>
  <c r="Q51" i="3" s="1"/>
  <c r="Q52" i="3" a="1"/>
  <c r="Q52" i="3" s="1"/>
  <c r="Q53" i="3" a="1"/>
  <c r="Q53" i="3"/>
  <c r="Q54" i="3" a="1"/>
  <c r="Q54" i="3" s="1"/>
  <c r="Q55" i="3" a="1"/>
  <c r="Q55" i="3" s="1"/>
  <c r="Q56" i="3" a="1"/>
  <c r="Q56" i="3" s="1"/>
  <c r="Q57" i="3" a="1"/>
  <c r="Q57" i="3"/>
  <c r="Q58" i="3" a="1"/>
  <c r="Q58" i="3" s="1"/>
  <c r="Q59" i="3" a="1"/>
  <c r="Q59" i="3" s="1"/>
  <c r="Q60" i="3" a="1"/>
  <c r="Q60" i="3" s="1"/>
  <c r="Q61" i="3" a="1"/>
  <c r="Q61" i="3"/>
  <c r="Q62" i="3" a="1"/>
  <c r="Q62" i="3"/>
  <c r="Q63" i="3" a="1"/>
  <c r="Q63" i="3"/>
  <c r="Q64" i="3" a="1"/>
  <c r="Q64" i="3" s="1"/>
  <c r="Q65" i="3" a="1"/>
  <c r="Q65" i="3" s="1"/>
  <c r="Q66" i="3" a="1"/>
  <c r="Q66" i="3" s="1"/>
  <c r="Q67" i="3" a="1"/>
  <c r="Q67" i="3" s="1"/>
  <c r="Q68" i="3" a="1"/>
  <c r="Q68" i="3"/>
  <c r="Q69" i="3" a="1"/>
  <c r="Q69" i="3" s="1"/>
  <c r="Q70" i="3" a="1"/>
  <c r="Q70" i="3" s="1"/>
  <c r="Q71" i="3" a="1"/>
  <c r="Q71" i="3"/>
  <c r="Q72" i="3" a="1"/>
  <c r="Q72" i="3" s="1"/>
  <c r="Q73" i="3" a="1"/>
  <c r="Q73" i="3"/>
  <c r="Q74" i="3" a="1"/>
  <c r="Q74" i="3"/>
  <c r="Q75" i="3" a="1"/>
  <c r="Q75" i="3"/>
  <c r="Q76" i="3" a="1"/>
  <c r="Q76" i="3"/>
  <c r="Q77" i="3" a="1"/>
  <c r="Q77" i="3" s="1"/>
  <c r="Q78" i="3" a="1"/>
  <c r="Q78" i="3" s="1"/>
  <c r="Q79" i="3" a="1"/>
  <c r="Q79" i="3"/>
  <c r="Q80" i="3" a="1"/>
  <c r="Q80" i="3"/>
  <c r="Q81" i="3" a="1"/>
  <c r="Q81" i="3"/>
  <c r="Q82" i="3" a="1"/>
  <c r="Q82" i="3"/>
  <c r="Q83" i="3" a="1"/>
  <c r="Q83" i="3"/>
  <c r="Q84" i="3" a="1"/>
  <c r="Q84" i="3" s="1"/>
  <c r="Q85" i="3" a="1"/>
  <c r="Q85" i="3" s="1"/>
  <c r="Q86" i="3" a="1"/>
  <c r="Q86" i="3"/>
  <c r="Q87" i="3" a="1"/>
  <c r="Q87" i="3"/>
  <c r="Q88" i="3" a="1"/>
  <c r="Q88" i="3"/>
  <c r="Q89" i="3" a="1"/>
  <c r="Q89" i="3"/>
  <c r="Q90" i="3" a="1"/>
  <c r="Q90" i="3" s="1"/>
  <c r="Q91" i="3" a="1"/>
  <c r="Q91" i="3" s="1"/>
  <c r="Q92" i="3" a="1"/>
  <c r="Q92" i="3"/>
  <c r="Q93" i="3" a="1"/>
  <c r="Q93" i="3" s="1"/>
  <c r="Q94" i="3" a="1"/>
  <c r="Q94" i="3" s="1"/>
  <c r="Q95" i="3" a="1"/>
  <c r="Q95" i="3"/>
  <c r="Q96" i="3" a="1"/>
  <c r="Q96" i="3" s="1"/>
  <c r="Q97" i="3" a="1"/>
  <c r="Q97" i="3" s="1"/>
  <c r="Q98" i="3" a="1"/>
  <c r="Q98" i="3" s="1"/>
  <c r="Q99" i="3" a="1"/>
  <c r="Q99" i="3"/>
  <c r="Q100" i="3" a="1"/>
  <c r="Q100" i="3"/>
  <c r="Q101" i="3" a="1"/>
  <c r="Q101" i="3"/>
  <c r="Q102" i="3" a="1"/>
  <c r="Q102" i="3" s="1"/>
  <c r="Q103" i="3" a="1"/>
  <c r="Q103" i="3"/>
  <c r="Q104" i="3" a="1"/>
  <c r="Q104" i="3" s="1"/>
  <c r="Q105" i="3" a="1"/>
  <c r="Q105" i="3" s="1"/>
  <c r="Q106" i="3" a="1"/>
  <c r="Q106" i="3"/>
  <c r="Q107" i="3" a="1"/>
  <c r="Q107" i="3" s="1"/>
  <c r="Q108" i="3" a="1"/>
  <c r="Q108" i="3" s="1"/>
  <c r="Q109" i="3" a="1"/>
  <c r="Q109" i="3"/>
  <c r="Q110" i="3" a="1"/>
  <c r="Q110" i="3" s="1"/>
  <c r="Q111" i="3" a="1"/>
  <c r="Q111" i="3" s="1"/>
  <c r="Q112" i="3" a="1"/>
  <c r="Q112" i="3"/>
  <c r="Q113" i="3" a="1"/>
  <c r="Q113" i="3"/>
  <c r="Q114" i="3" a="1"/>
  <c r="Q114" i="3" s="1"/>
  <c r="Q115" i="3" a="1"/>
  <c r="Q115" i="3" s="1"/>
  <c r="Q116" i="3" a="1"/>
  <c r="Q116" i="3" s="1"/>
  <c r="Q117" i="3" a="1"/>
  <c r="Q117" i="3"/>
  <c r="Q118" i="3" a="1"/>
  <c r="Q118" i="3" s="1"/>
  <c r="Q119" i="3" a="1"/>
  <c r="Q119" i="3" s="1"/>
  <c r="Q120" i="3" a="1"/>
  <c r="Q120" i="3" s="1"/>
  <c r="Q121" i="3" a="1"/>
  <c r="Q121" i="3"/>
  <c r="Q122" i="3" a="1"/>
  <c r="Q122" i="3"/>
  <c r="Q123" i="3" a="1"/>
  <c r="Q123" i="3" s="1"/>
  <c r="Q124" i="3" a="1"/>
  <c r="Q124" i="3" s="1"/>
  <c r="Q125" i="3" a="1"/>
  <c r="Q125" i="3"/>
  <c r="Q126" i="3" a="1"/>
  <c r="Q126" i="3" s="1"/>
  <c r="Q127" i="3" a="1"/>
  <c r="Q127" i="3" s="1"/>
  <c r="Q128" i="3" a="1"/>
  <c r="Q128" i="3"/>
  <c r="Q129" i="3" a="1"/>
  <c r="Q129" i="3" s="1"/>
  <c r="Q130" i="3" a="1"/>
  <c r="Q130" i="3" s="1"/>
  <c r="Q131" i="3" a="1"/>
  <c r="Q131" i="3"/>
  <c r="Q132" i="3" a="1"/>
  <c r="Q132" i="3" s="1"/>
  <c r="Q133" i="3" a="1"/>
  <c r="Q133" i="3"/>
  <c r="Q134" i="3" a="1"/>
  <c r="Q134" i="3"/>
  <c r="Q135" i="3" a="1"/>
  <c r="Q135" i="3"/>
  <c r="Q136" i="3" a="1"/>
  <c r="Q136" i="3" s="1"/>
  <c r="Q137" i="3" a="1"/>
  <c r="Q137" i="3" s="1"/>
  <c r="Q138" i="3" a="1"/>
  <c r="Q138" i="3" s="1"/>
  <c r="Q139" i="3" a="1"/>
  <c r="Q139" i="3"/>
  <c r="Q140" i="3" a="1"/>
  <c r="Q140" i="3" s="1"/>
  <c r="Q141" i="3" a="1"/>
  <c r="Q141" i="3" s="1"/>
  <c r="Q142" i="3" a="1"/>
  <c r="Q142" i="3"/>
  <c r="Q143" i="3" a="1"/>
  <c r="Q143" i="3" s="1"/>
  <c r="Q144" i="3" a="1"/>
  <c r="Q144" i="3" s="1"/>
  <c r="Q145" i="3" a="1"/>
  <c r="Q145" i="3"/>
  <c r="Q146" i="3" a="1"/>
  <c r="Q146" i="3"/>
  <c r="Q147" i="3" a="1"/>
  <c r="Q147" i="3"/>
  <c r="Q148" i="3" a="1"/>
  <c r="Q148" i="3"/>
  <c r="Q149" i="3" a="1"/>
  <c r="Q149" i="3" s="1"/>
  <c r="Q150" i="3" a="1"/>
  <c r="Q150" i="3" s="1"/>
  <c r="Q151" i="3" a="1"/>
  <c r="Q151" i="3"/>
  <c r="Q152" i="3" a="1"/>
  <c r="Q152" i="3"/>
  <c r="Q153" i="3" a="1"/>
  <c r="Q153" i="3"/>
  <c r="Q154" i="3" a="1"/>
  <c r="Q154" i="3"/>
  <c r="Q155" i="3" a="1"/>
  <c r="Q155" i="3"/>
  <c r="Q156" i="3" a="1"/>
  <c r="Q156" i="3" s="1"/>
  <c r="Q157" i="3" a="1"/>
  <c r="Q157" i="3" s="1"/>
  <c r="Q158" i="3" a="1"/>
  <c r="Q158" i="3"/>
  <c r="Q159" i="3" a="1"/>
  <c r="Q159" i="3"/>
  <c r="Q160" i="3" a="1"/>
  <c r="Q160" i="3"/>
  <c r="Q161" i="3" a="1"/>
  <c r="Q161" i="3"/>
  <c r="Q162" i="3" a="1"/>
  <c r="Q162" i="3" s="1"/>
  <c r="Q163" i="3" a="1"/>
  <c r="Q163" i="3"/>
  <c r="Q164" i="3" a="1"/>
  <c r="Q164" i="3" s="1"/>
  <c r="Q165" i="3" a="1"/>
  <c r="Q165" i="3" s="1"/>
  <c r="Q166" i="3" a="1"/>
  <c r="Q166" i="3"/>
  <c r="Q167" i="3" a="1"/>
  <c r="Q167" i="3" s="1"/>
  <c r="Q168" i="3" a="1"/>
  <c r="Q168" i="3" s="1"/>
  <c r="Q169" i="3" a="1"/>
  <c r="Q169" i="3" s="1"/>
  <c r="Q170" i="3" a="1"/>
  <c r="Q170" i="3" s="1"/>
  <c r="Q171" i="3" a="1"/>
  <c r="Q171" i="3"/>
  <c r="Q172" i="3" a="1"/>
  <c r="Q172" i="3"/>
  <c r="Q173" i="3" a="1"/>
  <c r="Q173" i="3"/>
  <c r="Q174" i="3" a="1"/>
  <c r="Q174" i="3" s="1"/>
  <c r="Q175" i="3" a="1"/>
  <c r="Q175" i="3" s="1"/>
  <c r="Q176" i="3" a="1"/>
  <c r="Q176" i="3" s="1"/>
  <c r="Q177" i="3" a="1"/>
  <c r="Q177" i="3"/>
  <c r="Q178" i="3" a="1"/>
  <c r="Q178" i="3" s="1"/>
  <c r="Q179" i="3" a="1"/>
  <c r="Q179" i="3" s="1"/>
  <c r="Q180" i="3" a="1"/>
  <c r="Q180" i="3" s="1"/>
  <c r="Q181" i="3" a="1"/>
  <c r="Q181" i="3"/>
  <c r="Q182" i="3" a="1"/>
  <c r="Q182" i="3" s="1"/>
  <c r="Q183" i="3" a="1"/>
  <c r="Q183" i="3" s="1"/>
  <c r="Q184" i="3" a="1"/>
  <c r="Q184" i="3"/>
  <c r="Q185" i="3" a="1"/>
  <c r="Q185" i="3"/>
  <c r="Q186" i="3" a="1"/>
  <c r="Q186" i="3" s="1"/>
  <c r="Q187" i="3" a="1"/>
  <c r="Q187" i="3" s="1"/>
  <c r="Q188" i="3" a="1"/>
  <c r="Q188" i="3"/>
  <c r="Q189" i="3" a="1"/>
  <c r="Q189" i="3" s="1"/>
  <c r="Q190" i="3" a="1"/>
  <c r="Q190" i="3" s="1"/>
  <c r="Q191" i="3" a="1"/>
  <c r="Q191" i="3"/>
  <c r="Q192" i="3" a="1"/>
  <c r="Q192" i="3" s="1"/>
  <c r="Q193" i="3" a="1"/>
  <c r="Q193" i="3"/>
  <c r="Q194" i="3" a="1"/>
  <c r="Q194" i="3"/>
  <c r="Q195" i="3" a="1"/>
  <c r="Q195" i="3" s="1"/>
  <c r="Q196" i="3" a="1"/>
  <c r="Q196" i="3" s="1"/>
  <c r="Q197" i="3" a="1"/>
  <c r="Q197" i="3"/>
  <c r="Q198" i="3" a="1"/>
  <c r="Q198" i="3" s="1"/>
  <c r="Q199" i="3" a="1"/>
  <c r="Q199" i="3"/>
  <c r="Q200" i="3" a="1"/>
  <c r="Q200" i="3" s="1"/>
  <c r="Q201" i="3" a="1"/>
  <c r="Q201" i="3" s="1"/>
  <c r="Q202" i="3" a="1"/>
  <c r="Q202" i="3"/>
  <c r="Q203" i="3" a="1"/>
  <c r="Q203" i="3" s="1"/>
  <c r="Q204" i="3" a="1"/>
  <c r="Q204" i="3" s="1"/>
  <c r="Q205" i="3" a="1"/>
  <c r="Q205" i="3"/>
  <c r="Q206" i="3" a="1"/>
  <c r="Q206" i="3"/>
  <c r="Q207" i="3" a="1"/>
  <c r="Q207" i="3"/>
  <c r="Q208" i="3" a="1"/>
  <c r="Q208" i="3" s="1"/>
  <c r="Q209" i="3" a="1"/>
  <c r="Q209" i="3" s="1"/>
  <c r="Q210" i="3" a="1"/>
  <c r="Q210" i="3" s="1"/>
  <c r="Q211" i="3" a="1"/>
  <c r="Q211" i="3" s="1"/>
  <c r="Q212" i="3" a="1"/>
  <c r="Q212" i="3" s="1"/>
  <c r="Q213" i="3" a="1"/>
  <c r="Q213" i="3"/>
  <c r="Q214" i="3" a="1"/>
  <c r="Q214" i="3" s="1"/>
  <c r="Q215" i="3" a="1"/>
  <c r="Q215" i="3" s="1"/>
  <c r="Q216" i="3" a="1"/>
  <c r="Q216" i="3" s="1"/>
  <c r="Q217" i="3" a="1"/>
  <c r="Q217" i="3"/>
  <c r="Q218" i="3" a="1"/>
  <c r="Q218" i="3"/>
  <c r="Q219" i="3" a="1"/>
  <c r="Q219" i="3"/>
  <c r="Q220" i="3" a="1"/>
  <c r="Q220" i="3"/>
  <c r="Q221" i="3" a="1"/>
  <c r="Q221" i="3" s="1"/>
  <c r="Q222" i="3" a="1"/>
  <c r="Q222" i="3" s="1"/>
  <c r="Q223" i="3" a="1"/>
  <c r="Q223" i="3"/>
  <c r="Q224" i="3" a="1"/>
  <c r="Q224" i="3"/>
  <c r="Q225" i="3" a="1"/>
  <c r="Q225" i="3"/>
  <c r="Q226" i="3" a="1"/>
  <c r="Q226" i="3"/>
  <c r="Q227" i="3" a="1"/>
  <c r="Q227" i="3"/>
  <c r="Q228" i="3" a="1"/>
  <c r="Q228" i="3" s="1"/>
  <c r="Q229" i="3" a="1"/>
  <c r="Q229" i="3" s="1"/>
  <c r="Q230" i="3" a="1"/>
  <c r="Q230" i="3"/>
  <c r="Q231" i="3" a="1"/>
  <c r="Q231" i="3"/>
  <c r="Q232" i="3" a="1"/>
  <c r="Q232" i="3"/>
  <c r="Q233" i="3" a="1"/>
  <c r="Q233" i="3"/>
  <c r="Q234" i="3" a="1"/>
  <c r="Q234" i="3" s="1"/>
  <c r="Q235" i="3" a="1"/>
  <c r="Q235" i="3" s="1"/>
  <c r="Q236" i="3" a="1"/>
  <c r="Q236" i="3" s="1"/>
  <c r="Q237" i="3" a="1"/>
  <c r="Q237" i="3"/>
  <c r="Q238" i="3" a="1"/>
  <c r="Q238" i="3" s="1"/>
  <c r="Q239" i="3" a="1"/>
  <c r="Q239" i="3" s="1"/>
  <c r="Q240" i="3" a="1"/>
  <c r="Q240" i="3" s="1"/>
  <c r="Q241" i="3" a="1"/>
  <c r="Q241" i="3" s="1"/>
  <c r="Q242" i="3" a="1"/>
  <c r="Q242" i="3" s="1"/>
  <c r="Q243" i="3" a="1"/>
  <c r="Q243" i="3"/>
  <c r="Q244" i="3" a="1"/>
  <c r="Q244" i="3"/>
  <c r="Q245" i="3" a="1"/>
  <c r="Q245" i="3"/>
  <c r="Q246" i="3" a="1"/>
  <c r="Q246" i="3" s="1"/>
  <c r="Q247" i="3" a="1"/>
  <c r="Q247" i="3" s="1"/>
  <c r="Q248" i="3" a="1"/>
  <c r="Q248" i="3"/>
  <c r="Q249" i="3" a="1"/>
  <c r="Q249" i="3" s="1"/>
  <c r="Q250" i="3" a="1"/>
  <c r="Q250" i="3" s="1"/>
  <c r="Q251" i="3" a="1"/>
  <c r="Q251" i="3"/>
  <c r="Q252" i="3" a="1"/>
  <c r="Q252" i="3" s="1"/>
  <c r="Q253" i="3" a="1"/>
  <c r="Q253" i="3"/>
  <c r="Q254" i="3" a="1"/>
  <c r="Q254" i="3" s="1"/>
  <c r="Q255" i="3" a="1"/>
  <c r="Q255" i="3" s="1"/>
  <c r="Q256" i="3" a="1"/>
  <c r="Q256" i="3"/>
  <c r="Q257" i="3" a="1"/>
  <c r="Q257" i="3"/>
  <c r="Q258" i="3" a="1"/>
  <c r="Q258" i="3" s="1"/>
  <c r="Q259" i="3" a="1"/>
  <c r="Q259" i="3"/>
  <c r="Q260" i="3" a="1"/>
  <c r="Q260" i="3" s="1"/>
  <c r="Q261" i="3" a="1"/>
  <c r="Q261" i="3" s="1"/>
  <c r="Q262" i="3" a="1"/>
  <c r="Q262" i="3"/>
  <c r="Q263" i="3" a="1"/>
  <c r="Q263" i="3" s="1"/>
  <c r="Q264" i="3" a="1"/>
  <c r="Q264" i="3" s="1"/>
  <c r="Q265" i="3" a="1"/>
  <c r="Q265" i="3"/>
  <c r="Q266" i="3" a="1"/>
  <c r="Q266" i="3"/>
  <c r="Q267" i="3" a="1"/>
  <c r="Q267" i="3" s="1"/>
  <c r="Q268" i="3" a="1"/>
  <c r="Q268" i="3" s="1"/>
  <c r="Q269" i="3" a="1"/>
  <c r="Q269" i="3"/>
  <c r="Q270" i="3" a="1"/>
  <c r="Q270" i="3" s="1"/>
  <c r="Q271" i="3" a="1"/>
  <c r="Q271" i="3" s="1"/>
  <c r="Q272" i="3" a="1"/>
  <c r="Q272" i="3" s="1"/>
  <c r="Q273" i="3" a="1"/>
  <c r="Q273" i="3"/>
  <c r="Q274" i="3" a="1"/>
  <c r="Q274" i="3" s="1"/>
  <c r="Q275" i="3" a="1"/>
  <c r="Q275" i="3" s="1"/>
  <c r="Q276" i="3" a="1"/>
  <c r="Q276" i="3" s="1"/>
  <c r="Q277" i="3" a="1"/>
  <c r="Q277" i="3"/>
  <c r="Q278" i="3" a="1"/>
  <c r="Q278" i="3"/>
  <c r="Q279" i="3" a="1"/>
  <c r="Q279" i="3"/>
  <c r="Q280" i="3" a="1"/>
  <c r="Q280" i="3" s="1"/>
  <c r="Q281" i="3" a="1"/>
  <c r="Q281" i="3" s="1"/>
  <c r="Q282" i="3" a="1"/>
  <c r="Q282" i="3" s="1"/>
  <c r="Q283" i="3" a="1"/>
  <c r="Q283" i="3" s="1"/>
  <c r="Q284" i="3" a="1"/>
  <c r="Q284" i="3"/>
  <c r="Q285" i="3" a="1"/>
  <c r="Q285" i="3" s="1"/>
  <c r="Q286" i="3" a="1"/>
  <c r="Q286" i="3" s="1"/>
  <c r="Q287" i="3" a="1"/>
  <c r="Q287" i="3"/>
  <c r="Q288" i="3" a="1"/>
  <c r="Q288" i="3" s="1"/>
  <c r="Q289" i="3" a="1"/>
  <c r="Q289" i="3"/>
  <c r="Q290" i="3" a="1"/>
  <c r="Q290" i="3"/>
  <c r="Q291" i="3" a="1"/>
  <c r="Q291" i="3"/>
  <c r="Q292" i="3" a="1"/>
  <c r="Q292" i="3"/>
  <c r="Q293" i="3" a="1"/>
  <c r="Q293" i="3" s="1"/>
  <c r="Q294" i="3" a="1"/>
  <c r="Q294" i="3" s="1"/>
  <c r="Q295" i="3" a="1"/>
  <c r="Q295" i="3"/>
  <c r="Q296" i="3" a="1"/>
  <c r="Q296" i="3"/>
  <c r="Q297" i="3" a="1"/>
  <c r="Q297" i="3"/>
  <c r="Q298" i="3" a="1"/>
  <c r="Q298" i="3"/>
  <c r="Q299" i="3" a="1"/>
  <c r="Q299" i="3"/>
  <c r="Q300" i="3" a="1"/>
  <c r="Q300" i="3" s="1"/>
  <c r="Q301" i="3" a="1"/>
  <c r="Q301" i="3" s="1"/>
  <c r="Q302" i="3" a="1"/>
  <c r="Q302" i="3"/>
  <c r="Q303" i="3" a="1"/>
  <c r="Q303" i="3"/>
  <c r="Q304" i="3" a="1"/>
  <c r="Q304" i="3"/>
  <c r="Q305" i="3" a="1"/>
  <c r="Q305" i="3"/>
  <c r="Q306" i="3" a="1"/>
  <c r="Q306" i="3" s="1"/>
  <c r="Q307" i="3" a="1"/>
  <c r="Q307" i="3" s="1"/>
  <c r="Q308" i="3" a="1"/>
  <c r="Q308" i="3"/>
  <c r="Q309" i="3" a="1"/>
  <c r="Q309" i="3" s="1"/>
  <c r="Q310" i="3" a="1"/>
  <c r="Q310" i="3" s="1"/>
  <c r="Q311" i="3" a="1"/>
  <c r="Q311" i="3"/>
  <c r="Q312" i="3" a="1"/>
  <c r="Q312" i="3" s="1"/>
  <c r="Q313" i="3" a="1"/>
  <c r="Q313" i="3" s="1"/>
  <c r="Q314" i="3" a="1"/>
  <c r="Q314" i="3" s="1"/>
  <c r="Q315" i="3" a="1"/>
  <c r="Q315" i="3"/>
  <c r="Q316" i="3" a="1"/>
  <c r="Q316" i="3"/>
  <c r="Q317" i="3" a="1"/>
  <c r="Q317" i="3"/>
  <c r="Q318" i="3" a="1"/>
  <c r="Q318" i="3" s="1"/>
  <c r="Q319" i="3" a="1"/>
  <c r="Q319" i="3"/>
  <c r="Q320" i="3" a="1"/>
  <c r="Q320" i="3" s="1"/>
  <c r="Q321" i="3" a="1"/>
  <c r="Q321" i="3"/>
  <c r="Q322" i="3" a="1"/>
  <c r="Q322" i="3"/>
  <c r="Q323" i="3" a="1"/>
  <c r="Q323" i="3"/>
  <c r="Q324" i="3" a="1"/>
  <c r="Q324" i="3" s="1"/>
  <c r="Q325" i="3" a="1"/>
  <c r="Q325" i="3" s="1"/>
  <c r="Q326" i="3" a="1"/>
  <c r="Q326" i="3" s="1"/>
  <c r="Q327" i="3" a="1"/>
  <c r="Q327" i="3" s="1"/>
  <c r="Q328" i="3" a="1"/>
  <c r="Q328" i="3" s="1"/>
  <c r="Q329" i="3" a="1"/>
  <c r="Q329" i="3" s="1"/>
  <c r="Q330" i="3" a="1"/>
  <c r="Q330" i="3" s="1"/>
  <c r="Q331" i="3" a="1"/>
  <c r="Q331" i="3"/>
  <c r="Q332" i="3" a="1"/>
  <c r="Q332" i="3"/>
  <c r="Q333" i="3" a="1"/>
  <c r="Q333" i="3"/>
  <c r="Q334" i="3" a="1"/>
  <c r="Q334" i="3"/>
  <c r="Q335" i="3" a="1"/>
  <c r="Q335" i="3"/>
  <c r="Q336" i="3" a="1"/>
  <c r="Q336" i="3" s="1"/>
  <c r="Q337" i="3" a="1"/>
  <c r="Q337" i="3"/>
  <c r="Q338" i="3" a="1"/>
  <c r="Q338" i="3" s="1"/>
  <c r="Q339" i="3" a="1"/>
  <c r="Q339" i="3" s="1"/>
  <c r="Q340" i="3" a="1"/>
  <c r="Q340" i="3" s="1"/>
  <c r="Q341" i="3" a="1"/>
  <c r="Q341" i="3"/>
  <c r="Q342" i="3" a="1"/>
  <c r="Q342" i="3" s="1"/>
  <c r="Q343" i="3" a="1"/>
  <c r="Q343" i="3"/>
  <c r="Q344" i="3" a="1"/>
  <c r="Q344" i="3"/>
  <c r="Q345" i="3" a="1"/>
  <c r="Q345" i="3"/>
  <c r="Q346" i="3" a="1"/>
  <c r="Q346" i="3" s="1"/>
  <c r="Q347" i="3" a="1"/>
  <c r="Q347" i="3" s="1"/>
  <c r="Q348" i="3" a="1"/>
  <c r="Q348" i="3" s="1"/>
  <c r="Q349" i="3" a="1"/>
  <c r="Q349" i="3"/>
  <c r="Q350" i="3" a="1"/>
  <c r="Q350" i="3"/>
  <c r="Q351" i="3" a="1"/>
  <c r="Q351" i="3"/>
  <c r="Q352" i="3" a="1"/>
  <c r="Q352" i="3" s="1"/>
  <c r="Q353" i="3" a="1"/>
  <c r="Q353" i="3" s="1"/>
  <c r="Q354" i="3" a="1"/>
  <c r="Q354" i="3" s="1"/>
  <c r="Q355" i="3" a="1"/>
  <c r="Q355" i="3" s="1"/>
  <c r="Q356" i="3" a="1"/>
  <c r="Q356" i="3"/>
  <c r="Q357" i="3" a="1"/>
  <c r="Q357" i="3" s="1"/>
  <c r="Q358" i="3" a="1"/>
  <c r="Q358" i="3" s="1"/>
  <c r="Q359" i="3" a="1"/>
  <c r="Q359" i="3" s="1"/>
  <c r="Q360" i="3" a="1"/>
  <c r="Q360" i="3" s="1"/>
  <c r="Q361" i="3" a="1"/>
  <c r="Q361" i="3" s="1"/>
  <c r="Q362" i="3" a="1"/>
  <c r="Q362" i="3" s="1"/>
  <c r="Q363" i="3" a="1"/>
  <c r="Q363" i="3"/>
  <c r="Q364" i="3" a="1"/>
  <c r="Q364" i="3" s="1"/>
  <c r="Q365" i="3" a="1"/>
  <c r="Q365" i="3" s="1"/>
  <c r="Q366" i="3" a="1"/>
  <c r="Q366" i="3" s="1"/>
  <c r="Q367" i="3" a="1"/>
  <c r="Q367" i="3"/>
  <c r="Q368" i="3" a="1"/>
  <c r="Q368" i="3" s="1"/>
  <c r="Q369" i="3" a="1"/>
  <c r="Q369" i="3" s="1"/>
  <c r="Q370" i="3" a="1"/>
  <c r="Q370" i="3"/>
  <c r="Q371" i="3" a="1"/>
  <c r="Q371" i="3" s="1"/>
  <c r="Q372" i="3" a="1"/>
  <c r="Q372" i="3" s="1"/>
  <c r="Q373" i="3" a="1"/>
  <c r="Q373" i="3" s="1"/>
  <c r="Q374" i="3" a="1"/>
  <c r="Q374" i="3"/>
  <c r="Q375" i="3" a="1"/>
  <c r="Q375" i="3" s="1"/>
  <c r="Q376" i="3" a="1"/>
  <c r="Q376" i="3" s="1"/>
  <c r="Q377" i="3" a="1"/>
  <c r="Q377" i="3"/>
  <c r="Q378" i="3" a="1"/>
  <c r="Q378" i="3" s="1"/>
  <c r="Q379" i="3" a="1"/>
  <c r="Q379" i="3" s="1"/>
  <c r="Q380" i="3" a="1"/>
  <c r="Q380" i="3" s="1"/>
  <c r="Q381" i="3" a="1"/>
  <c r="Q381" i="3"/>
  <c r="Q382" i="3" a="1"/>
  <c r="Q382" i="3" s="1"/>
  <c r="Q383" i="3" a="1"/>
  <c r="Q383" i="3" s="1"/>
  <c r="Q384" i="3" a="1"/>
  <c r="Q384" i="3" s="1"/>
  <c r="Q385" i="3" a="1"/>
  <c r="Q385" i="3" s="1"/>
  <c r="Q386" i="3" a="1"/>
  <c r="Q386" i="3" s="1"/>
  <c r="Q387" i="3" a="1"/>
  <c r="Q387" i="3"/>
  <c r="Q388" i="3" a="1"/>
  <c r="Q388" i="3"/>
  <c r="Q389" i="3" a="1"/>
  <c r="Q389" i="3"/>
  <c r="Q390" i="3" a="1"/>
  <c r="Q390" i="3" s="1"/>
  <c r="Q391" i="3" a="1"/>
  <c r="Q391" i="3" s="1"/>
  <c r="Q2" i="3" a="1"/>
  <c r="Q2" i="3"/>
  <c r="Q3" i="3" a="1"/>
  <c r="Q3" i="3" s="1"/>
  <c r="Q4" i="3" a="1"/>
  <c r="Q4" i="3" s="1"/>
  <c r="Q5" i="3" a="1"/>
  <c r="Q5" i="3"/>
  <c r="Q6" i="3" a="1"/>
  <c r="Q6" i="3" s="1"/>
  <c r="Q7" i="3" a="1"/>
  <c r="Q7" i="3"/>
  <c r="Q8" i="3" a="1"/>
  <c r="Q8" i="3" s="1"/>
  <c r="Q9" i="3" a="1"/>
  <c r="Q9" i="3" s="1"/>
  <c r="Q10" i="3" a="1"/>
  <c r="Q10" i="3"/>
  <c r="Q11" i="3" a="1"/>
  <c r="Q11" i="3"/>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2" i="2"/>
  <c r="S5" i="2"/>
  <c r="T6" i="2"/>
  <c r="S6" i="2"/>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c r="K21" i="2" a="1"/>
  <c r="K21" i="2" s="1"/>
  <c r="K22" i="2" a="1"/>
  <c r="K22" i="2" s="1"/>
  <c r="K23" i="2" a="1"/>
  <c r="K23" i="2" s="1"/>
  <c r="K24" i="2" a="1"/>
  <c r="K24" i="2" s="1"/>
  <c r="K25" i="2" a="1"/>
  <c r="K25" i="2" s="1"/>
  <c r="K26" i="2" a="1"/>
  <c r="K26" i="2" s="1"/>
  <c r="K27" i="2" a="1"/>
  <c r="K27" i="2" s="1"/>
  <c r="K28" i="2" a="1"/>
  <c r="K28" i="2" s="1"/>
  <c r="K29" i="2" a="1"/>
  <c r="K29" i="2" s="1"/>
  <c r="K30" i="2" a="1"/>
  <c r="K30" i="2"/>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c r="K251" i="2" a="1"/>
  <c r="K251" i="2" s="1"/>
  <c r="K252" i="2" a="1"/>
  <c r="K252" i="2"/>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c r="K265" i="2" a="1"/>
  <c r="K265" i="2" s="1"/>
  <c r="K266" i="2" a="1"/>
  <c r="K266" i="2" s="1"/>
  <c r="K267" i="2" a="1"/>
  <c r="K267" i="2" s="1"/>
  <c r="K268" i="2" a="1"/>
  <c r="K268" i="2" s="1"/>
  <c r="K269" i="2" a="1"/>
  <c r="K269" i="2" s="1"/>
  <c r="K270" i="2" a="1"/>
  <c r="K270" i="2" s="1"/>
  <c r="K271" i="2" a="1"/>
  <c r="K271" i="2" s="1"/>
  <c r="K272" i="2" a="1"/>
  <c r="K272" i="2" s="1"/>
  <c r="K273" i="2" a="1"/>
  <c r="K273" i="2" s="1"/>
  <c r="K274" i="2" a="1"/>
  <c r="K274" i="2"/>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c r="K319" i="2" a="1"/>
  <c r="K319" i="2" s="1"/>
  <c r="K320" i="2" a="1"/>
  <c r="K320" i="2" s="1"/>
  <c r="K321" i="2" a="1"/>
  <c r="K321" i="2" s="1"/>
  <c r="K322" i="2" a="1"/>
  <c r="K322" i="2" s="1"/>
  <c r="K323" i="2" a="1"/>
  <c r="K323" i="2" s="1"/>
  <c r="K324" i="2" a="1"/>
  <c r="K324" i="2" s="1"/>
  <c r="K325" i="2" a="1"/>
  <c r="K325" i="2"/>
  <c r="K326" i="2" a="1"/>
  <c r="K326" i="2" s="1"/>
  <c r="K327" i="2" a="1"/>
  <c r="K327" i="2" s="1"/>
  <c r="K328" i="2" a="1"/>
  <c r="K328" i="2" s="1"/>
  <c r="K329" i="2" a="1"/>
  <c r="K329" i="2" s="1"/>
  <c r="K330" i="2" a="1"/>
  <c r="K330" i="2" s="1"/>
  <c r="K331" i="2" a="1"/>
  <c r="K331" i="2" s="1"/>
  <c r="K332" i="2" a="1"/>
  <c r="K332" i="2" s="1"/>
  <c r="K333" i="2" a="1"/>
  <c r="K333" i="2" s="1"/>
  <c r="K334" i="2" a="1"/>
  <c r="K334" i="2"/>
  <c r="K335" i="2" a="1"/>
  <c r="K335" i="2"/>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c r="K415" i="2" a="1"/>
  <c r="K415" i="2" s="1"/>
  <c r="K416" i="2" a="1"/>
  <c r="K416" i="2" s="1"/>
  <c r="K417" i="2" a="1"/>
  <c r="K417" i="2" s="1"/>
  <c r="K418" i="2" a="1"/>
  <c r="K418" i="2" s="1"/>
  <c r="K419" i="2" a="1"/>
  <c r="K419" i="2" s="1"/>
  <c r="K420" i="2" a="1"/>
  <c r="K420" i="2"/>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c r="K461" i="2" a="1"/>
  <c r="K461" i="2" s="1"/>
  <c r="K462" i="2" a="1"/>
  <c r="K462" i="2" s="1"/>
  <c r="K463" i="2" a="1"/>
  <c r="K463" i="2" s="1"/>
  <c r="K464" i="2" a="1"/>
  <c r="K464" i="2" s="1"/>
  <c r="K465" i="2" a="1"/>
  <c r="K465" i="2" s="1"/>
  <c r="K466" i="2" a="1"/>
  <c r="K466" i="2" s="1"/>
  <c r="K467" i="2" a="1"/>
  <c r="K467" i="2"/>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2" i="2" a="1"/>
  <c r="K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2" i="2"/>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M2" i="1"/>
  <c r="L2" i="1"/>
  <c r="K2"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2" i="1"/>
  <c r="C30" i="8"/>
  <c r="C42" i="8"/>
  <c r="C31" i="8"/>
  <c r="C43" i="8"/>
  <c r="C33" i="8"/>
  <c r="C34" i="8"/>
  <c r="C35" i="8"/>
  <c r="C37" i="8"/>
  <c r="C41" i="8"/>
  <c r="C32" i="8"/>
  <c r="C36" i="8"/>
  <c r="C38" i="8"/>
  <c r="C39" i="8"/>
  <c r="C40" i="8"/>
  <c r="X9" i="3" l="1"/>
  <c r="W9" i="3"/>
  <c r="Y10" i="3"/>
  <c r="V8" i="3"/>
  <c r="W7" i="3"/>
  <c r="X7" i="3"/>
  <c r="W8" i="3"/>
  <c r="X8" i="3"/>
  <c r="X13" i="3"/>
  <c r="Y7" i="3"/>
  <c r="W13" i="3"/>
  <c r="Y13" i="3"/>
  <c r="X12" i="3"/>
  <c r="Y12" i="3"/>
  <c r="V7" i="3"/>
  <c r="W12" i="3"/>
  <c r="Y11" i="3"/>
  <c r="V12" i="3"/>
  <c r="W11" i="3"/>
  <c r="Y9" i="3"/>
  <c r="V13" i="3"/>
  <c r="X11" i="3"/>
  <c r="V11" i="3"/>
  <c r="X10" i="3"/>
  <c r="Y8" i="3"/>
  <c r="V10" i="3"/>
  <c r="W10" i="3"/>
  <c r="V9" i="3"/>
  <c r="P6" i="2"/>
  <c r="R6" i="2"/>
  <c r="Q6" i="2"/>
  <c r="R5" i="2"/>
  <c r="P5" i="2"/>
  <c r="Q5" i="2"/>
  <c r="W4" i="1"/>
  <c r="X7" i="1"/>
  <c r="X6" i="1"/>
  <c r="W6" i="1"/>
  <c r="X9" i="1"/>
  <c r="X5" i="1"/>
  <c r="W7" i="1"/>
  <c r="W9" i="1"/>
  <c r="W5" i="1"/>
  <c r="W10" i="1"/>
  <c r="X8" i="1"/>
  <c r="X4" i="1"/>
  <c r="X10" i="1"/>
  <c r="W8" i="1"/>
  <c r="R4" i="1"/>
  <c r="R8" i="1"/>
  <c r="S7" i="1"/>
  <c r="R7" i="1"/>
  <c r="S6" i="1"/>
  <c r="S10" i="1"/>
  <c r="R6" i="1"/>
  <c r="R10" i="1"/>
  <c r="S5" i="1"/>
  <c r="S9" i="1"/>
  <c r="R5" i="1"/>
  <c r="R9" i="1"/>
  <c r="S4" i="1"/>
  <c r="S8" i="1"/>
  <c r="D40" i="8"/>
  <c r="D37" i="8"/>
  <c r="D42" i="8"/>
  <c r="E40" i="8"/>
  <c r="E37" i="8"/>
  <c r="E39" i="8"/>
  <c r="D35" i="8"/>
  <c r="E30" i="8"/>
  <c r="D39" i="8"/>
  <c r="D30" i="8"/>
  <c r="D34" i="8"/>
  <c r="E34" i="8"/>
  <c r="E33" i="8"/>
  <c r="D33" i="8"/>
  <c r="E32" i="8"/>
  <c r="D32" i="8"/>
  <c r="E31" i="8"/>
  <c r="D31" i="8"/>
  <c r="E42" i="8"/>
  <c r="E35" i="8"/>
  <c r="E38" i="8"/>
  <c r="D38" i="8"/>
  <c r="D36" i="8"/>
  <c r="E36" i="8"/>
  <c r="D43" i="8"/>
  <c r="E43" i="8"/>
  <c r="D41" i="8"/>
  <c r="E41" i="8"/>
  <c r="T4" i="1" l="1"/>
  <c r="Y6" i="1"/>
  <c r="Y9" i="1"/>
  <c r="Y7" i="1"/>
  <c r="Y4" i="1"/>
  <c r="T10" i="1"/>
  <c r="Y10" i="1"/>
  <c r="Y5" i="1"/>
  <c r="Y8" i="1"/>
  <c r="T5" i="1"/>
  <c r="T6" i="1"/>
  <c r="T9" i="1"/>
  <c r="S11" i="1"/>
  <c r="R11" i="1"/>
  <c r="T7" i="1"/>
  <c r="T8" i="1"/>
  <c r="T1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0018AB-9E56-41DA-87EC-F36993CDD702}"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57CC13E6-081C-4607-832D-47CF3CB16F27}"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3" xr16:uid="{188A2662-F0A9-4D66-9F16-896D2DE280C7}" keepAlive="1" name="Query - Append3" description="Connection to the 'Append3' query in the workbook." type="5" refreshedVersion="8" background="1" saveData="1">
    <dbPr connection="Provider=Microsoft.Mashup.OleDb.1;Data Source=$Workbook$;Location=Append3;Extended Properties=&quot;&quot;" command="SELECT * FROM [Append3]"/>
  </connection>
  <connection id="4" xr16:uid="{BEA73703-6757-497F-B5FA-2CE935C10F03}" keepAlive="1" name="Query - Append4" description="Connection to the 'Append4' query in the workbook." type="5" refreshedVersion="8" background="1" saveData="1">
    <dbPr connection="Provider=Microsoft.Mashup.OleDb.1;Data Source=$Workbook$;Location=Append4;Extended Properties=&quot;&quot;" command="SELECT * FROM [Append4]"/>
  </connection>
  <connection id="5" xr16:uid="{1AE589A7-A7ED-4E67-87EC-5B408C5F44CD}"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6" xr16:uid="{22A4B314-6B4B-4BB5-9F0A-91FA9689CF08}" keepAlive="1" name="Query - Table7 (2)" description="Connection to the 'Table7 (2)' query in the workbook." type="5" refreshedVersion="8" background="1" saveData="1">
    <dbPr connection="Provider=Microsoft.Mashup.OleDb.1;Data Source=$Workbook$;Location=&quot;Table7 (2)&quot;;Extended Properties=&quot;&quot;" command="SELECT * FROM [Table7 (2)]"/>
  </connection>
  <connection id="7" xr16:uid="{2A2ABF13-CA9C-4EE6-BA19-AB61B8D69B90}" keepAlive="1" name="Query - Table9" description="Connection to the 'Table9' query in the workbook." type="5" refreshedVersion="0" background="1" saveData="1">
    <dbPr connection="Provider=Microsoft.Mashup.OleDb.1;Data Source=$Workbook$;Location=Table9;Extended Properties=&quot;&quot;" command="SELECT * FROM [Table9]"/>
  </connection>
  <connection id="8" xr16:uid="{C9E87D9F-1B16-4F3A-BBEE-AC428ECBD0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21A6ED9-796A-4616-A826-6D6CCE1553B0}" name="WorksheetConnection_Sheet1!$H$1:$O$611" type="102" refreshedVersion="8" minRefreshableVersion="5">
    <extLst>
      <ext xmlns:x15="http://schemas.microsoft.com/office/spreadsheetml/2010/11/main" uri="{DE250136-89BD-433C-8126-D09CA5730AF9}">
        <x15:connection id="Range" autoDelete="1">
          <x15:rangePr sourceName="_xlcn.WorksheetConnection_Sheet1H1O61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<sst xmlns="http://schemas.openxmlformats.org/spreadsheetml/2006/main" count="2198" uniqueCount="77">
  <si>
    <t>instant</t>
  </si>
  <si>
    <t>dteday</t>
  </si>
  <si>
    <t>season</t>
  </si>
  <si>
    <t>yr</t>
  </si>
  <si>
    <t>mnth</t>
  </si>
  <si>
    <t>hr</t>
  </si>
  <si>
    <t>holiday</t>
  </si>
  <si>
    <t>weekday</t>
  </si>
  <si>
    <t>weathersit</t>
  </si>
  <si>
    <t>temp</t>
  </si>
  <si>
    <t>Unnamed: 0</t>
  </si>
  <si>
    <t>atemp</t>
  </si>
  <si>
    <t>hum</t>
  </si>
  <si>
    <t>windspeed</t>
  </si>
  <si>
    <t>casual</t>
  </si>
  <si>
    <t>registered</t>
  </si>
  <si>
    <t>cnt</t>
  </si>
  <si>
    <t>Day</t>
  </si>
  <si>
    <t>No. of casual</t>
  </si>
  <si>
    <t>Total</t>
  </si>
  <si>
    <t>Sat</t>
  </si>
  <si>
    <t>Sun</t>
  </si>
  <si>
    <t>Mon</t>
  </si>
  <si>
    <t>Tue</t>
  </si>
  <si>
    <t>Wed</t>
  </si>
  <si>
    <t>Thu</t>
  </si>
  <si>
    <t>Fri</t>
  </si>
  <si>
    <t>No. of Registered</t>
  </si>
  <si>
    <t>Shift</t>
  </si>
  <si>
    <t>Night shift</t>
  </si>
  <si>
    <t>Day shift</t>
  </si>
  <si>
    <t>totalshift</t>
  </si>
  <si>
    <t>humidity levels</t>
  </si>
  <si>
    <t>Casual</t>
  </si>
  <si>
    <t>Registered</t>
  </si>
  <si>
    <t>Average</t>
  </si>
  <si>
    <t>Count</t>
  </si>
  <si>
    <t xml:space="preserve">N/d </t>
  </si>
  <si>
    <t>higher humidity</t>
  </si>
  <si>
    <t>Lower humidity</t>
  </si>
  <si>
    <t>Medium humidity</t>
  </si>
  <si>
    <t>len</t>
  </si>
  <si>
    <t>Based on Humidity Casual and Registered Booking</t>
  </si>
  <si>
    <t>Booking</t>
  </si>
  <si>
    <t>registered status</t>
  </si>
  <si>
    <t>time</t>
  </si>
  <si>
    <t>user demand for booking</t>
  </si>
  <si>
    <t>Time</t>
  </si>
  <si>
    <t>day</t>
  </si>
  <si>
    <t>Saturday</t>
  </si>
  <si>
    <t>Sunday</t>
  </si>
  <si>
    <t>Monday</t>
  </si>
  <si>
    <t>Tuesday</t>
  </si>
  <si>
    <t>Wednesday</t>
  </si>
  <si>
    <t>Thursday</t>
  </si>
  <si>
    <t>Friday</t>
  </si>
  <si>
    <t>stdev</t>
  </si>
  <si>
    <t>average</t>
  </si>
  <si>
    <t>Sum of casual</t>
  </si>
  <si>
    <t>Sum of registered</t>
  </si>
  <si>
    <t>Sum of cnt</t>
  </si>
  <si>
    <t>Row Labels</t>
  </si>
  <si>
    <t>Grand Total</t>
  </si>
  <si>
    <t>Instant</t>
  </si>
  <si>
    <t>Total Registered</t>
  </si>
  <si>
    <t>Forecast(cnt)</t>
  </si>
  <si>
    <t>Lower Confidence Bound(cnt)</t>
  </si>
  <si>
    <t>Upper Confidence Bound(cnt)</t>
  </si>
  <si>
    <t>afternoon</t>
  </si>
  <si>
    <t>Day Shift</t>
  </si>
  <si>
    <t>date</t>
  </si>
  <si>
    <t>night</t>
  </si>
  <si>
    <t>morning</t>
  </si>
  <si>
    <t>Day2</t>
  </si>
  <si>
    <t>Sum</t>
  </si>
  <si>
    <t>Running Total</t>
  </si>
  <si>
    <t>atemp2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</si>
</sst>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Calibri"/>
      <family val="2"/>
    </font>
    <font>
      <b/>
      <sz val="12"/>
      <color theme="1"/>
      <name val="Aptos Narrow"/>
      <family val="2"/>
      <scheme val="minor"/>
    </font>
    <font>
      <i/>
      <sz val="11"/>
      <color theme="1"/>
      <name val="Calibri"/>
      <family val="2"/>
    </font>
    <font>
      <i/>
      <sz val="10"/>
      <color theme="1"/>
      <name val="Aptos Narrow"/>
      <family val="2"/>
      <scheme val="minor"/>
    </font>
    <font>
      <sz val="8"/>
      <name val="Aptos Narrow"/>
      <family val="2"/>
      <scheme val="minor"/>
    </font>
    <font>
      <sz val="11"/>
      <color theme="1"/>
      <name val="Aptos Narrow"/>
      <family val="2"/>
      <scheme val="minor"/>
    </font>
    <font>
      <b/>
      <i/>
      <sz val="11"/>
      <color theme="1"/>
      <name val="Calibri"/>
      <family val="2"/>
    </font>
    <font>
      <sz val="12"/>
      <color theme="1"/>
      <name val="Aptos Narrow"/>
      <family val="2"/>
      <scheme val="minor"/>
    </font>
    <font>
      <sz val="14"/>
      <color theme="1"/>
      <name val="Aptos Narrow"/>
      <family val="2"/>
      <scheme val="minor"/>
    </font>
    <font>
      <b/>
      <i/>
      <sz val="14"/>
      <color theme="1"/>
      <name val="Calibri"/>
      <family val="2"/>
    </font>
    <font>
      <sz val="14"/>
      <color theme="2"/>
      <name val="Aptos Narrow"/>
      <family val="2"/>
      <scheme val="minor"/>
    </font>
    <font>
      <sz val="16"/>
      <color theme="1"/>
      <name val="Aptos Narrow"/>
      <family val="2"/>
      <scheme val="minor"/>
    </font>
    <font>
      <sz val="18"/>
      <color theme="1"/>
      <name val="Aptos Narrow"/>
      <family val="2"/>
      <scheme val="minor"/>
    </font>
    <font>
      <b/>
      <sz val="18"/>
      <color theme="1"/>
      <name val="Aptos Narrow"/>
      <family val="2"/>
      <scheme val="minor"/>
    </font>
    <font>
      <b/>
      <sz val="11"/>
      <color theme="1"/>
      <name val="Aptos Narrow"/>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9.9978637043366805E-2"/>
        <bgColor indexed="24"/>
      </patternFill>
    </fill>
    <fill>
      <patternFill patternType="solid">
        <fgColor theme="3" tint="0.749992370372631"/>
        <bgColor indexed="64"/>
      </patternFill>
    </fill>
    <fill>
      <patternFill patternType="solid">
        <fgColor theme="3" tint="0.249977111117893"/>
        <bgColor indexed="24"/>
      </patternFill>
    </fill>
    <fill>
      <patternFill patternType="solid">
        <fgColor theme="0"/>
        <bgColor indexed="64"/>
      </patternFill>
    </fill>
    <fill>
      <patternFill patternType="solid">
        <fgColor theme="2" tint="-0.249977111117893"/>
        <bgColor indexed="64"/>
      </patternFill>
    </fill>
    <fill>
      <patternFill patternType="solid">
        <fgColor theme="2"/>
        <bgColor indexed="64"/>
      </patternFill>
    </fill>
    <fill>
      <patternFill patternType="solid">
        <fgColor theme="2" tint="-0.499984740745262"/>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medium">
        <color indexed="64"/>
      </top>
      <bottom style="thin">
        <color indexed="64"/>
      </bottom>
      <diagonal/>
    </border>
    <border>
      <left style="medium">
        <color rgb="FFCCCCCC"/>
      </left>
      <right style="medium">
        <color rgb="FFCCCCCC"/>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41">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0" fillId="0" borderId="0" xfId="0" applyAlignment="1">
      <alignment wrapText="1"/>
    </xf>
    <xf numFmtId="14" fontId="0" fillId="0" borderId="0" xfId="0" applyNumberFormat="1" applyAlignment="1">
      <alignment wrapText="1"/>
    </xf>
    <xf numFmtId="0" fontId="0" fillId="0" borderId="2" xfId="0" applyBorder="1" applyAlignment="1">
      <alignment wrapText="1"/>
    </xf>
    <xf numFmtId="14" fontId="0" fillId="0" borderId="2" xfId="0" applyNumberFormat="1" applyBorder="1" applyAlignment="1">
      <alignment wrapText="1"/>
    </xf>
    <xf numFmtId="0" fontId="3" fillId="2" borderId="1" xfId="0" applyFont="1" applyFill="1" applyBorder="1" applyAlignment="1">
      <alignment wrapText="1"/>
    </xf>
    <xf numFmtId="0" fontId="2" fillId="3" borderId="3" xfId="0" applyFont="1" applyFill="1" applyBorder="1" applyAlignment="1">
      <alignment horizontal="right" wrapText="1"/>
    </xf>
    <xf numFmtId="0" fontId="2" fillId="3" borderId="0" xfId="0" applyFont="1" applyFill="1" applyAlignment="1">
      <alignment horizontal="right" wrapText="1"/>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9" fontId="0" fillId="0" borderId="0" xfId="1" applyFont="1"/>
    <xf numFmtId="9" fontId="1" fillId="0" borderId="1" xfId="1" applyFont="1" applyBorder="1" applyAlignment="1">
      <alignment horizontal="right" wrapText="1"/>
    </xf>
    <xf numFmtId="0" fontId="7" fillId="2" borderId="1" xfId="0" applyFont="1" applyFill="1" applyBorder="1" applyAlignment="1">
      <alignment wrapText="1"/>
    </xf>
    <xf numFmtId="0" fontId="7" fillId="2" borderId="4" xfId="0" applyFont="1" applyFill="1" applyBorder="1" applyAlignment="1">
      <alignment wrapText="1"/>
    </xf>
    <xf numFmtId="0" fontId="8" fillId="0" borderId="0" xfId="0" applyFont="1"/>
    <xf numFmtId="0" fontId="9" fillId="0" borderId="0" xfId="0" applyFont="1"/>
    <xf numFmtId="9" fontId="10" fillId="2" borderId="1" xfId="1" applyFont="1" applyFill="1" applyBorder="1" applyAlignment="1">
      <alignment wrapText="1"/>
    </xf>
    <xf numFmtId="0" fontId="11" fillId="0" borderId="0" xfId="0" applyFont="1"/>
    <xf numFmtId="0" fontId="7" fillId="2" borderId="0" xfId="0" applyFont="1" applyFill="1" applyAlignment="1">
      <alignment wrapText="1"/>
    </xf>
    <xf numFmtId="0" fontId="0" fillId="0" borderId="0" xfId="0" pivotButton="1"/>
    <xf numFmtId="0" fontId="0" fillId="0" borderId="0" xfId="0" applyAlignment="1">
      <alignment horizontal="left"/>
    </xf>
    <xf numFmtId="0" fontId="0" fillId="0" borderId="7" xfId="0" applyBorder="1"/>
    <xf numFmtId="0" fontId="13" fillId="2" borderId="5" xfId="0" applyFont="1" applyFill="1" applyBorder="1"/>
    <xf numFmtId="0" fontId="9" fillId="6" borderId="6" xfId="0" applyFont="1" applyFill="1" applyBorder="1"/>
    <xf numFmtId="0" fontId="12" fillId="0" borderId="0" xfId="0" applyFont="1"/>
    <xf numFmtId="0" fontId="14" fillId="7" borderId="0" xfId="0" applyFont="1" applyFill="1"/>
    <xf numFmtId="0" fontId="12" fillId="8" borderId="0" xfId="0" applyFont="1" applyFill="1"/>
    <xf numFmtId="14" fontId="0" fillId="0" borderId="0" xfId="0" applyNumberFormat="1"/>
    <xf numFmtId="2" fontId="0" fillId="0" borderId="0" xfId="0" applyNumberFormat="1"/>
    <xf numFmtId="0" fontId="4" fillId="5" borderId="3" xfId="0" applyFont="1" applyFill="1" applyBorder="1" applyAlignment="1">
      <alignment horizontal="center" vertical="center" wrapText="1"/>
    </xf>
    <xf numFmtId="0" fontId="4" fillId="5" borderId="0" xfId="0" applyFont="1" applyFill="1" applyAlignment="1">
      <alignment horizontal="center" vertical="center" wrapText="1"/>
    </xf>
    <xf numFmtId="0" fontId="0" fillId="0" borderId="0" xfId="0" applyAlignment="1">
      <alignment horizontal="left" indent="1"/>
    </xf>
    <xf numFmtId="14" fontId="0" fillId="0" borderId="0" xfId="0" applyNumberFormat="1" applyAlignment="1">
      <alignment horizontal="left"/>
    </xf>
    <xf numFmtId="0" fontId="4" fillId="3" borderId="3" xfId="0" applyFont="1" applyFill="1" applyBorder="1" applyAlignment="1">
      <alignment horizontal="center" vertical="center" wrapText="1"/>
    </xf>
    <xf numFmtId="0" fontId="4" fillId="3" borderId="0" xfId="0" applyFont="1" applyFill="1" applyAlignment="1">
      <alignment horizontal="center" vertical="center" wrapText="1"/>
    </xf>
    <xf numFmtId="22" fontId="0" fillId="0" borderId="0" xfId="0" applyNumberFormat="1"/>
    <xf numFmtId="0" fontId="15" fillId="9" borderId="0" xfId="0" applyFont="1" applyFill="1"/>
    <xf numFmtId="0" fontId="0" fillId="4" borderId="0" xfId="0" applyFill="1" applyAlignment="1">
      <alignment horizontal="center"/>
    </xf>
    <xf numFmtId="0" fontId="15" fillId="9" borderId="0" xfId="0" applyFont="1" applyFill="1" applyAlignment="1">
      <alignment horizontal="center"/>
    </xf>
  </cellXfs>
  <cellStyles count="2">
    <cellStyle name="Normal" xfId="0" builtinId="0"/>
    <cellStyle name="Percent" xfId="1" builtinId="5"/>
  </cellStyles>
  <dxfs count="51">
    <dxf>
      <fill>
        <patternFill>
          <bgColor rgb="FFFF3300"/>
        </patternFill>
      </fill>
    </dxf>
    <dxf>
      <fill>
        <patternFill>
          <bgColor rgb="FF92D050"/>
        </patternFill>
      </fill>
    </dxf>
    <dxf>
      <fill>
        <patternFill>
          <bgColor theme="0" tint="-0.34998626667073579"/>
        </patternFill>
      </fill>
    </dxf>
    <dxf>
      <font>
        <color rgb="FF9C0006"/>
      </font>
      <fill>
        <patternFill>
          <bgColor rgb="FFFFC7CE"/>
        </patternFill>
      </fill>
    </dxf>
    <dxf>
      <fill>
        <patternFill>
          <bgColor theme="1" tint="0.499984740745262"/>
        </patternFill>
      </fill>
    </dxf>
    <dxf>
      <fill>
        <patternFill>
          <bgColor theme="0"/>
        </patternFill>
      </fill>
    </dxf>
    <dxf>
      <fill>
        <patternFill>
          <bgColor theme="1" tint="0.499984740745262"/>
        </patternFill>
      </fill>
    </dxf>
    <dxf>
      <numFmt numFmtId="0" formatCode="General"/>
    </dxf>
    <dxf>
      <numFmt numFmtId="0" formatCode="General"/>
    </dxf>
    <dxf>
      <numFmt numFmtId="0" formatCode="General"/>
    </dxf>
    <dxf>
      <numFmt numFmtId="0" formatCode="General"/>
    </dxf>
    <dxf>
      <numFmt numFmtId="27" formatCode="dd/mm/yyyy\ hh:mm"/>
    </dxf>
    <dxf>
      <numFmt numFmtId="2" formatCode="0.00"/>
    </dxf>
    <dxf>
      <numFmt numFmtId="2" formatCode="0.00"/>
    </dxf>
    <dxf>
      <numFmt numFmtId="19" formatCode="dd/mm/yy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strike val="0"/>
        <condense val="0"/>
        <extend val="0"/>
        <outline val="0"/>
        <shadow val="0"/>
        <u val="none"/>
        <vertAlign val="baseline"/>
        <sz val="10"/>
        <color theme="1"/>
        <name val="Aptos Narrow"/>
        <family val="2"/>
        <scheme val="minor"/>
      </font>
      <fill>
        <patternFill patternType="solid">
          <fgColor indexed="24"/>
          <bgColor theme="2" tint="-9.9978637043366805E-2"/>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Aptos Narrow"/>
        <family val="2"/>
        <scheme val="minor"/>
      </font>
    </dxf>
    <dxf>
      <font>
        <b val="0"/>
        <i val="0"/>
        <strike val="0"/>
        <condense val="0"/>
        <extend val="0"/>
        <outline val="0"/>
        <shadow val="0"/>
        <u val="none"/>
        <vertAlign val="baseline"/>
        <sz val="16"/>
        <color theme="1"/>
        <name val="Aptos Narrow"/>
        <family val="2"/>
        <scheme val="minor"/>
      </font>
      <fill>
        <patternFill patternType="solid">
          <fgColor indexed="64"/>
          <bgColor theme="2"/>
        </patternFill>
      </fill>
    </dxf>
    <dxf>
      <font>
        <b/>
        <i val="0"/>
        <strike val="0"/>
        <condense val="0"/>
        <extend val="0"/>
        <outline val="0"/>
        <shadow val="0"/>
        <u val="none"/>
        <vertAlign val="baseline"/>
        <sz val="18"/>
        <color theme="1"/>
        <name val="Aptos Narrow"/>
        <family val="2"/>
        <scheme val="minor"/>
      </font>
      <fill>
        <patternFill patternType="solid">
          <fgColor indexed="64"/>
          <bgColor theme="2" tint="-0.249977111117893"/>
        </patternFill>
      </fill>
    </dxf>
    <dxf>
      <font>
        <b val="0"/>
        <i/>
        <strike val="0"/>
        <condense val="0"/>
        <extend val="0"/>
        <outline val="0"/>
        <shadow val="0"/>
        <u val="none"/>
        <vertAlign val="baseline"/>
        <sz val="10"/>
        <color theme="1"/>
        <name val="Aptos Narrow"/>
        <family val="2"/>
        <scheme val="minor"/>
      </font>
      <fill>
        <patternFill patternType="solid">
          <fgColor indexed="24"/>
          <bgColor theme="2" tint="-9.9978637043366805E-2"/>
        </patternFill>
      </fill>
      <alignment horizontal="right" vertical="bottom" textRotation="0" wrapText="1" indent="0" justifyLastLine="0" shrinkToFit="0" readingOrder="0"/>
    </dxf>
    <dxf>
      <numFmt numFmtId="0" formatCode="General"/>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alignment horizontal="general" vertical="bottom" textRotation="0" wrapText="1" indent="0" justifyLastLine="0" shrinkToFit="0" readingOrder="0"/>
    </dxf>
    <dxf>
      <font>
        <b val="0"/>
        <i/>
        <strike val="0"/>
        <condense val="0"/>
        <extend val="0"/>
        <outline val="0"/>
        <shadow val="0"/>
        <u val="none"/>
        <vertAlign val="baseline"/>
        <sz val="11"/>
        <color theme="1"/>
        <name val="Calibri"/>
        <family val="2"/>
        <scheme val="none"/>
      </font>
      <fill>
        <patternFill patternType="solid">
          <fgColor indexed="64"/>
          <bgColor theme="2" tint="-9.9978637043366805E-2"/>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Day</a:t>
            </a:r>
            <a:r>
              <a:rPr lang="en-IN" baseline="0"/>
              <a:t> wise Registered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Sheet1!$R$3</c:f>
              <c:strCache>
                <c:ptCount val="1"/>
                <c:pt idx="0">
                  <c:v>No. of casual</c:v>
                </c:pt>
              </c:strCache>
            </c:strRef>
          </c:tx>
          <c:spPr>
            <a:solidFill>
              <a:schemeClr val="accent1"/>
            </a:solidFill>
            <a:ln>
              <a:noFill/>
            </a:ln>
            <a:effectLst/>
            <a:sp3d/>
          </c:spPr>
          <c:invertIfNegative val="0"/>
          <c:cat>
            <c:strRef>
              <c:f>Sheet1!$Q$4:$Q$10</c:f>
              <c:strCache>
                <c:ptCount val="7"/>
                <c:pt idx="0">
                  <c:v>Sat</c:v>
                </c:pt>
                <c:pt idx="1">
                  <c:v>Sun</c:v>
                </c:pt>
                <c:pt idx="2">
                  <c:v>Mon</c:v>
                </c:pt>
                <c:pt idx="3">
                  <c:v>Tue</c:v>
                </c:pt>
                <c:pt idx="4">
                  <c:v>Wed</c:v>
                </c:pt>
                <c:pt idx="5">
                  <c:v>Thu</c:v>
                </c:pt>
                <c:pt idx="6">
                  <c:v>Fri</c:v>
                </c:pt>
              </c:strCache>
            </c:strRef>
          </c:cat>
          <c:val>
            <c:numRef>
              <c:f>Sheet1!$R$4:$R$10</c:f>
              <c:numCache>
                <c:formatCode>General</c:formatCode>
                <c:ptCount val="7"/>
                <c:pt idx="0">
                  <c:v>15.090000000000003</c:v>
                </c:pt>
                <c:pt idx="1">
                  <c:v>25.119700000000002</c:v>
                </c:pt>
                <c:pt idx="2">
                  <c:v>19</c:v>
                </c:pt>
                <c:pt idx="3">
                  <c:v>10.687299999999997</c:v>
                </c:pt>
                <c:pt idx="4">
                  <c:v>21.404100000000003</c:v>
                </c:pt>
                <c:pt idx="5">
                  <c:v>15.627400000000005</c:v>
                </c:pt>
                <c:pt idx="6">
                  <c:v>16.030700000000003</c:v>
                </c:pt>
              </c:numCache>
            </c:numRef>
          </c:val>
          <c:extLst>
            <c:ext xmlns:c16="http://schemas.microsoft.com/office/drawing/2014/chart" uri="{C3380CC4-5D6E-409C-BE32-E72D297353CC}">
              <c16:uniqueId val="{00000000-0C35-4D3B-8A78-4D6114DD007C}"/>
            </c:ext>
          </c:extLst>
        </c:ser>
        <c:ser>
          <c:idx val="1"/>
          <c:order val="1"/>
          <c:tx>
            <c:strRef>
              <c:f>Sheet1!$S$3</c:f>
              <c:strCache>
                <c:ptCount val="1"/>
                <c:pt idx="0">
                  <c:v>No. of Registered</c:v>
                </c:pt>
              </c:strCache>
            </c:strRef>
          </c:tx>
          <c:spPr>
            <a:solidFill>
              <a:schemeClr val="accent2"/>
            </a:solidFill>
            <a:ln>
              <a:noFill/>
            </a:ln>
            <a:effectLst/>
            <a:sp3d/>
          </c:spPr>
          <c:invertIfNegative val="0"/>
          <c:cat>
            <c:strRef>
              <c:f>Sheet1!$Q$4:$Q$10</c:f>
              <c:strCache>
                <c:ptCount val="7"/>
                <c:pt idx="0">
                  <c:v>Sat</c:v>
                </c:pt>
                <c:pt idx="1">
                  <c:v>Sun</c:v>
                </c:pt>
                <c:pt idx="2">
                  <c:v>Mon</c:v>
                </c:pt>
                <c:pt idx="3">
                  <c:v>Tue</c:v>
                </c:pt>
                <c:pt idx="4">
                  <c:v>Wed</c:v>
                </c:pt>
                <c:pt idx="5">
                  <c:v>Thu</c:v>
                </c:pt>
                <c:pt idx="6">
                  <c:v>Fri</c:v>
                </c:pt>
              </c:strCache>
            </c:strRef>
          </c:cat>
          <c:val>
            <c:numRef>
              <c:f>Sheet1!$S$4:$S$10</c:f>
              <c:numCache>
                <c:formatCode>General</c:formatCode>
                <c:ptCount val="7"/>
                <c:pt idx="0">
                  <c:v>482</c:v>
                </c:pt>
                <c:pt idx="1">
                  <c:v>585</c:v>
                </c:pt>
                <c:pt idx="2">
                  <c:v>422</c:v>
                </c:pt>
                <c:pt idx="3">
                  <c:v>397</c:v>
                </c:pt>
                <c:pt idx="4">
                  <c:v>247</c:v>
                </c:pt>
                <c:pt idx="5">
                  <c:v>219</c:v>
                </c:pt>
                <c:pt idx="6">
                  <c:v>295</c:v>
                </c:pt>
              </c:numCache>
            </c:numRef>
          </c:val>
          <c:extLst>
            <c:ext xmlns:c16="http://schemas.microsoft.com/office/drawing/2014/chart" uri="{C3380CC4-5D6E-409C-BE32-E72D297353CC}">
              <c16:uniqueId val="{00000001-0C35-4D3B-8A78-4D6114DD007C}"/>
            </c:ext>
          </c:extLst>
        </c:ser>
        <c:ser>
          <c:idx val="2"/>
          <c:order val="2"/>
          <c:tx>
            <c:strRef>
              <c:f>Sheet1!$T$3</c:f>
              <c:strCache>
                <c:ptCount val="1"/>
                <c:pt idx="0">
                  <c:v>Total</c:v>
                </c:pt>
              </c:strCache>
            </c:strRef>
          </c:tx>
          <c:spPr>
            <a:solidFill>
              <a:schemeClr val="accent3"/>
            </a:solidFill>
            <a:ln>
              <a:noFill/>
            </a:ln>
            <a:effectLst/>
            <a:sp3d/>
          </c:spPr>
          <c:invertIfNegative val="0"/>
          <c:cat>
            <c:strRef>
              <c:f>Sheet1!$Q$4:$Q$10</c:f>
              <c:strCache>
                <c:ptCount val="7"/>
                <c:pt idx="0">
                  <c:v>Sat</c:v>
                </c:pt>
                <c:pt idx="1">
                  <c:v>Sun</c:v>
                </c:pt>
                <c:pt idx="2">
                  <c:v>Mon</c:v>
                </c:pt>
                <c:pt idx="3">
                  <c:v>Tue</c:v>
                </c:pt>
                <c:pt idx="4">
                  <c:v>Wed</c:v>
                </c:pt>
                <c:pt idx="5">
                  <c:v>Thu</c:v>
                </c:pt>
                <c:pt idx="6">
                  <c:v>Fri</c:v>
                </c:pt>
              </c:strCache>
            </c:strRef>
          </c:cat>
          <c:val>
            <c:numRef>
              <c:f>Sheet1!$T$4:$T$10</c:f>
              <c:numCache>
                <c:formatCode>General</c:formatCode>
                <c:ptCount val="7"/>
                <c:pt idx="0">
                  <c:v>497.09000000000003</c:v>
                </c:pt>
                <c:pt idx="1">
                  <c:v>610.11969999999997</c:v>
                </c:pt>
                <c:pt idx="2">
                  <c:v>441</c:v>
                </c:pt>
                <c:pt idx="3">
                  <c:v>407.68729999999999</c:v>
                </c:pt>
                <c:pt idx="4">
                  <c:v>268.40410000000003</c:v>
                </c:pt>
                <c:pt idx="5">
                  <c:v>234.62739999999999</c:v>
                </c:pt>
                <c:pt idx="6">
                  <c:v>311.03070000000002</c:v>
                </c:pt>
              </c:numCache>
            </c:numRef>
          </c:val>
          <c:extLst>
            <c:ext xmlns:c16="http://schemas.microsoft.com/office/drawing/2014/chart" uri="{C3380CC4-5D6E-409C-BE32-E72D297353CC}">
              <c16:uniqueId val="{00000002-0C35-4D3B-8A78-4D6114DD007C}"/>
            </c:ext>
          </c:extLst>
        </c:ser>
        <c:dLbls>
          <c:showLegendKey val="0"/>
          <c:showVal val="0"/>
          <c:showCatName val="0"/>
          <c:showSerName val="0"/>
          <c:showPercent val="0"/>
          <c:showBubbleSize val="0"/>
        </c:dLbls>
        <c:gapWidth val="150"/>
        <c:shape val="box"/>
        <c:axId val="973500592"/>
        <c:axId val="973499632"/>
        <c:axId val="0"/>
      </c:bar3DChart>
      <c:catAx>
        <c:axId val="97350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499632"/>
        <c:crosses val="autoZero"/>
        <c:auto val="1"/>
        <c:lblAlgn val="ctr"/>
        <c:lblOffset val="100"/>
        <c:noMultiLvlLbl val="0"/>
      </c:catAx>
      <c:valAx>
        <c:axId val="97349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No.</a:t>
                </a:r>
                <a:r>
                  <a:rPr lang="en-IN" baseline="0"/>
                  <a:t> of sale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0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Days wise Shift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Sheet1!$W$3</c:f>
              <c:strCache>
                <c:ptCount val="1"/>
                <c:pt idx="0">
                  <c:v>Day shift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Sheet1!$V$4:$V$10</c:f>
              <c:strCache>
                <c:ptCount val="7"/>
                <c:pt idx="0">
                  <c:v>Sat</c:v>
                </c:pt>
                <c:pt idx="1">
                  <c:v>Sun</c:v>
                </c:pt>
                <c:pt idx="2">
                  <c:v>Mon</c:v>
                </c:pt>
                <c:pt idx="3">
                  <c:v>Tue</c:v>
                </c:pt>
                <c:pt idx="4">
                  <c:v>Wed</c:v>
                </c:pt>
                <c:pt idx="5">
                  <c:v>Thu</c:v>
                </c:pt>
                <c:pt idx="6">
                  <c:v>Fri</c:v>
                </c:pt>
              </c:strCache>
            </c:strRef>
          </c:cat>
          <c:val>
            <c:numRef>
              <c:f>Sheet1!$W$4:$W$10</c:f>
              <c:numCache>
                <c:formatCode>General</c:formatCode>
                <c:ptCount val="7"/>
                <c:pt idx="0">
                  <c:v>45</c:v>
                </c:pt>
                <c:pt idx="1">
                  <c:v>53</c:v>
                </c:pt>
                <c:pt idx="2">
                  <c:v>54</c:v>
                </c:pt>
                <c:pt idx="3">
                  <c:v>47</c:v>
                </c:pt>
                <c:pt idx="4">
                  <c:v>52</c:v>
                </c:pt>
                <c:pt idx="5">
                  <c:v>43</c:v>
                </c:pt>
                <c:pt idx="6">
                  <c:v>50</c:v>
                </c:pt>
              </c:numCache>
            </c:numRef>
          </c:val>
          <c:smooth val="0"/>
          <c:extLst>
            <c:ext xmlns:c16="http://schemas.microsoft.com/office/drawing/2014/chart" uri="{C3380CC4-5D6E-409C-BE32-E72D297353CC}">
              <c16:uniqueId val="{00000000-EAA3-46BB-A904-7231A343963D}"/>
            </c:ext>
          </c:extLst>
        </c:ser>
        <c:ser>
          <c:idx val="1"/>
          <c:order val="1"/>
          <c:tx>
            <c:strRef>
              <c:f>Sheet1!$X$3</c:f>
              <c:strCache>
                <c:ptCount val="1"/>
                <c:pt idx="0">
                  <c:v>Night shift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Sheet1!$V$4:$V$10</c:f>
              <c:strCache>
                <c:ptCount val="7"/>
                <c:pt idx="0">
                  <c:v>Sat</c:v>
                </c:pt>
                <c:pt idx="1">
                  <c:v>Sun</c:v>
                </c:pt>
                <c:pt idx="2">
                  <c:v>Mon</c:v>
                </c:pt>
                <c:pt idx="3">
                  <c:v>Tue</c:v>
                </c:pt>
                <c:pt idx="4">
                  <c:v>Wed</c:v>
                </c:pt>
                <c:pt idx="5">
                  <c:v>Thu</c:v>
                </c:pt>
                <c:pt idx="6">
                  <c:v>Fri</c:v>
                </c:pt>
              </c:strCache>
            </c:strRef>
          </c:cat>
          <c:val>
            <c:numRef>
              <c:f>Sheet1!$X$4:$X$10</c:f>
              <c:numCache>
                <c:formatCode>General</c:formatCode>
                <c:ptCount val="7"/>
                <c:pt idx="0">
                  <c:v>39</c:v>
                </c:pt>
                <c:pt idx="1">
                  <c:v>42</c:v>
                </c:pt>
                <c:pt idx="2">
                  <c:v>41</c:v>
                </c:pt>
                <c:pt idx="3">
                  <c:v>35</c:v>
                </c:pt>
                <c:pt idx="4">
                  <c:v>34</c:v>
                </c:pt>
                <c:pt idx="5">
                  <c:v>38</c:v>
                </c:pt>
                <c:pt idx="6">
                  <c:v>37</c:v>
                </c:pt>
              </c:numCache>
            </c:numRef>
          </c:val>
          <c:smooth val="0"/>
          <c:extLst>
            <c:ext xmlns:c16="http://schemas.microsoft.com/office/drawing/2014/chart" uri="{C3380CC4-5D6E-409C-BE32-E72D297353CC}">
              <c16:uniqueId val="{00000001-EAA3-46BB-A904-7231A343963D}"/>
            </c:ext>
          </c:extLst>
        </c:ser>
        <c:ser>
          <c:idx val="2"/>
          <c:order val="2"/>
          <c:tx>
            <c:strRef>
              <c:f>Sheet1!$Y$3</c:f>
              <c:strCache>
                <c:ptCount val="1"/>
                <c:pt idx="0">
                  <c:v>totalshift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Sheet1!$V$4:$V$10</c:f>
              <c:strCache>
                <c:ptCount val="7"/>
                <c:pt idx="0">
                  <c:v>Sat</c:v>
                </c:pt>
                <c:pt idx="1">
                  <c:v>Sun</c:v>
                </c:pt>
                <c:pt idx="2">
                  <c:v>Mon</c:v>
                </c:pt>
                <c:pt idx="3">
                  <c:v>Tue</c:v>
                </c:pt>
                <c:pt idx="4">
                  <c:v>Wed</c:v>
                </c:pt>
                <c:pt idx="5">
                  <c:v>Thu</c:v>
                </c:pt>
                <c:pt idx="6">
                  <c:v>Fri</c:v>
                </c:pt>
              </c:strCache>
            </c:strRef>
          </c:cat>
          <c:val>
            <c:numRef>
              <c:f>Sheet1!$Y$4:$Y$10</c:f>
              <c:numCache>
                <c:formatCode>General</c:formatCode>
                <c:ptCount val="7"/>
                <c:pt idx="0">
                  <c:v>84</c:v>
                </c:pt>
                <c:pt idx="1">
                  <c:v>95</c:v>
                </c:pt>
                <c:pt idx="2">
                  <c:v>95</c:v>
                </c:pt>
                <c:pt idx="3">
                  <c:v>82</c:v>
                </c:pt>
                <c:pt idx="4">
                  <c:v>86</c:v>
                </c:pt>
                <c:pt idx="5">
                  <c:v>81</c:v>
                </c:pt>
                <c:pt idx="6">
                  <c:v>87</c:v>
                </c:pt>
              </c:numCache>
            </c:numRef>
          </c:val>
          <c:smooth val="0"/>
          <c:extLst>
            <c:ext xmlns:c16="http://schemas.microsoft.com/office/drawing/2014/chart" uri="{C3380CC4-5D6E-409C-BE32-E72D297353CC}">
              <c16:uniqueId val="{00000002-EAA3-46BB-A904-7231A343963D}"/>
            </c:ext>
          </c:extLst>
        </c:ser>
        <c:dLbls>
          <c:showLegendKey val="0"/>
          <c:showVal val="1"/>
          <c:showCatName val="0"/>
          <c:showSerName val="0"/>
          <c:showPercent val="0"/>
          <c:showBubbleSize val="0"/>
        </c:dLbls>
        <c:smooth val="0"/>
        <c:axId val="621780735"/>
        <c:axId val="621781695"/>
      </c:lineChart>
      <c:catAx>
        <c:axId val="6217807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81695"/>
        <c:crosses val="autoZero"/>
        <c:auto val="1"/>
        <c:lblAlgn val="ctr"/>
        <c:lblOffset val="100"/>
        <c:noMultiLvlLbl val="0"/>
      </c:catAx>
      <c:valAx>
        <c:axId val="6217816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80735"/>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Sum of casual</c:v>
                </c:pt>
              </c:strCache>
            </c:strRef>
          </c:tx>
          <c:spPr>
            <a:solidFill>
              <a:schemeClr val="accent1"/>
            </a:solidFill>
            <a:ln>
              <a:noFill/>
            </a:ln>
            <a:effectLst/>
          </c:spPr>
          <c:invertIfNegative val="0"/>
          <c:cat>
            <c:multiLvlStrRef>
              <c:f>'pivot table'!$A$4:$A$25</c:f>
              <c:multiLvlStrCache>
                <c:ptCount val="14"/>
                <c:lvl>
                  <c:pt idx="0">
                    <c:v>Day Shift</c:v>
                  </c:pt>
                  <c:pt idx="1">
                    <c:v>Night shift</c:v>
                  </c:pt>
                  <c:pt idx="2">
                    <c:v>Day Shift</c:v>
                  </c:pt>
                  <c:pt idx="3">
                    <c:v>Night shift</c:v>
                  </c:pt>
                  <c:pt idx="4">
                    <c:v>Day Shift</c:v>
                  </c:pt>
                  <c:pt idx="5">
                    <c:v>Night shift</c:v>
                  </c:pt>
                  <c:pt idx="6">
                    <c:v>Day Shift</c:v>
                  </c:pt>
                  <c:pt idx="7">
                    <c:v>Night shift</c:v>
                  </c:pt>
                  <c:pt idx="8">
                    <c:v>Day Shift</c:v>
                  </c:pt>
                  <c:pt idx="9">
                    <c:v>Night shift</c:v>
                  </c:pt>
                  <c:pt idx="10">
                    <c:v>Day Shift</c:v>
                  </c:pt>
                  <c:pt idx="11">
                    <c:v>Night shift</c:v>
                  </c:pt>
                  <c:pt idx="12">
                    <c:v>Day Shift</c:v>
                  </c:pt>
                  <c:pt idx="13">
                    <c:v>Night shift</c:v>
                  </c:pt>
                </c:lvl>
                <c:lvl>
                  <c:pt idx="0">
                    <c:v>Fri</c:v>
                  </c:pt>
                  <c:pt idx="2">
                    <c:v>Mon</c:v>
                  </c:pt>
                  <c:pt idx="4">
                    <c:v>Sat</c:v>
                  </c:pt>
                  <c:pt idx="6">
                    <c:v>Sun</c:v>
                  </c:pt>
                  <c:pt idx="8">
                    <c:v>Thu</c:v>
                  </c:pt>
                  <c:pt idx="10">
                    <c:v>Tue</c:v>
                  </c:pt>
                  <c:pt idx="12">
                    <c:v>Wed</c:v>
                  </c:pt>
                </c:lvl>
              </c:multiLvlStrCache>
            </c:multiLvlStrRef>
          </c:cat>
          <c:val>
            <c:numRef>
              <c:f>'pivot table'!$B$4:$B$25</c:f>
              <c:numCache>
                <c:formatCode>General</c:formatCode>
                <c:ptCount val="14"/>
                <c:pt idx="0">
                  <c:v>261</c:v>
                </c:pt>
                <c:pt idx="1">
                  <c:v>32</c:v>
                </c:pt>
                <c:pt idx="2">
                  <c:v>307</c:v>
                </c:pt>
                <c:pt idx="3">
                  <c:v>57</c:v>
                </c:pt>
                <c:pt idx="4">
                  <c:v>580</c:v>
                </c:pt>
                <c:pt idx="5">
                  <c:v>134</c:v>
                </c:pt>
                <c:pt idx="6">
                  <c:v>469</c:v>
                </c:pt>
                <c:pt idx="7">
                  <c:v>117</c:v>
                </c:pt>
                <c:pt idx="8">
                  <c:v>180</c:v>
                </c:pt>
                <c:pt idx="9">
                  <c:v>44</c:v>
                </c:pt>
                <c:pt idx="10">
                  <c:v>290</c:v>
                </c:pt>
                <c:pt idx="11">
                  <c:v>56</c:v>
                </c:pt>
                <c:pt idx="12">
                  <c:v>172</c:v>
                </c:pt>
                <c:pt idx="13">
                  <c:v>47</c:v>
                </c:pt>
              </c:numCache>
            </c:numRef>
          </c:val>
          <c:extLst>
            <c:ext xmlns:c16="http://schemas.microsoft.com/office/drawing/2014/chart" uri="{C3380CC4-5D6E-409C-BE32-E72D297353CC}">
              <c16:uniqueId val="{00000000-E629-479D-9FD0-428515975DEA}"/>
            </c:ext>
          </c:extLst>
        </c:ser>
        <c:ser>
          <c:idx val="1"/>
          <c:order val="1"/>
          <c:tx>
            <c:strRef>
              <c:f>'pivot table'!$C$3</c:f>
              <c:strCache>
                <c:ptCount val="1"/>
                <c:pt idx="0">
                  <c:v>Sum of registered</c:v>
                </c:pt>
              </c:strCache>
            </c:strRef>
          </c:tx>
          <c:spPr>
            <a:solidFill>
              <a:schemeClr val="accent2"/>
            </a:solidFill>
            <a:ln>
              <a:noFill/>
            </a:ln>
            <a:effectLst/>
          </c:spPr>
          <c:invertIfNegative val="0"/>
          <c:cat>
            <c:multiLvlStrRef>
              <c:f>'pivot table'!$A$4:$A$25</c:f>
              <c:multiLvlStrCache>
                <c:ptCount val="14"/>
                <c:lvl>
                  <c:pt idx="0">
                    <c:v>Day Shift</c:v>
                  </c:pt>
                  <c:pt idx="1">
                    <c:v>Night shift</c:v>
                  </c:pt>
                  <c:pt idx="2">
                    <c:v>Day Shift</c:v>
                  </c:pt>
                  <c:pt idx="3">
                    <c:v>Night shift</c:v>
                  </c:pt>
                  <c:pt idx="4">
                    <c:v>Day Shift</c:v>
                  </c:pt>
                  <c:pt idx="5">
                    <c:v>Night shift</c:v>
                  </c:pt>
                  <c:pt idx="6">
                    <c:v>Day Shift</c:v>
                  </c:pt>
                  <c:pt idx="7">
                    <c:v>Night shift</c:v>
                  </c:pt>
                  <c:pt idx="8">
                    <c:v>Day Shift</c:v>
                  </c:pt>
                  <c:pt idx="9">
                    <c:v>Night shift</c:v>
                  </c:pt>
                  <c:pt idx="10">
                    <c:v>Day Shift</c:v>
                  </c:pt>
                  <c:pt idx="11">
                    <c:v>Night shift</c:v>
                  </c:pt>
                  <c:pt idx="12">
                    <c:v>Day Shift</c:v>
                  </c:pt>
                  <c:pt idx="13">
                    <c:v>Night shift</c:v>
                  </c:pt>
                </c:lvl>
                <c:lvl>
                  <c:pt idx="0">
                    <c:v>Fri</c:v>
                  </c:pt>
                  <c:pt idx="2">
                    <c:v>Mon</c:v>
                  </c:pt>
                  <c:pt idx="4">
                    <c:v>Sat</c:v>
                  </c:pt>
                  <c:pt idx="6">
                    <c:v>Sun</c:v>
                  </c:pt>
                  <c:pt idx="8">
                    <c:v>Thu</c:v>
                  </c:pt>
                  <c:pt idx="10">
                    <c:v>Tue</c:v>
                  </c:pt>
                  <c:pt idx="12">
                    <c:v>Wed</c:v>
                  </c:pt>
                </c:lvl>
              </c:multiLvlStrCache>
            </c:multiLvlStrRef>
          </c:cat>
          <c:val>
            <c:numRef>
              <c:f>'pivot table'!$C$4:$C$25</c:f>
              <c:numCache>
                <c:formatCode>General</c:formatCode>
                <c:ptCount val="14"/>
                <c:pt idx="0">
                  <c:v>3907</c:v>
                </c:pt>
                <c:pt idx="1">
                  <c:v>845</c:v>
                </c:pt>
                <c:pt idx="2">
                  <c:v>3753</c:v>
                </c:pt>
                <c:pt idx="3">
                  <c:v>969</c:v>
                </c:pt>
                <c:pt idx="4">
                  <c:v>2527</c:v>
                </c:pt>
                <c:pt idx="5">
                  <c:v>932</c:v>
                </c:pt>
                <c:pt idx="6">
                  <c:v>2517</c:v>
                </c:pt>
                <c:pt idx="7">
                  <c:v>710</c:v>
                </c:pt>
                <c:pt idx="8">
                  <c:v>3926</c:v>
                </c:pt>
                <c:pt idx="9">
                  <c:v>1220</c:v>
                </c:pt>
                <c:pt idx="10">
                  <c:v>4049</c:v>
                </c:pt>
                <c:pt idx="11">
                  <c:v>1098</c:v>
                </c:pt>
                <c:pt idx="12">
                  <c:v>3745</c:v>
                </c:pt>
                <c:pt idx="13">
                  <c:v>954</c:v>
                </c:pt>
              </c:numCache>
            </c:numRef>
          </c:val>
          <c:extLst>
            <c:ext xmlns:c16="http://schemas.microsoft.com/office/drawing/2014/chart" uri="{C3380CC4-5D6E-409C-BE32-E72D297353CC}">
              <c16:uniqueId val="{00000001-E629-479D-9FD0-428515975DEA}"/>
            </c:ext>
          </c:extLst>
        </c:ser>
        <c:ser>
          <c:idx val="2"/>
          <c:order val="2"/>
          <c:tx>
            <c:strRef>
              <c:f>'pivot table'!$D$3</c:f>
              <c:strCache>
                <c:ptCount val="1"/>
                <c:pt idx="0">
                  <c:v>Sum of cnt</c:v>
                </c:pt>
              </c:strCache>
            </c:strRef>
          </c:tx>
          <c:spPr>
            <a:solidFill>
              <a:schemeClr val="accent3"/>
            </a:solidFill>
            <a:ln>
              <a:noFill/>
            </a:ln>
            <a:effectLst/>
          </c:spPr>
          <c:invertIfNegative val="0"/>
          <c:cat>
            <c:multiLvlStrRef>
              <c:f>'pivot table'!$A$4:$A$25</c:f>
              <c:multiLvlStrCache>
                <c:ptCount val="14"/>
                <c:lvl>
                  <c:pt idx="0">
                    <c:v>Day Shift</c:v>
                  </c:pt>
                  <c:pt idx="1">
                    <c:v>Night shift</c:v>
                  </c:pt>
                  <c:pt idx="2">
                    <c:v>Day Shift</c:v>
                  </c:pt>
                  <c:pt idx="3">
                    <c:v>Night shift</c:v>
                  </c:pt>
                  <c:pt idx="4">
                    <c:v>Day Shift</c:v>
                  </c:pt>
                  <c:pt idx="5">
                    <c:v>Night shift</c:v>
                  </c:pt>
                  <c:pt idx="6">
                    <c:v>Day Shift</c:v>
                  </c:pt>
                  <c:pt idx="7">
                    <c:v>Night shift</c:v>
                  </c:pt>
                  <c:pt idx="8">
                    <c:v>Day Shift</c:v>
                  </c:pt>
                  <c:pt idx="9">
                    <c:v>Night shift</c:v>
                  </c:pt>
                  <c:pt idx="10">
                    <c:v>Day Shift</c:v>
                  </c:pt>
                  <c:pt idx="11">
                    <c:v>Night shift</c:v>
                  </c:pt>
                  <c:pt idx="12">
                    <c:v>Day Shift</c:v>
                  </c:pt>
                  <c:pt idx="13">
                    <c:v>Night shift</c:v>
                  </c:pt>
                </c:lvl>
                <c:lvl>
                  <c:pt idx="0">
                    <c:v>Fri</c:v>
                  </c:pt>
                  <c:pt idx="2">
                    <c:v>Mon</c:v>
                  </c:pt>
                  <c:pt idx="4">
                    <c:v>Sat</c:v>
                  </c:pt>
                  <c:pt idx="6">
                    <c:v>Sun</c:v>
                  </c:pt>
                  <c:pt idx="8">
                    <c:v>Thu</c:v>
                  </c:pt>
                  <c:pt idx="10">
                    <c:v>Tue</c:v>
                  </c:pt>
                  <c:pt idx="12">
                    <c:v>Wed</c:v>
                  </c:pt>
                </c:lvl>
              </c:multiLvlStrCache>
            </c:multiLvlStrRef>
          </c:cat>
          <c:val>
            <c:numRef>
              <c:f>'pivot table'!$D$4:$D$25</c:f>
              <c:numCache>
                <c:formatCode>General</c:formatCode>
                <c:ptCount val="14"/>
                <c:pt idx="0">
                  <c:v>4168</c:v>
                </c:pt>
                <c:pt idx="1">
                  <c:v>877</c:v>
                </c:pt>
                <c:pt idx="2">
                  <c:v>4060</c:v>
                </c:pt>
                <c:pt idx="3">
                  <c:v>1026</c:v>
                </c:pt>
                <c:pt idx="4">
                  <c:v>3107</c:v>
                </c:pt>
                <c:pt idx="5">
                  <c:v>1066</c:v>
                </c:pt>
                <c:pt idx="6">
                  <c:v>2986</c:v>
                </c:pt>
                <c:pt idx="7">
                  <c:v>827</c:v>
                </c:pt>
                <c:pt idx="8">
                  <c:v>4106</c:v>
                </c:pt>
                <c:pt idx="9">
                  <c:v>1264</c:v>
                </c:pt>
                <c:pt idx="10">
                  <c:v>4339</c:v>
                </c:pt>
                <c:pt idx="11">
                  <c:v>1154</c:v>
                </c:pt>
                <c:pt idx="12">
                  <c:v>3917</c:v>
                </c:pt>
                <c:pt idx="13">
                  <c:v>1001</c:v>
                </c:pt>
              </c:numCache>
            </c:numRef>
          </c:val>
          <c:extLst>
            <c:ext xmlns:c16="http://schemas.microsoft.com/office/drawing/2014/chart" uri="{C3380CC4-5D6E-409C-BE32-E72D297353CC}">
              <c16:uniqueId val="{00000002-E629-479D-9FD0-428515975DEA}"/>
            </c:ext>
          </c:extLst>
        </c:ser>
        <c:dLbls>
          <c:showLegendKey val="0"/>
          <c:showVal val="0"/>
          <c:showCatName val="0"/>
          <c:showSerName val="0"/>
          <c:showPercent val="0"/>
          <c:showBubbleSize val="0"/>
        </c:dLbls>
        <c:gapWidth val="150"/>
        <c:overlap val="100"/>
        <c:axId val="2016573424"/>
        <c:axId val="2016583024"/>
      </c:barChart>
      <c:catAx>
        <c:axId val="20165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83024"/>
        <c:crosses val="autoZero"/>
        <c:auto val="1"/>
        <c:lblAlgn val="ctr"/>
        <c:lblOffset val="100"/>
        <c:noMultiLvlLbl val="0"/>
      </c:catAx>
      <c:valAx>
        <c:axId val="201658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7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406432891540731E-2"/>
          <c:y val="0.13330742748065585"/>
          <c:w val="0.93459356710845931"/>
          <c:h val="0.69524354910181685"/>
        </c:manualLayout>
      </c:layout>
      <c:lineChart>
        <c:grouping val="standard"/>
        <c:varyColors val="0"/>
        <c:ser>
          <c:idx val="0"/>
          <c:order val="0"/>
          <c:tx>
            <c:strRef>
              <c:f>forecast!$B$1</c:f>
              <c:strCache>
                <c:ptCount val="1"/>
                <c:pt idx="0">
                  <c:v>cnt</c:v>
                </c:pt>
              </c:strCache>
            </c:strRef>
          </c:tx>
          <c:spPr>
            <a:ln w="28575" cap="rnd">
              <a:solidFill>
                <a:schemeClr val="accent1"/>
              </a:solidFill>
              <a:round/>
            </a:ln>
            <a:effectLst/>
          </c:spPr>
          <c:marker>
            <c:symbol val="none"/>
          </c:marker>
          <c:val>
            <c:numRef>
              <c:f>forecast!$B$2:$B$43</c:f>
              <c:numCache>
                <c:formatCode>General</c:formatCode>
                <c:ptCount val="4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38.06666666666667</c:v>
                </c:pt>
              </c:numCache>
            </c:numRef>
          </c:val>
          <c:smooth val="0"/>
          <c:extLst>
            <c:ext xmlns:c16="http://schemas.microsoft.com/office/drawing/2014/chart" uri="{C3380CC4-5D6E-409C-BE32-E72D297353CC}">
              <c16:uniqueId val="{00000000-9CA2-40EA-A1E8-07DD1242EFA2}"/>
            </c:ext>
          </c:extLst>
        </c:ser>
        <c:ser>
          <c:idx val="1"/>
          <c:order val="1"/>
          <c:tx>
            <c:strRef>
              <c:f>forecast!$C$1</c:f>
              <c:strCache>
                <c:ptCount val="1"/>
                <c:pt idx="0">
                  <c:v>Forecast(cnt)</c:v>
                </c:pt>
              </c:strCache>
            </c:strRef>
          </c:tx>
          <c:spPr>
            <a:ln w="25400" cap="rnd">
              <a:solidFill>
                <a:schemeClr val="accent2"/>
              </a:solidFill>
              <a:round/>
            </a:ln>
            <a:effectLst/>
          </c:spPr>
          <c:marker>
            <c:symbol val="none"/>
          </c:marker>
          <c:cat>
            <c:numRef>
              <c:f>forecast!$A$2:$A$43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forecast!$C$2:$C$43</c:f>
              <c:numCache>
                <c:formatCode>General</c:formatCode>
                <c:ptCount val="42"/>
                <c:pt idx="27">
                  <c:v>38.06666666666667</c:v>
                </c:pt>
                <c:pt idx="28">
                  <c:v>40.024790724090145</c:v>
                </c:pt>
                <c:pt idx="29">
                  <c:v>35.874001603077829</c:v>
                </c:pt>
                <c:pt idx="30">
                  <c:v>52.697995185828823</c:v>
                </c:pt>
                <c:pt idx="31">
                  <c:v>56.548798521377336</c:v>
                </c:pt>
                <c:pt idx="32">
                  <c:v>54.010119527889771</c:v>
                </c:pt>
                <c:pt idx="33">
                  <c:v>57.339428082721284</c:v>
                </c:pt>
                <c:pt idx="34">
                  <c:v>56.006038105996709</c:v>
                </c:pt>
                <c:pt idx="35">
                  <c:v>38.785363455111067</c:v>
                </c:pt>
                <c:pt idx="36">
                  <c:v>34.634574334098751</c:v>
                </c:pt>
                <c:pt idx="37">
                  <c:v>51.458567916849738</c:v>
                </c:pt>
                <c:pt idx="38">
                  <c:v>55.30937125239825</c:v>
                </c:pt>
                <c:pt idx="39">
                  <c:v>52.770692258910692</c:v>
                </c:pt>
                <c:pt idx="40">
                  <c:v>56.100000813742206</c:v>
                </c:pt>
                <c:pt idx="41">
                  <c:v>54.76661083701763</c:v>
                </c:pt>
              </c:numCache>
            </c:numRef>
          </c:val>
          <c:smooth val="0"/>
          <c:extLst>
            <c:ext xmlns:c16="http://schemas.microsoft.com/office/drawing/2014/chart" uri="{C3380CC4-5D6E-409C-BE32-E72D297353CC}">
              <c16:uniqueId val="{00000001-9CA2-40EA-A1E8-07DD1242EFA2}"/>
            </c:ext>
          </c:extLst>
        </c:ser>
        <c:ser>
          <c:idx val="2"/>
          <c:order val="2"/>
          <c:tx>
            <c:strRef>
              <c:f>forecast!$D$1</c:f>
              <c:strCache>
                <c:ptCount val="1"/>
                <c:pt idx="0">
                  <c:v>Lower Confidence Bound(cnt)</c:v>
                </c:pt>
              </c:strCache>
            </c:strRef>
          </c:tx>
          <c:spPr>
            <a:ln w="12700" cap="rnd">
              <a:solidFill>
                <a:srgbClr val="E97132"/>
              </a:solidFill>
              <a:prstDash val="solid"/>
              <a:round/>
            </a:ln>
            <a:effectLst/>
          </c:spPr>
          <c:marker>
            <c:symbol val="none"/>
          </c:marker>
          <c:cat>
            <c:numRef>
              <c:f>forecast!$A$2:$A$43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forecast!$D$2:$D$43</c:f>
              <c:numCache>
                <c:formatCode>General</c:formatCode>
                <c:ptCount val="42"/>
                <c:pt idx="27" formatCode="0.00">
                  <c:v>38.06666666666667</c:v>
                </c:pt>
                <c:pt idx="28" formatCode="0.00">
                  <c:v>17.444044283269577</c:v>
                </c:pt>
                <c:pt idx="29" formatCode="0.00">
                  <c:v>13.111881152513643</c:v>
                </c:pt>
                <c:pt idx="30" formatCode="0.00">
                  <c:v>29.753101048671443</c:v>
                </c:pt>
                <c:pt idx="31" formatCode="0.00">
                  <c:v>33.419742157510029</c:v>
                </c:pt>
                <c:pt idx="32" formatCode="0.00">
                  <c:v>30.695523431474395</c:v>
                </c:pt>
                <c:pt idx="33" formatCode="0.00">
                  <c:v>33.837925677264572</c:v>
                </c:pt>
                <c:pt idx="34" formatCode="0.00">
                  <c:v>32.316273637195593</c:v>
                </c:pt>
                <c:pt idx="35" formatCode="0.00">
                  <c:v>14.9031414605126</c:v>
                </c:pt>
                <c:pt idx="36" formatCode="0.00">
                  <c:v>10.561433404604443</c:v>
                </c:pt>
                <c:pt idx="37" formatCode="0.00">
                  <c:v>27.193183900460301</c:v>
                </c:pt>
                <c:pt idx="38" formatCode="0.00">
                  <c:v>30.850430373158115</c:v>
                </c:pt>
                <c:pt idx="39" formatCode="0.00">
                  <c:v>28.116891002198518</c:v>
                </c:pt>
                <c:pt idx="40" formatCode="0.00">
                  <c:v>31.250045810624734</c:v>
                </c:pt>
                <c:pt idx="41" formatCode="0.00">
                  <c:v>29.719218747842262</c:v>
                </c:pt>
              </c:numCache>
            </c:numRef>
          </c:val>
          <c:smooth val="0"/>
          <c:extLst>
            <c:ext xmlns:c16="http://schemas.microsoft.com/office/drawing/2014/chart" uri="{C3380CC4-5D6E-409C-BE32-E72D297353CC}">
              <c16:uniqueId val="{00000002-9CA2-40EA-A1E8-07DD1242EFA2}"/>
            </c:ext>
          </c:extLst>
        </c:ser>
        <c:ser>
          <c:idx val="3"/>
          <c:order val="3"/>
          <c:tx>
            <c:strRef>
              <c:f>forecast!$E$1</c:f>
              <c:strCache>
                <c:ptCount val="1"/>
                <c:pt idx="0">
                  <c:v>Upper Confidence Bound(cnt)</c:v>
                </c:pt>
              </c:strCache>
            </c:strRef>
          </c:tx>
          <c:spPr>
            <a:ln w="12700" cap="rnd">
              <a:solidFill>
                <a:srgbClr val="E97132"/>
              </a:solidFill>
              <a:prstDash val="solid"/>
              <a:round/>
            </a:ln>
            <a:effectLst/>
          </c:spPr>
          <c:marker>
            <c:symbol val="none"/>
          </c:marker>
          <c:cat>
            <c:numRef>
              <c:f>forecast!$A$2:$A$43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forecast!$E$2:$E$43</c:f>
              <c:numCache>
                <c:formatCode>General</c:formatCode>
                <c:ptCount val="42"/>
                <c:pt idx="27" formatCode="0.00">
                  <c:v>38.06666666666667</c:v>
                </c:pt>
                <c:pt idx="28" formatCode="0.00">
                  <c:v>62.605537164910714</c:v>
                </c:pt>
                <c:pt idx="29" formatCode="0.00">
                  <c:v>58.636122053642012</c:v>
                </c:pt>
                <c:pt idx="30" formatCode="0.00">
                  <c:v>75.642889322986207</c:v>
                </c:pt>
                <c:pt idx="31" formatCode="0.00">
                  <c:v>79.677854885244642</c:v>
                </c:pt>
                <c:pt idx="32" formatCode="0.00">
                  <c:v>77.324715624305142</c:v>
                </c:pt>
                <c:pt idx="33" formatCode="0.00">
                  <c:v>80.840930488178003</c:v>
                </c:pt>
                <c:pt idx="34" formatCode="0.00">
                  <c:v>79.695802574797824</c:v>
                </c:pt>
                <c:pt idx="35" formatCode="0.00">
                  <c:v>62.667585449709534</c:v>
                </c:pt>
                <c:pt idx="36" formatCode="0.00">
                  <c:v>58.707715263593059</c:v>
                </c:pt>
                <c:pt idx="37" formatCode="0.00">
                  <c:v>75.723951933239178</c:v>
                </c:pt>
                <c:pt idx="38" formatCode="0.00">
                  <c:v>79.768312131638382</c:v>
                </c:pt>
                <c:pt idx="39" formatCode="0.00">
                  <c:v>77.424493515622871</c:v>
                </c:pt>
                <c:pt idx="40" formatCode="0.00">
                  <c:v>80.949955816859671</c:v>
                </c:pt>
                <c:pt idx="41" formatCode="0.00">
                  <c:v>79.814002926192998</c:v>
                </c:pt>
              </c:numCache>
            </c:numRef>
          </c:val>
          <c:smooth val="0"/>
          <c:extLst>
            <c:ext xmlns:c16="http://schemas.microsoft.com/office/drawing/2014/chart" uri="{C3380CC4-5D6E-409C-BE32-E72D297353CC}">
              <c16:uniqueId val="{00000003-9CA2-40EA-A1E8-07DD1242EFA2}"/>
            </c:ext>
          </c:extLst>
        </c:ser>
        <c:dLbls>
          <c:showLegendKey val="0"/>
          <c:showVal val="0"/>
          <c:showCatName val="0"/>
          <c:showSerName val="0"/>
          <c:showPercent val="0"/>
          <c:showBubbleSize val="0"/>
        </c:dLbls>
        <c:smooth val="0"/>
        <c:axId val="1723486944"/>
        <c:axId val="1723480224"/>
      </c:lineChart>
      <c:catAx>
        <c:axId val="172348694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80224"/>
        <c:crosses val="autoZero"/>
        <c:auto val="1"/>
        <c:lblAlgn val="ctr"/>
        <c:lblOffset val="100"/>
        <c:noMultiLvlLbl val="0"/>
      </c:catAx>
      <c:valAx>
        <c:axId val="172348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8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Day wise Registered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Sheet1!$R$3</c:f>
              <c:strCache>
                <c:ptCount val="1"/>
                <c:pt idx="0">
                  <c:v>No.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Sheet1!$Q$4:$Q$10</c:f>
              <c:strCache>
                <c:ptCount val="7"/>
                <c:pt idx="0">
                  <c:v>Sat</c:v>
                </c:pt>
                <c:pt idx="1">
                  <c:v>Sun</c:v>
                </c:pt>
                <c:pt idx="2">
                  <c:v>Mon</c:v>
                </c:pt>
                <c:pt idx="3">
                  <c:v>Tue</c:v>
                </c:pt>
                <c:pt idx="4">
                  <c:v>Wed</c:v>
                </c:pt>
                <c:pt idx="5">
                  <c:v>Thu</c:v>
                </c:pt>
                <c:pt idx="6">
                  <c:v>Fri</c:v>
                </c:pt>
              </c:strCache>
            </c:strRef>
          </c:cat>
          <c:val>
            <c:numRef>
              <c:f>Sheet1!$R$4:$R$10</c:f>
              <c:numCache>
                <c:formatCode>General</c:formatCode>
                <c:ptCount val="7"/>
                <c:pt idx="0">
                  <c:v>15.090000000000003</c:v>
                </c:pt>
                <c:pt idx="1">
                  <c:v>25.119700000000002</c:v>
                </c:pt>
                <c:pt idx="2">
                  <c:v>19</c:v>
                </c:pt>
                <c:pt idx="3">
                  <c:v>10.687299999999997</c:v>
                </c:pt>
                <c:pt idx="4">
                  <c:v>21.404100000000003</c:v>
                </c:pt>
                <c:pt idx="5">
                  <c:v>15.627400000000005</c:v>
                </c:pt>
                <c:pt idx="6">
                  <c:v>16.030700000000003</c:v>
                </c:pt>
              </c:numCache>
            </c:numRef>
          </c:val>
          <c:extLst>
            <c:ext xmlns:c16="http://schemas.microsoft.com/office/drawing/2014/chart" uri="{C3380CC4-5D6E-409C-BE32-E72D297353CC}">
              <c16:uniqueId val="{00000000-FE0E-4464-AF50-963FA0B29310}"/>
            </c:ext>
          </c:extLst>
        </c:ser>
        <c:ser>
          <c:idx val="1"/>
          <c:order val="1"/>
          <c:tx>
            <c:strRef>
              <c:f>Sheet1!$S$3</c:f>
              <c:strCache>
                <c:ptCount val="1"/>
                <c:pt idx="0">
                  <c:v>No.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Sheet1!$Q$4:$Q$10</c:f>
              <c:strCache>
                <c:ptCount val="7"/>
                <c:pt idx="0">
                  <c:v>Sat</c:v>
                </c:pt>
                <c:pt idx="1">
                  <c:v>Sun</c:v>
                </c:pt>
                <c:pt idx="2">
                  <c:v>Mon</c:v>
                </c:pt>
                <c:pt idx="3">
                  <c:v>Tue</c:v>
                </c:pt>
                <c:pt idx="4">
                  <c:v>Wed</c:v>
                </c:pt>
                <c:pt idx="5">
                  <c:v>Thu</c:v>
                </c:pt>
                <c:pt idx="6">
                  <c:v>Fri</c:v>
                </c:pt>
              </c:strCache>
            </c:strRef>
          </c:cat>
          <c:val>
            <c:numRef>
              <c:f>Sheet1!$S$4:$S$10</c:f>
              <c:numCache>
                <c:formatCode>General</c:formatCode>
                <c:ptCount val="7"/>
                <c:pt idx="0">
                  <c:v>482</c:v>
                </c:pt>
                <c:pt idx="1">
                  <c:v>585</c:v>
                </c:pt>
                <c:pt idx="2">
                  <c:v>422</c:v>
                </c:pt>
                <c:pt idx="3">
                  <c:v>397</c:v>
                </c:pt>
                <c:pt idx="4">
                  <c:v>247</c:v>
                </c:pt>
                <c:pt idx="5">
                  <c:v>219</c:v>
                </c:pt>
                <c:pt idx="6">
                  <c:v>295</c:v>
                </c:pt>
              </c:numCache>
            </c:numRef>
          </c:val>
          <c:extLst>
            <c:ext xmlns:c16="http://schemas.microsoft.com/office/drawing/2014/chart" uri="{C3380CC4-5D6E-409C-BE32-E72D297353CC}">
              <c16:uniqueId val="{00000001-FE0E-4464-AF50-963FA0B29310}"/>
            </c:ext>
          </c:extLst>
        </c:ser>
        <c:ser>
          <c:idx val="2"/>
          <c:order val="2"/>
          <c:tx>
            <c:strRef>
              <c:f>Sheet1!$T$3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Sheet1!$Q$4:$Q$10</c:f>
              <c:strCache>
                <c:ptCount val="7"/>
                <c:pt idx="0">
                  <c:v>Sat</c:v>
                </c:pt>
                <c:pt idx="1">
                  <c:v>Sun</c:v>
                </c:pt>
                <c:pt idx="2">
                  <c:v>Mon</c:v>
                </c:pt>
                <c:pt idx="3">
                  <c:v>Tue</c:v>
                </c:pt>
                <c:pt idx="4">
                  <c:v>Wed</c:v>
                </c:pt>
                <c:pt idx="5">
                  <c:v>Thu</c:v>
                </c:pt>
                <c:pt idx="6">
                  <c:v>Fri</c:v>
                </c:pt>
              </c:strCache>
            </c:strRef>
          </c:cat>
          <c:val>
            <c:numRef>
              <c:f>Sheet1!$T$4:$T$10</c:f>
              <c:numCache>
                <c:formatCode>General</c:formatCode>
                <c:ptCount val="7"/>
                <c:pt idx="0">
                  <c:v>497.09000000000003</c:v>
                </c:pt>
                <c:pt idx="1">
                  <c:v>610.11969999999997</c:v>
                </c:pt>
                <c:pt idx="2">
                  <c:v>441</c:v>
                </c:pt>
                <c:pt idx="3">
                  <c:v>407.68729999999999</c:v>
                </c:pt>
                <c:pt idx="4">
                  <c:v>268.40410000000003</c:v>
                </c:pt>
                <c:pt idx="5">
                  <c:v>234.62739999999999</c:v>
                </c:pt>
                <c:pt idx="6">
                  <c:v>311.03070000000002</c:v>
                </c:pt>
              </c:numCache>
            </c:numRef>
          </c:val>
          <c:extLst>
            <c:ext xmlns:c16="http://schemas.microsoft.com/office/drawing/2014/chart" uri="{C3380CC4-5D6E-409C-BE32-E72D297353CC}">
              <c16:uniqueId val="{00000002-FE0E-4464-AF50-963FA0B29310}"/>
            </c:ext>
          </c:extLst>
        </c:ser>
        <c:dLbls>
          <c:showLegendKey val="0"/>
          <c:showVal val="0"/>
          <c:showCatName val="0"/>
          <c:showSerName val="0"/>
          <c:showPercent val="0"/>
          <c:showBubbleSize val="0"/>
        </c:dLbls>
        <c:gapWidth val="150"/>
        <c:shape val="box"/>
        <c:axId val="973500592"/>
        <c:axId val="973499632"/>
        <c:axId val="0"/>
      </c:bar3DChart>
      <c:catAx>
        <c:axId val="9735005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Days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499632"/>
        <c:crosses val="autoZero"/>
        <c:auto val="1"/>
        <c:lblAlgn val="ctr"/>
        <c:lblOffset val="100"/>
        <c:noMultiLvlLbl val="0"/>
      </c:catAx>
      <c:valAx>
        <c:axId val="97349963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No. of sale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350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Days wise Shift</a:t>
            </a:r>
          </a:p>
        </c:rich>
      </c:tx>
      <c:layout>
        <c:manualLayout>
          <c:xMode val="edge"/>
          <c:yMode val="edge"/>
          <c:x val="0.30784716680969371"/>
          <c:y val="2.44798041615667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Sheet1!$W$3</c:f>
              <c:strCache>
                <c:ptCount val="1"/>
                <c:pt idx="0">
                  <c:v>Day shift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Sheet1!$V$4:$V$10</c:f>
              <c:strCache>
                <c:ptCount val="7"/>
                <c:pt idx="0">
                  <c:v>Sat</c:v>
                </c:pt>
                <c:pt idx="1">
                  <c:v>Sun</c:v>
                </c:pt>
                <c:pt idx="2">
                  <c:v>Mon</c:v>
                </c:pt>
                <c:pt idx="3">
                  <c:v>Tue</c:v>
                </c:pt>
                <c:pt idx="4">
                  <c:v>Wed</c:v>
                </c:pt>
                <c:pt idx="5">
                  <c:v>Thu</c:v>
                </c:pt>
                <c:pt idx="6">
                  <c:v>Fri</c:v>
                </c:pt>
              </c:strCache>
            </c:strRef>
          </c:cat>
          <c:val>
            <c:numRef>
              <c:f>Sheet1!$W$4:$W$10</c:f>
              <c:numCache>
                <c:formatCode>General</c:formatCode>
                <c:ptCount val="7"/>
                <c:pt idx="0">
                  <c:v>45</c:v>
                </c:pt>
                <c:pt idx="1">
                  <c:v>53</c:v>
                </c:pt>
                <c:pt idx="2">
                  <c:v>54</c:v>
                </c:pt>
                <c:pt idx="3">
                  <c:v>47</c:v>
                </c:pt>
                <c:pt idx="4">
                  <c:v>52</c:v>
                </c:pt>
                <c:pt idx="5">
                  <c:v>43</c:v>
                </c:pt>
                <c:pt idx="6">
                  <c:v>50</c:v>
                </c:pt>
              </c:numCache>
            </c:numRef>
          </c:val>
          <c:smooth val="0"/>
          <c:extLst>
            <c:ext xmlns:c16="http://schemas.microsoft.com/office/drawing/2014/chart" uri="{C3380CC4-5D6E-409C-BE32-E72D297353CC}">
              <c16:uniqueId val="{00000000-9C88-4F65-AFB8-34F7A1B139CD}"/>
            </c:ext>
          </c:extLst>
        </c:ser>
        <c:ser>
          <c:idx val="1"/>
          <c:order val="1"/>
          <c:tx>
            <c:strRef>
              <c:f>Sheet1!$X$3</c:f>
              <c:strCache>
                <c:ptCount val="1"/>
                <c:pt idx="0">
                  <c:v>Night shift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Sheet1!$V$4:$V$10</c:f>
              <c:strCache>
                <c:ptCount val="7"/>
                <c:pt idx="0">
                  <c:v>Sat</c:v>
                </c:pt>
                <c:pt idx="1">
                  <c:v>Sun</c:v>
                </c:pt>
                <c:pt idx="2">
                  <c:v>Mon</c:v>
                </c:pt>
                <c:pt idx="3">
                  <c:v>Tue</c:v>
                </c:pt>
                <c:pt idx="4">
                  <c:v>Wed</c:v>
                </c:pt>
                <c:pt idx="5">
                  <c:v>Thu</c:v>
                </c:pt>
                <c:pt idx="6">
                  <c:v>Fri</c:v>
                </c:pt>
              </c:strCache>
            </c:strRef>
          </c:cat>
          <c:val>
            <c:numRef>
              <c:f>Sheet1!$X$4:$X$10</c:f>
              <c:numCache>
                <c:formatCode>General</c:formatCode>
                <c:ptCount val="7"/>
                <c:pt idx="0">
                  <c:v>39</c:v>
                </c:pt>
                <c:pt idx="1">
                  <c:v>42</c:v>
                </c:pt>
                <c:pt idx="2">
                  <c:v>41</c:v>
                </c:pt>
                <c:pt idx="3">
                  <c:v>35</c:v>
                </c:pt>
                <c:pt idx="4">
                  <c:v>34</c:v>
                </c:pt>
                <c:pt idx="5">
                  <c:v>38</c:v>
                </c:pt>
                <c:pt idx="6">
                  <c:v>37</c:v>
                </c:pt>
              </c:numCache>
            </c:numRef>
          </c:val>
          <c:smooth val="0"/>
          <c:extLst>
            <c:ext xmlns:c16="http://schemas.microsoft.com/office/drawing/2014/chart" uri="{C3380CC4-5D6E-409C-BE32-E72D297353CC}">
              <c16:uniqueId val="{00000001-9C88-4F65-AFB8-34F7A1B139CD}"/>
            </c:ext>
          </c:extLst>
        </c:ser>
        <c:ser>
          <c:idx val="2"/>
          <c:order val="2"/>
          <c:tx>
            <c:strRef>
              <c:f>Sheet1!$Y$3</c:f>
              <c:strCache>
                <c:ptCount val="1"/>
                <c:pt idx="0">
                  <c:v>totalshift</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Sheet1!$V$4:$V$10</c:f>
              <c:strCache>
                <c:ptCount val="7"/>
                <c:pt idx="0">
                  <c:v>Sat</c:v>
                </c:pt>
                <c:pt idx="1">
                  <c:v>Sun</c:v>
                </c:pt>
                <c:pt idx="2">
                  <c:v>Mon</c:v>
                </c:pt>
                <c:pt idx="3">
                  <c:v>Tue</c:v>
                </c:pt>
                <c:pt idx="4">
                  <c:v>Wed</c:v>
                </c:pt>
                <c:pt idx="5">
                  <c:v>Thu</c:v>
                </c:pt>
                <c:pt idx="6">
                  <c:v>Fri</c:v>
                </c:pt>
              </c:strCache>
            </c:strRef>
          </c:cat>
          <c:val>
            <c:numRef>
              <c:f>Sheet1!$Y$4:$Y$10</c:f>
              <c:numCache>
                <c:formatCode>General</c:formatCode>
                <c:ptCount val="7"/>
                <c:pt idx="0">
                  <c:v>84</c:v>
                </c:pt>
                <c:pt idx="1">
                  <c:v>95</c:v>
                </c:pt>
                <c:pt idx="2">
                  <c:v>95</c:v>
                </c:pt>
                <c:pt idx="3">
                  <c:v>82</c:v>
                </c:pt>
                <c:pt idx="4">
                  <c:v>86</c:v>
                </c:pt>
                <c:pt idx="5">
                  <c:v>81</c:v>
                </c:pt>
                <c:pt idx="6">
                  <c:v>87</c:v>
                </c:pt>
              </c:numCache>
            </c:numRef>
          </c:val>
          <c:smooth val="0"/>
          <c:extLst>
            <c:ext xmlns:c16="http://schemas.microsoft.com/office/drawing/2014/chart" uri="{C3380CC4-5D6E-409C-BE32-E72D297353CC}">
              <c16:uniqueId val="{00000002-9C88-4F65-AFB8-34F7A1B139CD}"/>
            </c:ext>
          </c:extLst>
        </c:ser>
        <c:dLbls>
          <c:dLblPos val="ctr"/>
          <c:showLegendKey val="0"/>
          <c:showVal val="1"/>
          <c:showCatName val="0"/>
          <c:showSerName val="0"/>
          <c:showPercent val="0"/>
          <c:showBubbleSize val="0"/>
        </c:dLbls>
        <c:smooth val="0"/>
        <c:axId val="621780735"/>
        <c:axId val="621781695"/>
      </c:lineChart>
      <c:catAx>
        <c:axId val="62178073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781695"/>
        <c:crosses val="autoZero"/>
        <c:auto val="1"/>
        <c:lblAlgn val="ctr"/>
        <c:lblOffset val="100"/>
        <c:noMultiLvlLbl val="0"/>
      </c:catAx>
      <c:valAx>
        <c:axId val="6217816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400" b="0" i="0" u="none" strike="noStrike" kern="1200" cap="all" baseline="0">
                    <a:solidFill>
                      <a:schemeClr val="lt1">
                        <a:lumMod val="85000"/>
                      </a:schemeClr>
                    </a:solidFill>
                    <a:latin typeface="+mn-lt"/>
                    <a:ea typeface="+mn-ea"/>
                    <a:cs typeface="+mn-cs"/>
                  </a:defRPr>
                </a:pPr>
                <a:r>
                  <a:rPr lang="en-US" sz="1400" b="0"/>
                  <a:t>shift</a:t>
                </a:r>
              </a:p>
            </c:rich>
          </c:tx>
          <c:layout>
            <c:manualLayout>
              <c:xMode val="edge"/>
              <c:yMode val="edge"/>
              <c:x val="7.6481835564053538E-2"/>
              <c:y val="0.32305920450274195"/>
            </c:manualLayout>
          </c:layout>
          <c:overlay val="0"/>
          <c:spPr>
            <a:noFill/>
            <a:ln>
              <a:noFill/>
            </a:ln>
            <a:effectLst/>
          </c:spPr>
          <c:txPr>
            <a:bodyPr rot="-5400000" spcFirstLastPara="1" vertOverflow="ellipsis" vert="horz" wrap="square" anchor="ctr" anchorCtr="1"/>
            <a:lstStyle/>
            <a:p>
              <a:pPr>
                <a:defRPr sz="1400" b="0"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78073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Sum of casual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table'!$A$4:$A$25</c:f>
              <c:multiLvlStrCache>
                <c:ptCount val="14"/>
                <c:lvl>
                  <c:pt idx="0">
                    <c:v>Day Shift</c:v>
                  </c:pt>
                  <c:pt idx="1">
                    <c:v>Night shift</c:v>
                  </c:pt>
                  <c:pt idx="2">
                    <c:v>Day Shift</c:v>
                  </c:pt>
                  <c:pt idx="3">
                    <c:v>Night shift</c:v>
                  </c:pt>
                  <c:pt idx="4">
                    <c:v>Day Shift</c:v>
                  </c:pt>
                  <c:pt idx="5">
                    <c:v>Night shift</c:v>
                  </c:pt>
                  <c:pt idx="6">
                    <c:v>Day Shift</c:v>
                  </c:pt>
                  <c:pt idx="7">
                    <c:v>Night shift</c:v>
                  </c:pt>
                  <c:pt idx="8">
                    <c:v>Day Shift</c:v>
                  </c:pt>
                  <c:pt idx="9">
                    <c:v>Night shift</c:v>
                  </c:pt>
                  <c:pt idx="10">
                    <c:v>Day Shift</c:v>
                  </c:pt>
                  <c:pt idx="11">
                    <c:v>Night shift</c:v>
                  </c:pt>
                  <c:pt idx="12">
                    <c:v>Day Shift</c:v>
                  </c:pt>
                  <c:pt idx="13">
                    <c:v>Night shift</c:v>
                  </c:pt>
                </c:lvl>
                <c:lvl>
                  <c:pt idx="0">
                    <c:v>Fri</c:v>
                  </c:pt>
                  <c:pt idx="2">
                    <c:v>Mon</c:v>
                  </c:pt>
                  <c:pt idx="4">
                    <c:v>Sat</c:v>
                  </c:pt>
                  <c:pt idx="6">
                    <c:v>Sun</c:v>
                  </c:pt>
                  <c:pt idx="8">
                    <c:v>Thu</c:v>
                  </c:pt>
                  <c:pt idx="10">
                    <c:v>Tue</c:v>
                  </c:pt>
                  <c:pt idx="12">
                    <c:v>Wed</c:v>
                  </c:pt>
                </c:lvl>
              </c:multiLvlStrCache>
            </c:multiLvlStrRef>
          </c:cat>
          <c:val>
            <c:numRef>
              <c:f>'pivot table'!$B$4:$B$25</c:f>
              <c:numCache>
                <c:formatCode>General</c:formatCode>
                <c:ptCount val="14"/>
                <c:pt idx="0">
                  <c:v>261</c:v>
                </c:pt>
                <c:pt idx="1">
                  <c:v>32</c:v>
                </c:pt>
                <c:pt idx="2">
                  <c:v>307</c:v>
                </c:pt>
                <c:pt idx="3">
                  <c:v>57</c:v>
                </c:pt>
                <c:pt idx="4">
                  <c:v>580</c:v>
                </c:pt>
                <c:pt idx="5">
                  <c:v>134</c:v>
                </c:pt>
                <c:pt idx="6">
                  <c:v>469</c:v>
                </c:pt>
                <c:pt idx="7">
                  <c:v>117</c:v>
                </c:pt>
                <c:pt idx="8">
                  <c:v>180</c:v>
                </c:pt>
                <c:pt idx="9">
                  <c:v>44</c:v>
                </c:pt>
                <c:pt idx="10">
                  <c:v>290</c:v>
                </c:pt>
                <c:pt idx="11">
                  <c:v>56</c:v>
                </c:pt>
                <c:pt idx="12">
                  <c:v>172</c:v>
                </c:pt>
                <c:pt idx="13">
                  <c:v>47</c:v>
                </c:pt>
              </c:numCache>
            </c:numRef>
          </c:val>
          <c:extLst>
            <c:ext xmlns:c16="http://schemas.microsoft.com/office/drawing/2014/chart" uri="{C3380CC4-5D6E-409C-BE32-E72D297353CC}">
              <c16:uniqueId val="{00000000-46E0-45BE-89BB-35B0E21B048C}"/>
            </c:ext>
          </c:extLst>
        </c:ser>
        <c:ser>
          <c:idx val="1"/>
          <c:order val="1"/>
          <c:tx>
            <c:strRef>
              <c:f>'pivot table'!$C$3</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table'!$A$4:$A$25</c:f>
              <c:multiLvlStrCache>
                <c:ptCount val="14"/>
                <c:lvl>
                  <c:pt idx="0">
                    <c:v>Day Shift</c:v>
                  </c:pt>
                  <c:pt idx="1">
                    <c:v>Night shift</c:v>
                  </c:pt>
                  <c:pt idx="2">
                    <c:v>Day Shift</c:v>
                  </c:pt>
                  <c:pt idx="3">
                    <c:v>Night shift</c:v>
                  </c:pt>
                  <c:pt idx="4">
                    <c:v>Day Shift</c:v>
                  </c:pt>
                  <c:pt idx="5">
                    <c:v>Night shift</c:v>
                  </c:pt>
                  <c:pt idx="6">
                    <c:v>Day Shift</c:v>
                  </c:pt>
                  <c:pt idx="7">
                    <c:v>Night shift</c:v>
                  </c:pt>
                  <c:pt idx="8">
                    <c:v>Day Shift</c:v>
                  </c:pt>
                  <c:pt idx="9">
                    <c:v>Night shift</c:v>
                  </c:pt>
                  <c:pt idx="10">
                    <c:v>Day Shift</c:v>
                  </c:pt>
                  <c:pt idx="11">
                    <c:v>Night shift</c:v>
                  </c:pt>
                  <c:pt idx="12">
                    <c:v>Day Shift</c:v>
                  </c:pt>
                  <c:pt idx="13">
                    <c:v>Night shift</c:v>
                  </c:pt>
                </c:lvl>
                <c:lvl>
                  <c:pt idx="0">
                    <c:v>Fri</c:v>
                  </c:pt>
                  <c:pt idx="2">
                    <c:v>Mon</c:v>
                  </c:pt>
                  <c:pt idx="4">
                    <c:v>Sat</c:v>
                  </c:pt>
                  <c:pt idx="6">
                    <c:v>Sun</c:v>
                  </c:pt>
                  <c:pt idx="8">
                    <c:v>Thu</c:v>
                  </c:pt>
                  <c:pt idx="10">
                    <c:v>Tue</c:v>
                  </c:pt>
                  <c:pt idx="12">
                    <c:v>Wed</c:v>
                  </c:pt>
                </c:lvl>
              </c:multiLvlStrCache>
            </c:multiLvlStrRef>
          </c:cat>
          <c:val>
            <c:numRef>
              <c:f>'pivot table'!$C$4:$C$25</c:f>
              <c:numCache>
                <c:formatCode>General</c:formatCode>
                <c:ptCount val="14"/>
                <c:pt idx="0">
                  <c:v>3907</c:v>
                </c:pt>
                <c:pt idx="1">
                  <c:v>845</c:v>
                </c:pt>
                <c:pt idx="2">
                  <c:v>3753</c:v>
                </c:pt>
                <c:pt idx="3">
                  <c:v>969</c:v>
                </c:pt>
                <c:pt idx="4">
                  <c:v>2527</c:v>
                </c:pt>
                <c:pt idx="5">
                  <c:v>932</c:v>
                </c:pt>
                <c:pt idx="6">
                  <c:v>2517</c:v>
                </c:pt>
                <c:pt idx="7">
                  <c:v>710</c:v>
                </c:pt>
                <c:pt idx="8">
                  <c:v>3926</c:v>
                </c:pt>
                <c:pt idx="9">
                  <c:v>1220</c:v>
                </c:pt>
                <c:pt idx="10">
                  <c:v>4049</c:v>
                </c:pt>
                <c:pt idx="11">
                  <c:v>1098</c:v>
                </c:pt>
                <c:pt idx="12">
                  <c:v>3745</c:v>
                </c:pt>
                <c:pt idx="13">
                  <c:v>954</c:v>
                </c:pt>
              </c:numCache>
            </c:numRef>
          </c:val>
          <c:extLst>
            <c:ext xmlns:c16="http://schemas.microsoft.com/office/drawing/2014/chart" uri="{C3380CC4-5D6E-409C-BE32-E72D297353CC}">
              <c16:uniqueId val="{00000001-46E0-45BE-89BB-35B0E21B048C}"/>
            </c:ext>
          </c:extLst>
        </c:ser>
        <c:ser>
          <c:idx val="2"/>
          <c:order val="2"/>
          <c:tx>
            <c:strRef>
              <c:f>'pivot table'!$D$3</c:f>
              <c:strCache>
                <c:ptCount val="1"/>
                <c:pt idx="0">
                  <c:v>Sum of cnt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table'!$A$4:$A$25</c:f>
              <c:multiLvlStrCache>
                <c:ptCount val="14"/>
                <c:lvl>
                  <c:pt idx="0">
                    <c:v>Day Shift</c:v>
                  </c:pt>
                  <c:pt idx="1">
                    <c:v>Night shift</c:v>
                  </c:pt>
                  <c:pt idx="2">
                    <c:v>Day Shift</c:v>
                  </c:pt>
                  <c:pt idx="3">
                    <c:v>Night shift</c:v>
                  </c:pt>
                  <c:pt idx="4">
                    <c:v>Day Shift</c:v>
                  </c:pt>
                  <c:pt idx="5">
                    <c:v>Night shift</c:v>
                  </c:pt>
                  <c:pt idx="6">
                    <c:v>Day Shift</c:v>
                  </c:pt>
                  <c:pt idx="7">
                    <c:v>Night shift</c:v>
                  </c:pt>
                  <c:pt idx="8">
                    <c:v>Day Shift</c:v>
                  </c:pt>
                  <c:pt idx="9">
                    <c:v>Night shift</c:v>
                  </c:pt>
                  <c:pt idx="10">
                    <c:v>Day Shift</c:v>
                  </c:pt>
                  <c:pt idx="11">
                    <c:v>Night shift</c:v>
                  </c:pt>
                  <c:pt idx="12">
                    <c:v>Day Shift</c:v>
                  </c:pt>
                  <c:pt idx="13">
                    <c:v>Night shift</c:v>
                  </c:pt>
                </c:lvl>
                <c:lvl>
                  <c:pt idx="0">
                    <c:v>Fri</c:v>
                  </c:pt>
                  <c:pt idx="2">
                    <c:v>Mon</c:v>
                  </c:pt>
                  <c:pt idx="4">
                    <c:v>Sat</c:v>
                  </c:pt>
                  <c:pt idx="6">
                    <c:v>Sun</c:v>
                  </c:pt>
                  <c:pt idx="8">
                    <c:v>Thu</c:v>
                  </c:pt>
                  <c:pt idx="10">
                    <c:v>Tue</c:v>
                  </c:pt>
                  <c:pt idx="12">
                    <c:v>Wed</c:v>
                  </c:pt>
                </c:lvl>
              </c:multiLvlStrCache>
            </c:multiLvlStrRef>
          </c:cat>
          <c:val>
            <c:numRef>
              <c:f>'pivot table'!$D$4:$D$25</c:f>
              <c:numCache>
                <c:formatCode>General</c:formatCode>
                <c:ptCount val="14"/>
                <c:pt idx="0">
                  <c:v>4168</c:v>
                </c:pt>
                <c:pt idx="1">
                  <c:v>877</c:v>
                </c:pt>
                <c:pt idx="2">
                  <c:v>4060</c:v>
                </c:pt>
                <c:pt idx="3">
                  <c:v>1026</c:v>
                </c:pt>
                <c:pt idx="4">
                  <c:v>3107</c:v>
                </c:pt>
                <c:pt idx="5">
                  <c:v>1066</c:v>
                </c:pt>
                <c:pt idx="6">
                  <c:v>2986</c:v>
                </c:pt>
                <c:pt idx="7">
                  <c:v>827</c:v>
                </c:pt>
                <c:pt idx="8">
                  <c:v>4106</c:v>
                </c:pt>
                <c:pt idx="9">
                  <c:v>1264</c:v>
                </c:pt>
                <c:pt idx="10">
                  <c:v>4339</c:v>
                </c:pt>
                <c:pt idx="11">
                  <c:v>1154</c:v>
                </c:pt>
                <c:pt idx="12">
                  <c:v>3917</c:v>
                </c:pt>
                <c:pt idx="13">
                  <c:v>1001</c:v>
                </c:pt>
              </c:numCache>
            </c:numRef>
          </c:val>
          <c:extLst>
            <c:ext xmlns:c16="http://schemas.microsoft.com/office/drawing/2014/chart" uri="{C3380CC4-5D6E-409C-BE32-E72D297353CC}">
              <c16:uniqueId val="{00000002-46E0-45BE-89BB-35B0E21B048C}"/>
            </c:ext>
          </c:extLst>
        </c:ser>
        <c:dLbls>
          <c:dLblPos val="ctr"/>
          <c:showLegendKey val="0"/>
          <c:showVal val="1"/>
          <c:showCatName val="0"/>
          <c:showSerName val="0"/>
          <c:showPercent val="0"/>
          <c:showBubbleSize val="0"/>
        </c:dLbls>
        <c:gapWidth val="150"/>
        <c:overlap val="100"/>
        <c:axId val="2016573424"/>
        <c:axId val="2016583024"/>
      </c:barChart>
      <c:catAx>
        <c:axId val="2016573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6583024"/>
        <c:crosses val="autoZero"/>
        <c:auto val="1"/>
        <c:lblAlgn val="ctr"/>
        <c:lblOffset val="100"/>
        <c:noMultiLvlLbl val="0"/>
      </c:catAx>
      <c:valAx>
        <c:axId val="2016583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657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Forecast</a:t>
            </a:r>
          </a:p>
        </c:rich>
      </c:tx>
      <c:layout>
        <c:manualLayout>
          <c:xMode val="edge"/>
          <c:yMode val="edge"/>
          <c:x val="0.44509310249262318"/>
          <c:y val="3.11688311688311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5406432891540731E-2"/>
          <c:y val="0.13330742748065585"/>
          <c:w val="0.93459356710845931"/>
          <c:h val="0.69524354910181685"/>
        </c:manualLayout>
      </c:layout>
      <c:lineChart>
        <c:grouping val="standard"/>
        <c:varyColors val="0"/>
        <c:ser>
          <c:idx val="0"/>
          <c:order val="0"/>
          <c:tx>
            <c:strRef>
              <c:f>forecast!$B$1</c:f>
              <c:strCache>
                <c:ptCount val="1"/>
                <c:pt idx="0">
                  <c:v>cnt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forecast!$B$2:$B$43</c:f>
              <c:numCache>
                <c:formatCode>General</c:formatCode>
                <c:ptCount val="4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38.06666666666667</c:v>
                </c:pt>
              </c:numCache>
            </c:numRef>
          </c:val>
          <c:smooth val="0"/>
          <c:extLst>
            <c:ext xmlns:c16="http://schemas.microsoft.com/office/drawing/2014/chart" uri="{C3380CC4-5D6E-409C-BE32-E72D297353CC}">
              <c16:uniqueId val="{00000000-300D-449E-82A7-EAE46E602F5E}"/>
            </c:ext>
          </c:extLst>
        </c:ser>
        <c:ser>
          <c:idx val="1"/>
          <c:order val="1"/>
          <c:tx>
            <c:strRef>
              <c:f>forecast!$C$1</c:f>
              <c:strCache>
                <c:ptCount val="1"/>
                <c:pt idx="0">
                  <c:v>Forecast(cnt)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forecast!$C$2:$C$43</c:f>
              <c:numCache>
                <c:formatCode>General</c:formatCode>
                <c:ptCount val="42"/>
                <c:pt idx="27">
                  <c:v>38.06666666666667</c:v>
                </c:pt>
                <c:pt idx="28">
                  <c:v>40.024790724090145</c:v>
                </c:pt>
                <c:pt idx="29">
                  <c:v>35.874001603077829</c:v>
                </c:pt>
                <c:pt idx="30">
                  <c:v>52.697995185828823</c:v>
                </c:pt>
                <c:pt idx="31">
                  <c:v>56.548798521377336</c:v>
                </c:pt>
                <c:pt idx="32">
                  <c:v>54.010119527889771</c:v>
                </c:pt>
                <c:pt idx="33">
                  <c:v>57.339428082721284</c:v>
                </c:pt>
                <c:pt idx="34">
                  <c:v>56.006038105996709</c:v>
                </c:pt>
                <c:pt idx="35">
                  <c:v>38.785363455111067</c:v>
                </c:pt>
                <c:pt idx="36">
                  <c:v>34.634574334098751</c:v>
                </c:pt>
                <c:pt idx="37">
                  <c:v>51.458567916849738</c:v>
                </c:pt>
                <c:pt idx="38">
                  <c:v>55.30937125239825</c:v>
                </c:pt>
                <c:pt idx="39">
                  <c:v>52.770692258910692</c:v>
                </c:pt>
                <c:pt idx="40">
                  <c:v>56.100000813742206</c:v>
                </c:pt>
                <c:pt idx="41">
                  <c:v>54.76661083701763</c:v>
                </c:pt>
              </c:numCache>
            </c:numRef>
          </c:val>
          <c:smooth val="0"/>
          <c:extLst>
            <c:ext xmlns:c16="http://schemas.microsoft.com/office/drawing/2014/chart" uri="{C3380CC4-5D6E-409C-BE32-E72D297353CC}">
              <c16:uniqueId val="{00000001-300D-449E-82A7-EAE46E602F5E}"/>
            </c:ext>
          </c:extLst>
        </c:ser>
        <c:ser>
          <c:idx val="2"/>
          <c:order val="2"/>
          <c:tx>
            <c:strRef>
              <c:f>forecast!$D$1</c:f>
              <c:strCache>
                <c:ptCount val="1"/>
                <c:pt idx="0">
                  <c:v>Lower Confidence Bound(cnt)</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forecast!$D$2:$D$43</c:f>
              <c:numCache>
                <c:formatCode>General</c:formatCode>
                <c:ptCount val="42"/>
                <c:pt idx="27" formatCode="0.00">
                  <c:v>38.06666666666667</c:v>
                </c:pt>
                <c:pt idx="28" formatCode="0.00">
                  <c:v>17.444044283269577</c:v>
                </c:pt>
                <c:pt idx="29" formatCode="0.00">
                  <c:v>13.111881152513643</c:v>
                </c:pt>
                <c:pt idx="30" formatCode="0.00">
                  <c:v>29.753101048671443</c:v>
                </c:pt>
                <c:pt idx="31" formatCode="0.00">
                  <c:v>33.419742157510029</c:v>
                </c:pt>
                <c:pt idx="32" formatCode="0.00">
                  <c:v>30.695523431474395</c:v>
                </c:pt>
                <c:pt idx="33" formatCode="0.00">
                  <c:v>33.837925677264572</c:v>
                </c:pt>
                <c:pt idx="34" formatCode="0.00">
                  <c:v>32.316273637195593</c:v>
                </c:pt>
                <c:pt idx="35" formatCode="0.00">
                  <c:v>14.9031414605126</c:v>
                </c:pt>
                <c:pt idx="36" formatCode="0.00">
                  <c:v>10.561433404604443</c:v>
                </c:pt>
                <c:pt idx="37" formatCode="0.00">
                  <c:v>27.193183900460301</c:v>
                </c:pt>
                <c:pt idx="38" formatCode="0.00">
                  <c:v>30.850430373158115</c:v>
                </c:pt>
                <c:pt idx="39" formatCode="0.00">
                  <c:v>28.116891002198518</c:v>
                </c:pt>
                <c:pt idx="40" formatCode="0.00">
                  <c:v>31.250045810624734</c:v>
                </c:pt>
                <c:pt idx="41" formatCode="0.00">
                  <c:v>29.719218747842262</c:v>
                </c:pt>
              </c:numCache>
            </c:numRef>
          </c:val>
          <c:smooth val="0"/>
          <c:extLst>
            <c:ext xmlns:c16="http://schemas.microsoft.com/office/drawing/2014/chart" uri="{C3380CC4-5D6E-409C-BE32-E72D297353CC}">
              <c16:uniqueId val="{00000002-300D-449E-82A7-EAE46E602F5E}"/>
            </c:ext>
          </c:extLst>
        </c:ser>
        <c:ser>
          <c:idx val="3"/>
          <c:order val="3"/>
          <c:tx>
            <c:strRef>
              <c:f>forecast!$E$1</c:f>
              <c:strCache>
                <c:ptCount val="1"/>
                <c:pt idx="0">
                  <c:v>Upper Confidence Bound(cnt)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forecast!$A$2:$A$43</c:f>
              <c:numCache>
                <c:formatCode>m/d/yyyy</c:formatCode>
                <c:ptCount val="4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numCache>
            </c:numRef>
          </c:cat>
          <c:val>
            <c:numRef>
              <c:f>forecast!$E$2:$E$43</c:f>
              <c:numCache>
                <c:formatCode>General</c:formatCode>
                <c:ptCount val="42"/>
                <c:pt idx="27" formatCode="0.00">
                  <c:v>38.06666666666667</c:v>
                </c:pt>
                <c:pt idx="28" formatCode="0.00">
                  <c:v>62.605537164910714</c:v>
                </c:pt>
                <c:pt idx="29" formatCode="0.00">
                  <c:v>58.636122053642012</c:v>
                </c:pt>
                <c:pt idx="30" formatCode="0.00">
                  <c:v>75.642889322986207</c:v>
                </c:pt>
                <c:pt idx="31" formatCode="0.00">
                  <c:v>79.677854885244642</c:v>
                </c:pt>
                <c:pt idx="32" formatCode="0.00">
                  <c:v>77.324715624305142</c:v>
                </c:pt>
                <c:pt idx="33" formatCode="0.00">
                  <c:v>80.840930488178003</c:v>
                </c:pt>
                <c:pt idx="34" formatCode="0.00">
                  <c:v>79.695802574797824</c:v>
                </c:pt>
                <c:pt idx="35" formatCode="0.00">
                  <c:v>62.667585449709534</c:v>
                </c:pt>
                <c:pt idx="36" formatCode="0.00">
                  <c:v>58.707715263593059</c:v>
                </c:pt>
                <c:pt idx="37" formatCode="0.00">
                  <c:v>75.723951933239178</c:v>
                </c:pt>
                <c:pt idx="38" formatCode="0.00">
                  <c:v>79.768312131638382</c:v>
                </c:pt>
                <c:pt idx="39" formatCode="0.00">
                  <c:v>77.424493515622871</c:v>
                </c:pt>
                <c:pt idx="40" formatCode="0.00">
                  <c:v>80.949955816859671</c:v>
                </c:pt>
                <c:pt idx="41" formatCode="0.00">
                  <c:v>79.814002926192998</c:v>
                </c:pt>
              </c:numCache>
            </c:numRef>
          </c:val>
          <c:smooth val="0"/>
          <c:extLst>
            <c:ext xmlns:c16="http://schemas.microsoft.com/office/drawing/2014/chart" uri="{C3380CC4-5D6E-409C-BE32-E72D297353CC}">
              <c16:uniqueId val="{00000003-300D-449E-82A7-EAE46E602F5E}"/>
            </c:ext>
          </c:extLst>
        </c:ser>
        <c:dLbls>
          <c:showLegendKey val="0"/>
          <c:showVal val="0"/>
          <c:showCatName val="0"/>
          <c:showSerName val="0"/>
          <c:showPercent val="0"/>
          <c:showBubbleSize val="0"/>
        </c:dLbls>
        <c:smooth val="0"/>
        <c:axId val="1723486944"/>
        <c:axId val="1723480224"/>
      </c:lineChart>
      <c:catAx>
        <c:axId val="1723486944"/>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480224"/>
        <c:crosses val="autoZero"/>
        <c:auto val="1"/>
        <c:lblAlgn val="ctr"/>
        <c:lblOffset val="100"/>
        <c:noMultiLvlLbl val="0"/>
      </c:catAx>
      <c:valAx>
        <c:axId val="1723480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48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average of boking</cx:v>
        </cx:txData>
      </cx:tx>
      <cx:txPr>
        <a:bodyPr spcFirstLastPara="1" vertOverflow="ellipsis" horzOverflow="overflow" wrap="square" lIns="0" tIns="0" rIns="0" bIns="0" anchor="ctr" anchorCtr="1"/>
        <a:lstStyle/>
        <a:p>
          <a:pPr algn="ctr" rtl="0">
            <a:defRPr sz="1400"/>
          </a:pPr>
          <a:r>
            <a:rPr lang="en-US" sz="1400" b="1" i="0" u="none" strike="noStrike" baseline="0">
              <a:solidFill>
                <a:sysClr val="windowText" lastClr="000000">
                  <a:lumMod val="75000"/>
                  <a:lumOff val="25000"/>
                </a:sysClr>
              </a:solidFill>
              <a:latin typeface="Aptos Narrow" panose="02110004020202020204"/>
            </a:rPr>
            <a:t>average of boking</a:t>
          </a:r>
        </a:p>
      </cx:txPr>
    </cx:title>
    <cx:plotArea>
      <cx:plotAreaRegion>
        <cx:series layoutId="funnel" uniqueId="{52666F93-6361-410C-976C-634C1957A103}">
          <cx:tx>
            <cx:txData>
              <cx:f>_xlchart.v2.1</cx:f>
              <cx:v>average</cx:v>
            </cx:txData>
          </cx:tx>
          <cx:dataLabels>
            <cx:visibility seriesName="0" categoryName="0" value="1"/>
          </cx:dataLabels>
          <cx:dataId val="0"/>
        </cx:series>
      </cx:plotAreaRegion>
      <cx:axis id="0">
        <cx:catScaling gapWidth="0.150000006"/>
        <cx:title>
          <cx:tx>
            <cx:txData>
              <cx:v>boking</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boking</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average of boking</cx:v>
        </cx:txData>
      </cx:tx>
      <cx:txPr>
        <a:bodyPr spcFirstLastPara="1" vertOverflow="ellipsis" horzOverflow="overflow" wrap="square" lIns="0" tIns="0" rIns="0" bIns="0" anchor="ctr" anchorCtr="1"/>
        <a:lstStyle/>
        <a:p>
          <a:pPr algn="ctr" rtl="0">
            <a:defRPr sz="1400"/>
          </a:pPr>
          <a:r>
            <a:rPr lang="en-US" sz="1400" b="1" i="0" u="none" strike="noStrike" baseline="0">
              <a:solidFill>
                <a:sysClr val="windowText" lastClr="000000">
                  <a:lumMod val="75000"/>
                  <a:lumOff val="25000"/>
                </a:sysClr>
              </a:solidFill>
              <a:latin typeface="Aptos Narrow" panose="02110004020202020204"/>
            </a:rPr>
            <a:t>average of boking</a:t>
          </a:r>
        </a:p>
      </cx:txPr>
    </cx:title>
    <cx:plotArea>
      <cx:plotAreaRegion>
        <cx:series layoutId="funnel" uniqueId="{52666F93-6361-410C-976C-634C1957A103}">
          <cx:tx>
            <cx:txData>
              <cx:f>_xlchart.v2.4</cx:f>
              <cx:v>average</cx:v>
            </cx:txData>
          </cx:tx>
          <cx:dataLabels>
            <cx:visibility seriesName="0" categoryName="0" value="1"/>
          </cx:dataLabels>
          <cx:dataId val="0"/>
        </cx:series>
      </cx:plotAreaRegion>
      <cx:axis id="0">
        <cx:catScaling gapWidth="0.150000006"/>
        <cx:title>
          <cx:tx>
            <cx:txData>
              <cx:v>boking</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boking</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14</xdr:col>
      <xdr:colOff>510540</xdr:colOff>
      <xdr:row>12</xdr:row>
      <xdr:rowOff>30480</xdr:rowOff>
    </xdr:from>
    <xdr:to>
      <xdr:col>20</xdr:col>
      <xdr:colOff>571500</xdr:colOff>
      <xdr:row>29</xdr:row>
      <xdr:rowOff>53340</xdr:rowOff>
    </xdr:to>
    <xdr:graphicFrame macro="">
      <xdr:nvGraphicFramePr>
        <xdr:cNvPr id="3" name="Chart 2">
          <a:extLst>
            <a:ext uri="{FF2B5EF4-FFF2-40B4-BE49-F238E27FC236}">
              <a16:creationId xmlns:a16="http://schemas.microsoft.com/office/drawing/2014/main" id="{F7D77ACF-E82F-A1E4-EE28-E607E5A86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182880</xdr:colOff>
      <xdr:row>11</xdr:row>
      <xdr:rowOff>129540</xdr:rowOff>
    </xdr:from>
    <xdr:to>
      <xdr:col>27</xdr:col>
      <xdr:colOff>160020</xdr:colOff>
      <xdr:row>28</xdr:row>
      <xdr:rowOff>133350</xdr:rowOff>
    </xdr:to>
    <xdr:graphicFrame macro="">
      <xdr:nvGraphicFramePr>
        <xdr:cNvPr id="2" name="Chart 1">
          <a:extLst>
            <a:ext uri="{FF2B5EF4-FFF2-40B4-BE49-F238E27FC236}">
              <a16:creationId xmlns:a16="http://schemas.microsoft.com/office/drawing/2014/main" id="{DE8A8D4A-1971-A260-258D-E493AB550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26</xdr:col>
      <xdr:colOff>571500</xdr:colOff>
      <xdr:row>2</xdr:row>
      <xdr:rowOff>38101</xdr:rowOff>
    </xdr:from>
    <xdr:to>
      <xdr:col>29</xdr:col>
      <xdr:colOff>571500</xdr:colOff>
      <xdr:row>5</xdr:row>
      <xdr:rowOff>106681</xdr:rowOff>
    </xdr:to>
    <mc:AlternateContent xmlns:mc="http://schemas.openxmlformats.org/markup-compatibility/2006" xmlns:sle15="http://schemas.microsoft.com/office/drawing/2012/slicer">
      <mc:Choice Requires="sle15">
        <xdr:graphicFrame macro="">
          <xdr:nvGraphicFramePr>
            <xdr:cNvPr id="13" name="Day">
              <a:extLst>
                <a:ext uri="{FF2B5EF4-FFF2-40B4-BE49-F238E27FC236}">
                  <a16:creationId xmlns:a16="http://schemas.microsoft.com/office/drawing/2014/main" id="{0CBB93A4-B7A1-2EA1-C09F-1362140C3E41}"/>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9591020" y="426721"/>
              <a:ext cx="1828800" cy="6172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563880</xdr:colOff>
      <xdr:row>16</xdr:row>
      <xdr:rowOff>64770</xdr:rowOff>
    </xdr:from>
    <xdr:to>
      <xdr:col>26</xdr:col>
      <xdr:colOff>220980</xdr:colOff>
      <xdr:row>35</xdr:row>
      <xdr:rowOff>137160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D2BA14EF-5D8F-B100-BD68-CD2EEFD710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523720" y="3409950"/>
              <a:ext cx="5928360" cy="3547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381000</xdr:colOff>
      <xdr:row>2</xdr:row>
      <xdr:rowOff>30480</xdr:rowOff>
    </xdr:from>
    <xdr:to>
      <xdr:col>13</xdr:col>
      <xdr:colOff>502920</xdr:colOff>
      <xdr:row>24</xdr:row>
      <xdr:rowOff>53340</xdr:rowOff>
    </xdr:to>
    <xdr:graphicFrame macro="">
      <xdr:nvGraphicFramePr>
        <xdr:cNvPr id="2" name="Chart 1">
          <a:extLst>
            <a:ext uri="{FF2B5EF4-FFF2-40B4-BE49-F238E27FC236}">
              <a16:creationId xmlns:a16="http://schemas.microsoft.com/office/drawing/2014/main" id="{1DC94E17-213E-4A54-33C1-F99777C2C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182880</xdr:colOff>
      <xdr:row>1</xdr:row>
      <xdr:rowOff>163830</xdr:rowOff>
    </xdr:from>
    <xdr:to>
      <xdr:col>17</xdr:col>
      <xdr:colOff>535305</xdr:colOff>
      <xdr:row>21</xdr:row>
      <xdr:rowOff>173355</xdr:rowOff>
    </xdr:to>
    <xdr:graphicFrame macro="">
      <xdr:nvGraphicFramePr>
        <xdr:cNvPr id="2" name="Chart 1">
          <a:extLst>
            <a:ext uri="{FF2B5EF4-FFF2-40B4-BE49-F238E27FC236}">
              <a16:creationId xmlns:a16="http://schemas.microsoft.com/office/drawing/2014/main" id="{FC755548-2AC2-6AED-F55C-C76A5A6EB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8</xdr:row>
      <xdr:rowOff>0</xdr:rowOff>
    </xdr:from>
    <xdr:to>
      <xdr:col>9</xdr:col>
      <xdr:colOff>312420</xdr:colOff>
      <xdr:row>25</xdr:row>
      <xdr:rowOff>22860</xdr:rowOff>
    </xdr:to>
    <xdr:graphicFrame macro="">
      <xdr:nvGraphicFramePr>
        <xdr:cNvPr id="7" name="Chart 6">
          <a:extLst>
            <a:ext uri="{FF2B5EF4-FFF2-40B4-BE49-F238E27FC236}">
              <a16:creationId xmlns:a16="http://schemas.microsoft.com/office/drawing/2014/main" id="{3B97B601-92D4-4C45-A96E-2F89BBDFD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403860</xdr:colOff>
      <xdr:row>7</xdr:row>
      <xdr:rowOff>167640</xdr:rowOff>
    </xdr:from>
    <xdr:to>
      <xdr:col>17</xdr:col>
      <xdr:colOff>121920</xdr:colOff>
      <xdr:row>24</xdr:row>
      <xdr:rowOff>171450</xdr:rowOff>
    </xdr:to>
    <xdr:graphicFrame macro="">
      <xdr:nvGraphicFramePr>
        <xdr:cNvPr id="9" name="Chart 8">
          <a:extLst>
            <a:ext uri="{FF2B5EF4-FFF2-40B4-BE49-F238E27FC236}">
              <a16:creationId xmlns:a16="http://schemas.microsoft.com/office/drawing/2014/main" id="{4966C0CE-44A6-4230-BD5A-DEA3EDB53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xdr:col>
      <xdr:colOff>160020</xdr:colOff>
      <xdr:row>2</xdr:row>
      <xdr:rowOff>68580</xdr:rowOff>
    </xdr:from>
    <xdr:to>
      <xdr:col>7</xdr:col>
      <xdr:colOff>160020</xdr:colOff>
      <xdr:row>5</xdr:row>
      <xdr:rowOff>137160</xdr:rowOff>
    </xdr:to>
    <mc:AlternateContent xmlns:mc="http://schemas.openxmlformats.org/markup-compatibility/2006" xmlns:sle15="http://schemas.microsoft.com/office/drawing/2012/slicer">
      <mc:Choice Requires="sle15">
        <xdr:graphicFrame macro="">
          <xdr:nvGraphicFramePr>
            <xdr:cNvPr id="10" name="Day 1">
              <a:extLst>
                <a:ext uri="{FF2B5EF4-FFF2-40B4-BE49-F238E27FC236}">
                  <a16:creationId xmlns:a16="http://schemas.microsoft.com/office/drawing/2014/main" id="{DD6F09EB-E40B-4411-9F70-FBE783A0D905}"/>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2598420" y="434340"/>
              <a:ext cx="1828800" cy="6172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259080</xdr:colOff>
      <xdr:row>30</xdr:row>
      <xdr:rowOff>60960</xdr:rowOff>
    </xdr:from>
    <xdr:to>
      <xdr:col>9</xdr:col>
      <xdr:colOff>487680</xdr:colOff>
      <xdr:row>49</xdr:row>
      <xdr:rowOff>133350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5D77F62-9A93-4BB9-AEF7-D086EBD3CC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68680" y="5547360"/>
              <a:ext cx="5105400" cy="3547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411480</xdr:colOff>
      <xdr:row>30</xdr:row>
      <xdr:rowOff>53340</xdr:rowOff>
    </xdr:from>
    <xdr:to>
      <xdr:col>17</xdr:col>
      <xdr:colOff>274320</xdr:colOff>
      <xdr:row>49</xdr:row>
      <xdr:rowOff>114300</xdr:rowOff>
    </xdr:to>
    <xdr:graphicFrame macro="">
      <xdr:nvGraphicFramePr>
        <xdr:cNvPr id="3" name="Chart 2">
          <a:extLst>
            <a:ext uri="{FF2B5EF4-FFF2-40B4-BE49-F238E27FC236}">
              <a16:creationId xmlns:a16="http://schemas.microsoft.com/office/drawing/2014/main" id="{072E8FE4-0682-4A26-BD48-72E9791B9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373380</xdr:colOff>
      <xdr:row>52</xdr:row>
      <xdr:rowOff>91440</xdr:rowOff>
    </xdr:from>
    <xdr:to>
      <xdr:col>16</xdr:col>
      <xdr:colOff>116205</xdr:colOff>
      <xdr:row>72</xdr:row>
      <xdr:rowOff>100965</xdr:rowOff>
    </xdr:to>
    <xdr:graphicFrame macro="">
      <xdr:nvGraphicFramePr>
        <xdr:cNvPr id="4" name="Chart 3">
          <a:extLst>
            <a:ext uri="{FF2B5EF4-FFF2-40B4-BE49-F238E27FC236}">
              <a16:creationId xmlns:a16="http://schemas.microsoft.com/office/drawing/2014/main" id="{9B6FBF8B-C755-4715-B0FF-34896BF5C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et rai" refreshedDate="45951.783331712963" backgroundQuery="1" createdVersion="8" refreshedVersion="8" minRefreshableVersion="3" recordCount="0" supportSubquery="1" supportAdvancedDrill="1" xr:uid="{3E2E734E-B0D0-484E-A646-327F8C190015}">
  <cacheSource type="external" connectionId="8"/>
  <cacheFields count="5">
    <cacheField name="[Measures].[Sum of casual]" caption="Sum of casual" numFmtId="0" hierarchy="10" level="32767"/>
    <cacheField name="[Measures].[Sum of registered]" caption="Sum of registered" numFmtId="0" hierarchy="11" level="32767"/>
    <cacheField name="[Measures].[Sum of cnt]" caption="Sum of cnt" numFmtId="0" hierarchy="12" level="32767"/>
    <cacheField name="[Range].[Day].[Day]" caption="Day" numFmtId="0" level="1">
      <sharedItems count="7">
        <s v="Fri"/>
        <s v="Mon"/>
        <s v="Sat"/>
        <s v="Sun"/>
        <s v="Thu"/>
        <s v="Tue"/>
        <s v="Wed"/>
      </sharedItems>
    </cacheField>
    <cacheField name="[Range].[Shift].[Shift]" caption="Shift" numFmtId="0" hierarchy="7" level="1">
      <sharedItems count="2">
        <s v="Day Shift"/>
        <s v="Night shift"/>
      </sharedItems>
    </cacheField>
  </cacheFields>
  <cacheHierarchies count="13">
    <cacheHierarchy uniqueName="[Range].[Day]" caption="Day" attribute="1" defaultMemberUniqueName="[Range].[Day].[All]" allUniqueName="[Range].[Day].[All]" dimensionUniqueName="[Range]" displayFolder="" count="2" memberValueDatatype="130" unbalanced="0">
      <fieldsUsage count="2">
        <fieldUsage x="-1"/>
        <fieldUsage x="3"/>
      </fieldsUsage>
    </cacheHierarchy>
    <cacheHierarchy uniqueName="[Range].[atemp]" caption="atemp" attribute="1" defaultMemberUniqueName="[Range].[atemp].[All]" allUniqueName="[Range].[atemp].[All]" dimensionUniqueName="[Range]" displayFolder="" count="0" memberValueDatatype="130" unbalanced="0"/>
    <cacheHierarchy uniqueName="[Range].[hum]" caption="hum" attribute="1" defaultMemberUniqueName="[Range].[hum].[All]" allUniqueName="[Range].[hum].[All]" dimensionUniqueName="[Range]" displayFolder="" count="0" memberValueDatatype="5" unbalanced="0"/>
    <cacheHierarchy uniqueName="[Range].[windspeed]" caption="windspeed" attribute="1" defaultMemberUniqueName="[Range].[windspeed].[All]" allUniqueName="[Range].[windspeed].[All]" dimensionUniqueName="[Range]" displayFolder="" count="0" memberValueDatatype="5" unbalanced="0"/>
    <cacheHierarchy uniqueName="[Range].[casual]" caption="casual" attribute="1" defaultMemberUniqueName="[Range].[casual].[All]" allUniqueName="[Range].[casual].[All]" dimensionUniqueName="[Range]" displayFolder="" count="0" memberValueDatatype="20" unbalanced="0"/>
    <cacheHierarchy uniqueName="[Range].[registered]" caption="registered" attribute="1" defaultMemberUniqueName="[Range].[registered].[All]" allUniqueName="[Range].[registered].[All]" dimensionUniqueName="[Range]" displayFolder="" count="0" memberValueDatatype="20" unbalanced="0"/>
    <cacheHierarchy uniqueName="[Range].[cnt]" caption="cnt" attribute="1" defaultMemberUniqueName="[Range].[cnt].[All]" allUniqueName="[Range].[cnt].[All]" dimensionUniqueName="[Range]" displayFolder="" count="0" memberValueDatatype="20" unbalanced="0"/>
    <cacheHierarchy uniqueName="[Range].[Shift]" caption="Shift" attribute="1" defaultMemberUniqueName="[Range].[Shift].[All]" allUniqueName="[Range].[Shift].[All]" dimensionUniqueName="[Range]" displayFolder="" count="2" memberValueDatatype="130" unbalanced="0">
      <fieldsUsage count="2">
        <fieldUsage x="-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asual]" caption="Sum of casual"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egistered]" caption="Sum of registered"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nt]" caption="Sum of cnt"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 rai" refreshedDate="45951.79529814815" createdVersion="8" refreshedVersion="8" minRefreshableVersion="3" recordCount="610" xr:uid="{6CE39FE8-D996-4B25-93C9-FA3959734F83}">
  <cacheSource type="worksheet">
    <worksheetSource ref="C1:I611" sheet="Sheet2"/>
  </cacheSource>
  <cacheFields count="7">
    <cacheField name="date" numFmtId="1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atemp" numFmtId="0">
      <sharedItems containsMixedTypes="1" containsNumber="1" minValue="0" maxValue="0.45450000000000002"/>
    </cacheField>
    <cacheField name="hum" numFmtId="9">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47"/>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n v="0.28789999999999999"/>
    <n v="0.81"/>
    <n v="0"/>
    <n v="3"/>
    <n v="13"/>
    <n v="16"/>
  </r>
  <r>
    <x v="0"/>
    <n v="0.2727"/>
    <n v="0.8"/>
    <n v="0"/>
    <n v="8"/>
    <n v="32"/>
    <n v="40"/>
  </r>
  <r>
    <x v="0"/>
    <n v="0.2727"/>
    <n v="0.8"/>
    <n v="0"/>
    <n v="5"/>
    <n v="27"/>
    <n v="32"/>
  </r>
  <r>
    <x v="0"/>
    <n v="0.28789999999999999"/>
    <n v="0.75"/>
    <n v="0"/>
    <n v="3"/>
    <n v="10"/>
    <n v="13"/>
  </r>
  <r>
    <x v="0"/>
    <n v="0.28789999999999999"/>
    <n v="0.75"/>
    <n v="0"/>
    <n v="0"/>
    <n v="1"/>
    <n v="1"/>
  </r>
  <r>
    <x v="0"/>
    <n v="0.2576"/>
    <n v="0.75"/>
    <n v="8.9599999999999999E-2"/>
    <n v="0"/>
    <n v="1"/>
    <n v="1"/>
  </r>
  <r>
    <x v="0"/>
    <n v="0.2727"/>
    <n v="0.8"/>
    <n v="0"/>
    <n v="2"/>
    <n v="0"/>
    <n v="2"/>
  </r>
  <r>
    <x v="0"/>
    <n v="0.2576"/>
    <n v="0.86"/>
    <n v="0"/>
    <n v="1"/>
    <n v="2"/>
    <n v="3"/>
  </r>
  <r>
    <x v="0"/>
    <s v="N/d "/>
    <n v="0.75"/>
    <n v="0"/>
    <n v="1"/>
    <n v="7"/>
    <n v="8"/>
  </r>
  <r>
    <x v="0"/>
    <n v="0.34849999999999998"/>
    <n v="0.76"/>
    <n v="0"/>
    <n v="8"/>
    <n v="6"/>
    <n v="14"/>
  </r>
  <r>
    <x v="0"/>
    <n v="0.39389999999999997"/>
    <n v="0.76"/>
    <n v="0.25369999999999998"/>
    <n v="12"/>
    <n v="24"/>
    <n v="36"/>
  </r>
  <r>
    <x v="0"/>
    <n v="0.33329999999999999"/>
    <n v="0.81"/>
    <n v="0.28360000000000002"/>
    <n v="26"/>
    <n v="30"/>
    <n v="56"/>
  </r>
  <r>
    <x v="0"/>
    <n v="0.42420000000000002"/>
    <n v="0.77"/>
    <n v="0.28360000000000002"/>
    <n v="29"/>
    <n v="55"/>
    <n v="84"/>
  </r>
  <r>
    <x v="0"/>
    <n v="0.45450000000000002"/>
    <n v="0.72"/>
    <n v="0.29849999999999999"/>
    <n v="47"/>
    <n v="47"/>
    <n v="94"/>
  </r>
  <r>
    <x v="0"/>
    <n v="0.45450000000000002"/>
    <n v="0.72"/>
    <n v="0.28360000000000002"/>
    <n v="35"/>
    <n v="71"/>
    <n v="106"/>
  </r>
  <r>
    <x v="0"/>
    <n v="0.43940000000000001"/>
    <n v="0.77"/>
    <n v="0.29849999999999999"/>
    <n v="40"/>
    <n v="70"/>
    <n v="110"/>
  </r>
  <r>
    <x v="0"/>
    <n v="0.42420000000000002"/>
    <n v="0.82"/>
    <n v="0.29849999999999999"/>
    <n v="41"/>
    <n v="52"/>
    <n v="93"/>
  </r>
  <r>
    <x v="0"/>
    <s v="N/d "/>
    <n v="0.82"/>
    <n v="0.28360000000000002"/>
    <n v="15"/>
    <n v="52"/>
    <n v="67"/>
  </r>
  <r>
    <x v="0"/>
    <n v="0.42420000000000002"/>
    <n v="0.88"/>
    <n v="0.25369999999999998"/>
    <n v="9"/>
    <n v="26"/>
    <n v="35"/>
  </r>
  <r>
    <x v="0"/>
    <n v="0.42420000000000002"/>
    <n v="0.88"/>
    <n v="0.25369999999999998"/>
    <n v="6"/>
    <n v="31"/>
    <n v="37"/>
  </r>
  <r>
    <x v="0"/>
    <n v="0.40910000000000002"/>
    <n v="0.87"/>
    <n v="0.25369999999999998"/>
    <n v="11"/>
    <n v="25"/>
    <n v="36"/>
  </r>
  <r>
    <x v="0"/>
    <n v="0.40910000000000002"/>
    <n v="0.87"/>
    <n v="0.19400000000000001"/>
    <n v="3"/>
    <n v="31"/>
    <n v="34"/>
  </r>
  <r>
    <x v="0"/>
    <n v="0.40910000000000002"/>
    <n v="0.94"/>
    <n v="0.22389999999999999"/>
    <n v="11"/>
    <n v="17"/>
    <n v="28"/>
  </r>
  <r>
    <x v="0"/>
    <s v="N/d "/>
    <n v="0.88"/>
    <n v="0.29849999999999999"/>
    <n v="15"/>
    <n v="24"/>
    <n v="39"/>
  </r>
  <r>
    <x v="1"/>
    <n v="0.45450000000000002"/>
    <n v="0.88"/>
    <n v="0.29849999999999999"/>
    <n v="4"/>
    <n v="13"/>
    <n v="17"/>
  </r>
  <r>
    <x v="1"/>
    <n v="0.43940000000000001"/>
    <n v="0.94"/>
    <n v="0.25369999999999998"/>
    <n v="1"/>
    <n v="16"/>
    <n v="17"/>
  </r>
  <r>
    <x v="1"/>
    <n v="0.42420000000000002"/>
    <n v="1"/>
    <n v="0.28360000000000002"/>
    <n v="1"/>
    <n v="8"/>
    <n v="9"/>
  </r>
  <r>
    <x v="1"/>
    <n v="0.45450000000000002"/>
    <n v="0.94"/>
    <n v="0.19400000000000001"/>
    <n v="2"/>
    <n v="4"/>
    <n v="6"/>
  </r>
  <r>
    <x v="1"/>
    <s v="N/d "/>
    <n v="0.94"/>
    <n v="0.19400000000000001"/>
    <n v="2"/>
    <n v="1"/>
    <n v="3"/>
  </r>
  <r>
    <x v="1"/>
    <n v="0.42420000000000002"/>
    <n v="0.77"/>
    <n v="0.29849999999999999"/>
    <n v="0"/>
    <n v="2"/>
    <n v="2"/>
  </r>
  <r>
    <x v="1"/>
    <n v="0.40910000000000002"/>
    <n v="0.76"/>
    <n v="0.19400000000000001"/>
    <n v="0"/>
    <n v="1"/>
    <n v="1"/>
  </r>
  <r>
    <x v="1"/>
    <n v="0.40910000000000002"/>
    <n v="0.71"/>
    <n v="0.22389999999999999"/>
    <n v="0"/>
    <n v="8"/>
    <n v="8"/>
  </r>
  <r>
    <x v="1"/>
    <s v="N/d "/>
    <n v="0.76"/>
    <n v="0.22389999999999999"/>
    <n v="1"/>
    <n v="19"/>
    <n v="20"/>
  </r>
  <r>
    <x v="1"/>
    <n v="0.34849999999999998"/>
    <n v="0.81"/>
    <n v="0.22389999999999999"/>
    <n v="7"/>
    <n v="46"/>
    <n v="53"/>
  </r>
  <r>
    <x v="1"/>
    <n v="0.33329999999999999"/>
    <n v="0.71"/>
    <n v="0.25369999999999998"/>
    <n v="16"/>
    <n v="54"/>
    <n v="70"/>
  </r>
  <r>
    <x v="1"/>
    <n v="0.33329999999999999"/>
    <n v="0.66"/>
    <n v="0.29849999999999999"/>
    <n v="20"/>
    <n v="73"/>
    <n v="93"/>
  </r>
  <r>
    <x v="1"/>
    <n v="0.34849999999999998"/>
    <n v="0.66"/>
    <n v="0.1343"/>
    <n v="11"/>
    <n v="64"/>
    <n v="75"/>
  </r>
  <r>
    <x v="1"/>
    <s v="N/d "/>
    <n v="0.76"/>
    <n v="0.19400000000000001"/>
    <n v="4"/>
    <n v="55"/>
    <n v="59"/>
  </r>
  <r>
    <x v="1"/>
    <n v="0.33329999999999999"/>
    <n v="0.81"/>
    <n v="0.16420000000000001"/>
    <n v="19"/>
    <n v="55"/>
    <n v="74"/>
  </r>
  <r>
    <x v="1"/>
    <n v="0.33329999999999999"/>
    <n v="0.71"/>
    <n v="0.16420000000000001"/>
    <n v="9"/>
    <n v="67"/>
    <n v="76"/>
  </r>
  <r>
    <x v="1"/>
    <n v="0.33329999999999999"/>
    <n v="0.56999999999999995"/>
    <n v="0.19400000000000001"/>
    <n v="7"/>
    <n v="58"/>
    <n v="65"/>
  </r>
  <r>
    <x v="1"/>
    <n v="0.33329999999999999"/>
    <n v="0.46"/>
    <n v="0.32840000000000003"/>
    <n v="10"/>
    <n v="43"/>
    <n v="53"/>
  </r>
  <r>
    <x v="1"/>
    <n v="0.28789999999999999"/>
    <n v="0.42"/>
    <n v="0.44779999999999998"/>
    <n v="1"/>
    <n v="29"/>
    <n v="30"/>
  </r>
  <r>
    <x v="1"/>
    <s v="N/d "/>
    <n v="0.39"/>
    <n v="0.35820000000000002"/>
    <n v="5"/>
    <n v="17"/>
    <n v="22"/>
  </r>
  <r>
    <x v="1"/>
    <n v="0.2273"/>
    <n v="0.44"/>
    <n v="0.32840000000000003"/>
    <n v="11"/>
    <n v="20"/>
    <n v="31"/>
  </r>
  <r>
    <x v="1"/>
    <n v="0.21210000000000001"/>
    <n v="0.44"/>
    <n v="0.29849999999999999"/>
    <n v="0"/>
    <n v="9"/>
    <n v="9"/>
  </r>
  <r>
    <x v="1"/>
    <n v="0.2273"/>
    <n v="0.47"/>
    <n v="0.16420000000000001"/>
    <n v="0"/>
    <n v="8"/>
    <n v="8"/>
  </r>
  <r>
    <x v="2"/>
    <n v="0.19700000000000001"/>
    <n v="0.44"/>
    <n v="0.35820000000000002"/>
    <n v="0"/>
    <n v="5"/>
    <n v="5"/>
  </r>
  <r>
    <x v="2"/>
    <s v="N/d "/>
    <n v="0.44"/>
    <n v="0.41789999999999999"/>
    <n v="0"/>
    <n v="2"/>
    <n v="2"/>
  </r>
  <r>
    <x v="2"/>
    <n v="0.13639999999999999"/>
    <n v="0.47"/>
    <n v="0.3881"/>
    <n v="0"/>
    <n v="1"/>
    <n v="1"/>
  </r>
  <r>
    <x v="2"/>
    <n v="0.13639999999999999"/>
    <n v="0.47"/>
    <n v="0.28360000000000002"/>
    <n v="0"/>
    <n v="3"/>
    <n v="3"/>
  </r>
  <r>
    <x v="2"/>
    <n v="0.1061"/>
    <n v="0.5"/>
    <n v="0.3881"/>
    <n v="0"/>
    <n v="30"/>
    <n v="30"/>
  </r>
  <r>
    <x v="2"/>
    <n v="0.13639999999999999"/>
    <n v="0.5"/>
    <n v="0.19400000000000001"/>
    <n v="1"/>
    <n v="63"/>
    <n v="64"/>
  </r>
  <r>
    <x v="2"/>
    <n v="0.1212"/>
    <n v="0.5"/>
    <n v="0.28360000000000002"/>
    <n v="1"/>
    <n v="153"/>
    <n v="154"/>
  </r>
  <r>
    <x v="2"/>
    <n v="0.13639999999999999"/>
    <n v="0.43"/>
    <n v="0.3881"/>
    <n v="7"/>
    <n v="81"/>
    <n v="88"/>
  </r>
  <r>
    <x v="2"/>
    <n v="0.16669999999999999"/>
    <n v="0.43"/>
    <n v="0.25369999999999998"/>
    <n v="11"/>
    <n v="33"/>
    <n v="44"/>
  </r>
  <r>
    <x v="2"/>
    <n v="0.18179999999999999"/>
    <n v="0.4"/>
    <n v="0.32840000000000003"/>
    <n v="10"/>
    <n v="41"/>
    <n v="51"/>
  </r>
  <r>
    <x v="2"/>
    <n v="0.21210000000000001"/>
    <n v="0.35"/>
    <n v="0.29849999999999999"/>
    <n v="13"/>
    <n v="48"/>
    <n v="61"/>
  </r>
  <r>
    <x v="2"/>
    <s v="N/d "/>
    <n v="0.35"/>
    <n v="0.28360000000000002"/>
    <n v="8"/>
    <n v="53"/>
    <n v="61"/>
  </r>
  <r>
    <x v="2"/>
    <n v="0.2424"/>
    <n v="0.3"/>
    <n v="0.28360000000000002"/>
    <n v="11"/>
    <n v="66"/>
    <n v="77"/>
  </r>
  <r>
    <x v="2"/>
    <n v="0.2424"/>
    <n v="0.3"/>
    <n v="0.25369999999999998"/>
    <n v="14"/>
    <n v="58"/>
    <n v="72"/>
  </r>
  <r>
    <x v="2"/>
    <n v="0.2424"/>
    <n v="0.3"/>
    <n v="0.25369999999999998"/>
    <n v="9"/>
    <n v="67"/>
    <n v="76"/>
  </r>
  <r>
    <x v="2"/>
    <n v="0.2273"/>
    <n v="0.3"/>
    <n v="0.22389999999999999"/>
    <n v="11"/>
    <n v="146"/>
    <n v="157"/>
  </r>
  <r>
    <x v="2"/>
    <n v="0.2576"/>
    <n v="0.32"/>
    <n v="0.1045"/>
    <n v="9"/>
    <n v="148"/>
    <n v="157"/>
  </r>
  <r>
    <x v="2"/>
    <n v="0.2576"/>
    <n v="0.47"/>
    <n v="0"/>
    <n v="8"/>
    <n v="102"/>
    <n v="110"/>
  </r>
  <r>
    <x v="2"/>
    <s v="N/d "/>
    <n v="0.47"/>
    <n v="0.1045"/>
    <n v="3"/>
    <n v="49"/>
    <n v="52"/>
  </r>
  <r>
    <x v="2"/>
    <n v="0.19700000000000001"/>
    <n v="0.64"/>
    <n v="0.1343"/>
    <n v="3"/>
    <n v="49"/>
    <n v="52"/>
  </r>
  <r>
    <x v="2"/>
    <n v="0.1515"/>
    <n v="0.69"/>
    <n v="0.1343"/>
    <n v="0"/>
    <n v="20"/>
    <n v="20"/>
  </r>
  <r>
    <x v="2"/>
    <n v="0.21210000000000001"/>
    <n v="0.55000000000000004"/>
    <n v="0.1045"/>
    <n v="1"/>
    <n v="11"/>
    <n v="12"/>
  </r>
  <r>
    <x v="3"/>
    <s v="N/d "/>
    <n v="0.55000000000000004"/>
    <n v="0.1045"/>
    <n v="0"/>
    <n v="5"/>
    <n v="5"/>
  </r>
  <r>
    <x v="3"/>
    <n v="0.18179999999999999"/>
    <n v="0.59"/>
    <n v="0.1045"/>
    <n v="0"/>
    <n v="2"/>
    <n v="2"/>
  </r>
  <r>
    <x v="3"/>
    <n v="0.1515"/>
    <n v="0.63"/>
    <n v="0.1343"/>
    <n v="0"/>
    <n v="1"/>
    <n v="1"/>
  </r>
  <r>
    <x v="3"/>
    <n v="0.18179999999999999"/>
    <n v="0.63"/>
    <n v="8.9599999999999999E-2"/>
    <n v="0"/>
    <n v="2"/>
    <n v="2"/>
  </r>
  <r>
    <x v="3"/>
    <n v="0.1515"/>
    <n v="0.68"/>
    <n v="0.1045"/>
    <n v="0"/>
    <n v="4"/>
    <n v="4"/>
  </r>
  <r>
    <x v="3"/>
    <n v="0.1515"/>
    <n v="0.74"/>
    <n v="0.1045"/>
    <n v="0"/>
    <n v="36"/>
    <n v="36"/>
  </r>
  <r>
    <x v="3"/>
    <n v="0.1515"/>
    <n v="0.74"/>
    <n v="0.1343"/>
    <n v="2"/>
    <n v="92"/>
    <n v="94"/>
  </r>
  <r>
    <x v="3"/>
    <n v="0.1515"/>
    <n v="0.69"/>
    <n v="0.16420000000000001"/>
    <n v="2"/>
    <n v="177"/>
    <n v="179"/>
  </r>
  <r>
    <x v="3"/>
    <n v="0.1515"/>
    <n v="0.64"/>
    <n v="0.22389999999999999"/>
    <n v="2"/>
    <n v="98"/>
    <n v="100"/>
  </r>
  <r>
    <x v="3"/>
    <n v="0.13639999999999999"/>
    <n v="0.69"/>
    <n v="0.32840000000000003"/>
    <n v="5"/>
    <n v="37"/>
    <n v="42"/>
  </r>
  <r>
    <x v="3"/>
    <n v="0.21210000000000001"/>
    <n v="0.51"/>
    <n v="0.29849999999999999"/>
    <n v="7"/>
    <n v="50"/>
    <n v="57"/>
  </r>
  <r>
    <x v="3"/>
    <n v="0.2273"/>
    <n v="0.51"/>
    <n v="0.16420000000000001"/>
    <n v="12"/>
    <n v="66"/>
    <n v="78"/>
  </r>
  <r>
    <x v="3"/>
    <n v="0.2273"/>
    <n v="0.56000000000000005"/>
    <n v="0.19400000000000001"/>
    <n v="18"/>
    <n v="79"/>
    <n v="97"/>
  </r>
  <r>
    <x v="3"/>
    <n v="0.2576"/>
    <n v="0.52"/>
    <n v="0.22389999999999999"/>
    <n v="9"/>
    <n v="54"/>
    <n v="63"/>
  </r>
  <r>
    <x v="3"/>
    <n v="0.2727"/>
    <n v="0.52"/>
    <n v="0.25369999999999998"/>
    <n v="17"/>
    <n v="48"/>
    <n v="65"/>
  </r>
  <r>
    <x v="3"/>
    <n v="0.28789999999999999"/>
    <n v="0.49"/>
    <n v="0.25369999999999998"/>
    <n v="15"/>
    <n v="68"/>
    <n v="83"/>
  </r>
  <r>
    <x v="3"/>
    <n v="0.2727"/>
    <n v="0.48"/>
    <n v="0.22389999999999999"/>
    <n v="10"/>
    <n v="202"/>
    <n v="212"/>
  </r>
  <r>
    <x v="3"/>
    <n v="0.2576"/>
    <n v="0.48"/>
    <n v="0.19400000000000001"/>
    <n v="3"/>
    <n v="179"/>
    <n v="182"/>
  </r>
  <r>
    <x v="3"/>
    <n v="0.2576"/>
    <n v="0.48"/>
    <n v="0.1045"/>
    <n v="2"/>
    <n v="110"/>
    <n v="112"/>
  </r>
  <r>
    <x v="3"/>
    <n v="0.2576"/>
    <n v="0.48"/>
    <n v="0.1045"/>
    <n v="1"/>
    <n v="53"/>
    <n v="54"/>
  </r>
  <r>
    <x v="3"/>
    <n v="0.2727"/>
    <n v="0.64"/>
    <n v="0"/>
    <n v="0"/>
    <n v="48"/>
    <n v="48"/>
  </r>
  <r>
    <x v="3"/>
    <n v="0.2576"/>
    <n v="0.64"/>
    <n v="8.9599999999999999E-2"/>
    <n v="1"/>
    <n v="34"/>
    <n v="35"/>
  </r>
  <r>
    <x v="3"/>
    <n v="0.2273"/>
    <n v="0.69"/>
    <n v="8.9599999999999999E-2"/>
    <n v="2"/>
    <n v="9"/>
    <n v="11"/>
  </r>
  <r>
    <x v="4"/>
    <n v="0.2576"/>
    <n v="0.64"/>
    <n v="0"/>
    <n v="0"/>
    <n v="6"/>
    <n v="6"/>
  </r>
  <r>
    <x v="4"/>
    <n v="0.19700000000000001"/>
    <n v="0.74"/>
    <n v="8.9599999999999999E-2"/>
    <n v="0"/>
    <n v="6"/>
    <n v="6"/>
  </r>
  <r>
    <x v="4"/>
    <n v="0.19700000000000001"/>
    <n v="0.74"/>
    <n v="8.9599999999999999E-2"/>
    <n v="0"/>
    <n v="2"/>
    <n v="2"/>
  </r>
  <r>
    <x v="4"/>
    <n v="0.2273"/>
    <n v="0.48"/>
    <n v="0.22389999999999999"/>
    <n v="0"/>
    <n v="2"/>
    <n v="2"/>
  </r>
  <r>
    <x v="4"/>
    <n v="0.2273"/>
    <n v="0.47"/>
    <n v="0.16420000000000001"/>
    <n v="0"/>
    <n v="3"/>
    <n v="3"/>
  </r>
  <r>
    <x v="4"/>
    <n v="0.19700000000000001"/>
    <n v="0.47"/>
    <n v="0.22389999999999999"/>
    <n v="0"/>
    <n v="33"/>
    <n v="33"/>
  </r>
  <r>
    <x v="4"/>
    <n v="0.18179999999999999"/>
    <n v="0.43"/>
    <n v="0.19400000000000001"/>
    <n v="1"/>
    <n v="87"/>
    <n v="88"/>
  </r>
  <r>
    <x v="4"/>
    <n v="0.18179999999999999"/>
    <n v="0.4"/>
    <n v="0.29849999999999999"/>
    <n v="3"/>
    <n v="192"/>
    <n v="195"/>
  </r>
  <r>
    <x v="4"/>
    <n v="0.19700000000000001"/>
    <n v="0.37"/>
    <n v="0.32840000000000003"/>
    <n v="6"/>
    <n v="109"/>
    <n v="115"/>
  </r>
  <r>
    <x v="4"/>
    <n v="0.19700000000000001"/>
    <n v="0.37"/>
    <n v="0.32840000000000003"/>
    <n v="4"/>
    <n v="53"/>
    <n v="57"/>
  </r>
  <r>
    <x v="4"/>
    <n v="0.2273"/>
    <n v="0.33"/>
    <n v="0.32840000000000003"/>
    <n v="12"/>
    <n v="34"/>
    <n v="46"/>
  </r>
  <r>
    <x v="4"/>
    <n v="0.2273"/>
    <n v="0.33"/>
    <n v="0.32840000000000003"/>
    <n v="5"/>
    <n v="74"/>
    <n v="79"/>
  </r>
  <r>
    <x v="4"/>
    <n v="0.2576"/>
    <n v="0.3"/>
    <n v="0.29849999999999999"/>
    <n v="6"/>
    <n v="65"/>
    <n v="71"/>
  </r>
  <r>
    <x v="4"/>
    <n v="0.28789999999999999"/>
    <n v="0.28000000000000003"/>
    <n v="0.19400000000000001"/>
    <n v="10"/>
    <n v="52"/>
    <n v="62"/>
  </r>
  <r>
    <x v="4"/>
    <n v="0.28789999999999999"/>
    <n v="0.28000000000000003"/>
    <n v="0.19400000000000001"/>
    <n v="7"/>
    <n v="55"/>
    <n v="62"/>
  </r>
  <r>
    <x v="4"/>
    <n v="0.31819999999999998"/>
    <n v="0.28000000000000003"/>
    <n v="8.9599999999999999E-2"/>
    <n v="4"/>
    <n v="85"/>
    <n v="89"/>
  </r>
  <r>
    <x v="4"/>
    <n v="0.2273"/>
    <n v="0.38"/>
    <n v="0.19400000000000001"/>
    <n v="4"/>
    <n v="186"/>
    <n v="190"/>
  </r>
  <r>
    <x v="4"/>
    <n v="0.2424"/>
    <n v="0.38"/>
    <n v="0.1343"/>
    <n v="3"/>
    <n v="166"/>
    <n v="169"/>
  </r>
  <r>
    <x v="4"/>
    <n v="0.2576"/>
    <n v="0.38"/>
    <n v="0.1045"/>
    <n v="5"/>
    <n v="127"/>
    <n v="132"/>
  </r>
  <r>
    <x v="4"/>
    <n v="0.2273"/>
    <n v="0.47"/>
    <n v="0.16420000000000001"/>
    <n v="7"/>
    <n v="82"/>
    <n v="89"/>
  </r>
  <r>
    <x v="4"/>
    <n v="0.19700000000000001"/>
    <n v="0.51"/>
    <n v="0.19400000000000001"/>
    <n v="3"/>
    <n v="40"/>
    <n v="43"/>
  </r>
  <r>
    <x v="4"/>
    <n v="0.19700000000000001"/>
    <n v="0.55000000000000004"/>
    <n v="0.1343"/>
    <n v="1"/>
    <n v="41"/>
    <n v="42"/>
  </r>
  <r>
    <x v="4"/>
    <n v="0.2576"/>
    <n v="0.47"/>
    <n v="0"/>
    <n v="1"/>
    <n v="18"/>
    <n v="19"/>
  </r>
  <r>
    <x v="5"/>
    <n v="0.2424"/>
    <n v="0.55000000000000004"/>
    <n v="0"/>
    <n v="0"/>
    <n v="11"/>
    <n v="11"/>
  </r>
  <r>
    <x v="5"/>
    <n v="0.2273"/>
    <n v="0.64"/>
    <n v="0"/>
    <n v="0"/>
    <n v="4"/>
    <n v="4"/>
  </r>
  <r>
    <x v="5"/>
    <n v="0.2273"/>
    <n v="0.64"/>
    <n v="0"/>
    <n v="0"/>
    <n v="2"/>
    <n v="2"/>
  </r>
  <r>
    <x v="5"/>
    <n v="0.19700000000000001"/>
    <n v="0.64"/>
    <n v="8.9599999999999999E-2"/>
    <n v="0"/>
    <n v="1"/>
    <n v="1"/>
  </r>
  <r>
    <x v="5"/>
    <n v="0.18179999999999999"/>
    <n v="0.69"/>
    <n v="8.9599999999999999E-2"/>
    <n v="0"/>
    <n v="4"/>
    <n v="4"/>
  </r>
  <r>
    <x v="5"/>
    <n v="0.16669999999999999"/>
    <n v="0.63"/>
    <n v="0.1045"/>
    <n v="0"/>
    <n v="36"/>
    <n v="36"/>
  </r>
  <r>
    <x v="5"/>
    <n v="0.2273"/>
    <n v="0.59"/>
    <n v="0"/>
    <n v="0"/>
    <n v="95"/>
    <n v="95"/>
  </r>
  <r>
    <x v="5"/>
    <n v="0.2273"/>
    <n v="0.59"/>
    <n v="0"/>
    <n v="3"/>
    <n v="216"/>
    <n v="219"/>
  </r>
  <r>
    <x v="5"/>
    <n v="0.2424"/>
    <n v="0.51"/>
    <n v="0"/>
    <n v="6"/>
    <n v="116"/>
    <n v="122"/>
  </r>
  <r>
    <x v="5"/>
    <n v="0.2576"/>
    <n v="0.47"/>
    <n v="0"/>
    <n v="3"/>
    <n v="42"/>
    <n v="45"/>
  </r>
  <r>
    <x v="5"/>
    <n v="0.2576"/>
    <n v="0.44"/>
    <n v="8.9599999999999999E-2"/>
    <n v="2"/>
    <n v="57"/>
    <n v="59"/>
  </r>
  <r>
    <x v="5"/>
    <n v="0.28789999999999999"/>
    <n v="0.35"/>
    <n v="0"/>
    <n v="6"/>
    <n v="78"/>
    <n v="84"/>
  </r>
  <r>
    <x v="5"/>
    <n v="0.2727"/>
    <n v="0.35"/>
    <n v="0.1045"/>
    <n v="12"/>
    <n v="55"/>
    <n v="67"/>
  </r>
  <r>
    <x v="5"/>
    <n v="0.2727"/>
    <n v="0.36"/>
    <n v="0.16420000000000001"/>
    <n v="11"/>
    <n v="59"/>
    <n v="70"/>
  </r>
  <r>
    <x v="5"/>
    <n v="0.2727"/>
    <n v="0.36"/>
    <n v="0"/>
    <n v="8"/>
    <n v="54"/>
    <n v="62"/>
  </r>
  <r>
    <x v="5"/>
    <n v="0.2576"/>
    <n v="0.38"/>
    <n v="0.16420000000000001"/>
    <n v="12"/>
    <n v="74"/>
    <n v="86"/>
  </r>
  <r>
    <x v="5"/>
    <n v="0.2273"/>
    <n v="0.51"/>
    <n v="0.16420000000000001"/>
    <n v="9"/>
    <n v="163"/>
    <n v="172"/>
  </r>
  <r>
    <x v="5"/>
    <n v="0.2273"/>
    <n v="0.51"/>
    <n v="0.1343"/>
    <n v="5"/>
    <n v="158"/>
    <n v="163"/>
  </r>
  <r>
    <x v="5"/>
    <n v="0.2576"/>
    <n v="0.55000000000000004"/>
    <n v="8.9599999999999999E-2"/>
    <n v="3"/>
    <n v="109"/>
    <n v="112"/>
  </r>
  <r>
    <x v="5"/>
    <n v="0.21210000000000001"/>
    <n v="0.51"/>
    <n v="0.16420000000000001"/>
    <n v="3"/>
    <n v="66"/>
    <n v="69"/>
  </r>
  <r>
    <x v="5"/>
    <n v="0.21210000000000001"/>
    <n v="0.55000000000000004"/>
    <n v="0.22389999999999999"/>
    <n v="0"/>
    <n v="48"/>
    <n v="48"/>
  </r>
  <r>
    <x v="5"/>
    <n v="0.21210000000000001"/>
    <n v="0.51"/>
    <n v="0.28360000000000002"/>
    <n v="1"/>
    <n v="51"/>
    <n v="52"/>
  </r>
  <r>
    <x v="5"/>
    <n v="0.19700000000000001"/>
    <n v="0.59"/>
    <n v="0.19400000000000001"/>
    <n v="4"/>
    <n v="19"/>
    <n v="23"/>
  </r>
  <r>
    <x v="6"/>
    <n v="0.19700000000000001"/>
    <n v="0.64"/>
    <n v="0.19400000000000001"/>
    <n v="4"/>
    <n v="13"/>
    <n v="17"/>
  </r>
  <r>
    <x v="6"/>
    <n v="0.19700000000000001"/>
    <n v="0.69"/>
    <n v="0.22389999999999999"/>
    <n v="2"/>
    <n v="5"/>
    <n v="7"/>
  </r>
  <r>
    <x v="6"/>
    <n v="0.19700000000000001"/>
    <n v="0.69"/>
    <n v="0.22389999999999999"/>
    <n v="0"/>
    <n v="1"/>
    <n v="1"/>
  </r>
  <r>
    <x v="6"/>
    <n v="0.21210000000000001"/>
    <n v="0.69"/>
    <n v="0.1343"/>
    <n v="0"/>
    <n v="1"/>
    <n v="1"/>
  </r>
  <r>
    <x v="6"/>
    <n v="0.2727"/>
    <n v="0.55000000000000004"/>
    <n v="0"/>
    <n v="0"/>
    <n v="5"/>
    <n v="5"/>
  </r>
  <r>
    <x v="6"/>
    <n v="0.2576"/>
    <n v="0.69"/>
    <n v="0"/>
    <n v="8"/>
    <n v="26"/>
    <n v="34"/>
  </r>
  <r>
    <x v="6"/>
    <n v="0.21210000000000001"/>
    <n v="0.69"/>
    <n v="0.1343"/>
    <n v="8"/>
    <n v="76"/>
    <n v="84"/>
  </r>
  <r>
    <x v="6"/>
    <n v="0.19700000000000001"/>
    <n v="0.51"/>
    <n v="0.25369999999999998"/>
    <n v="20"/>
    <n v="190"/>
    <n v="210"/>
  </r>
  <r>
    <x v="6"/>
    <n v="0.18179999999999999"/>
    <n v="0.47"/>
    <n v="0.29849999999999999"/>
    <n v="9"/>
    <n v="125"/>
    <n v="134"/>
  </r>
  <r>
    <x v="6"/>
    <n v="0.19700000000000001"/>
    <n v="0.37"/>
    <n v="0.32840000000000003"/>
    <n v="16"/>
    <n v="47"/>
    <n v="63"/>
  </r>
  <r>
    <x v="6"/>
    <n v="0.19700000000000001"/>
    <n v="0.4"/>
    <n v="0.22389999999999999"/>
    <n v="19"/>
    <n v="48"/>
    <n v="67"/>
  </r>
  <r>
    <x v="6"/>
    <n v="0.19700000000000001"/>
    <n v="0.37"/>
    <n v="0.25369999999999998"/>
    <n v="9"/>
    <n v="50"/>
    <n v="59"/>
  </r>
  <r>
    <x v="6"/>
    <n v="0.18179999999999999"/>
    <n v="0.37"/>
    <n v="0.28360000000000002"/>
    <n v="9"/>
    <n v="64"/>
    <n v="73"/>
  </r>
  <r>
    <x v="6"/>
    <n v="0.19700000000000001"/>
    <n v="0.4"/>
    <n v="0.25369999999999998"/>
    <n v="7"/>
    <n v="43"/>
    <n v="50"/>
  </r>
  <r>
    <x v="6"/>
    <n v="0.21210000000000001"/>
    <n v="0.37"/>
    <n v="0.16420000000000001"/>
    <n v="9"/>
    <n v="63"/>
    <n v="72"/>
  </r>
  <r>
    <x v="6"/>
    <n v="0.21210000000000001"/>
    <n v="0.37"/>
    <n v="0.16420000000000001"/>
    <n v="5"/>
    <n v="82"/>
    <n v="87"/>
  </r>
  <r>
    <x v="6"/>
    <n v="0.2576"/>
    <n v="0.37"/>
    <n v="0"/>
    <n v="9"/>
    <n v="178"/>
    <n v="187"/>
  </r>
  <r>
    <x v="6"/>
    <n v="0.2273"/>
    <n v="0.4"/>
    <n v="8.9599999999999999E-2"/>
    <n v="7"/>
    <n v="116"/>
    <n v="123"/>
  </r>
  <r>
    <x v="6"/>
    <n v="0.19700000000000001"/>
    <n v="0.55000000000000004"/>
    <n v="8.9599999999999999E-2"/>
    <n v="3"/>
    <n v="92"/>
    <n v="95"/>
  </r>
  <r>
    <x v="6"/>
    <n v="0.21210000000000001"/>
    <n v="0.47"/>
    <n v="0.1045"/>
    <n v="1"/>
    <n v="50"/>
    <n v="51"/>
  </r>
  <r>
    <x v="6"/>
    <n v="0.19700000000000001"/>
    <n v="0.47"/>
    <n v="0.1343"/>
    <n v="0"/>
    <n v="39"/>
    <n v="39"/>
  </r>
  <r>
    <x v="6"/>
    <n v="0.19700000000000001"/>
    <n v="0.43"/>
    <n v="0.16420000000000001"/>
    <n v="2"/>
    <n v="34"/>
    <n v="36"/>
  </r>
  <r>
    <x v="6"/>
    <n v="0.19700000000000001"/>
    <n v="0.51"/>
    <n v="0.16420000000000001"/>
    <n v="1"/>
    <n v="14"/>
    <n v="15"/>
  </r>
  <r>
    <x v="7"/>
    <n v="0.19700000000000001"/>
    <n v="0.51"/>
    <n v="0.16420000000000001"/>
    <n v="1"/>
    <n v="24"/>
    <n v="25"/>
  </r>
  <r>
    <x v="7"/>
    <n v="0.21210000000000001"/>
    <n v="0.55000000000000004"/>
    <n v="8.9599999999999999E-2"/>
    <n v="1"/>
    <n v="15"/>
    <n v="16"/>
  </r>
  <r>
    <x v="7"/>
    <n v="0.2424"/>
    <n v="0.55000000000000004"/>
    <n v="0"/>
    <n v="3"/>
    <n v="13"/>
    <n v="16"/>
  </r>
  <r>
    <x v="7"/>
    <n v="0.19700000000000001"/>
    <n v="0.55000000000000004"/>
    <n v="0.16420000000000001"/>
    <n v="0"/>
    <n v="7"/>
    <n v="7"/>
  </r>
  <r>
    <x v="7"/>
    <n v="0.19700000000000001"/>
    <n v="0.55000000000000004"/>
    <n v="0.16420000000000001"/>
    <n v="0"/>
    <n v="1"/>
    <n v="1"/>
  </r>
  <r>
    <x v="7"/>
    <n v="0.16669999999999999"/>
    <n v="0.74"/>
    <n v="0.16420000000000001"/>
    <n v="0"/>
    <n v="5"/>
    <n v="5"/>
  </r>
  <r>
    <x v="7"/>
    <n v="0.16669999999999999"/>
    <n v="0.74"/>
    <n v="0.16420000000000001"/>
    <n v="0"/>
    <n v="2"/>
    <n v="2"/>
  </r>
  <r>
    <x v="7"/>
    <n v="0.18179999999999999"/>
    <n v="0.74"/>
    <n v="0.1045"/>
    <n v="1"/>
    <n v="8"/>
    <n v="9"/>
  </r>
  <r>
    <x v="7"/>
    <n v="0.18179999999999999"/>
    <n v="0.93"/>
    <n v="0.1045"/>
    <n v="0"/>
    <n v="15"/>
    <n v="15"/>
  </r>
  <r>
    <x v="7"/>
    <n v="0.18179999999999999"/>
    <n v="0.93"/>
    <n v="0.1045"/>
    <n v="0"/>
    <n v="20"/>
    <n v="20"/>
  </r>
  <r>
    <x v="7"/>
    <n v="0.19700000000000001"/>
    <n v="0.8"/>
    <n v="0.16420000000000001"/>
    <n v="5"/>
    <n v="56"/>
    <n v="61"/>
  </r>
  <r>
    <x v="7"/>
    <n v="0.18179999999999999"/>
    <n v="0.69"/>
    <n v="0.3881"/>
    <n v="2"/>
    <n v="60"/>
    <n v="62"/>
  </r>
  <r>
    <x v="7"/>
    <n v="0.18179999999999999"/>
    <n v="0.59"/>
    <n v="0.35820000000000002"/>
    <n v="8"/>
    <n v="90"/>
    <n v="98"/>
  </r>
  <r>
    <x v="7"/>
    <n v="0.18179999999999999"/>
    <n v="0.44"/>
    <n v="0.32840000000000003"/>
    <n v="7"/>
    <n v="95"/>
    <n v="102"/>
  </r>
  <r>
    <x v="7"/>
    <n v="0.16669999999999999"/>
    <n v="0.32"/>
    <n v="0.49249999999999999"/>
    <n v="12"/>
    <n v="83"/>
    <n v="95"/>
  </r>
  <r>
    <x v="7"/>
    <n v="0.16669999999999999"/>
    <n v="0.32"/>
    <n v="0.44779999999999998"/>
    <n v="5"/>
    <n v="69"/>
    <n v="74"/>
  </r>
  <r>
    <x v="7"/>
    <n v="0.13639999999999999"/>
    <n v="0.28999999999999998"/>
    <n v="0.44779999999999998"/>
    <n v="8"/>
    <n v="68"/>
    <n v="76"/>
  </r>
  <r>
    <x v="7"/>
    <n v="0.1212"/>
    <n v="0.37"/>
    <n v="0.55220000000000002"/>
    <n v="5"/>
    <n v="64"/>
    <n v="69"/>
  </r>
  <r>
    <x v="7"/>
    <n v="0.1212"/>
    <n v="0.39"/>
    <n v="0.29849999999999999"/>
    <n v="3"/>
    <n v="52"/>
    <n v="55"/>
  </r>
  <r>
    <x v="7"/>
    <n v="0.1212"/>
    <n v="0.36"/>
    <n v="0.25369999999999998"/>
    <n v="4"/>
    <n v="26"/>
    <n v="30"/>
  </r>
  <r>
    <x v="7"/>
    <n v="0.1212"/>
    <n v="0.36"/>
    <n v="0.25369999999999998"/>
    <n v="0"/>
    <n v="28"/>
    <n v="28"/>
  </r>
  <r>
    <x v="7"/>
    <n v="0.1061"/>
    <n v="0.39"/>
    <n v="0.35820000000000002"/>
    <n v="2"/>
    <n v="35"/>
    <n v="37"/>
  </r>
  <r>
    <x v="7"/>
    <n v="0.1061"/>
    <n v="0.36"/>
    <n v="0.3881"/>
    <n v="1"/>
    <n v="33"/>
    <n v="34"/>
  </r>
  <r>
    <x v="7"/>
    <n v="6.0600000000000001E-2"/>
    <n v="0.39"/>
    <n v="0.44779999999999998"/>
    <n v="0"/>
    <n v="22"/>
    <n v="22"/>
  </r>
  <r>
    <x v="8"/>
    <n v="7.5800000000000006E-2"/>
    <n v="0.42"/>
    <n v="0.3881"/>
    <n v="1"/>
    <n v="24"/>
    <n v="25"/>
  </r>
  <r>
    <x v="8"/>
    <n v="6.0600000000000001E-2"/>
    <n v="0.42"/>
    <n v="0.4627"/>
    <n v="0"/>
    <n v="12"/>
    <n v="12"/>
  </r>
  <r>
    <x v="8"/>
    <n v="6.0600000000000001E-2"/>
    <n v="0.46"/>
    <n v="0.4627"/>
    <n v="0"/>
    <n v="11"/>
    <n v="11"/>
  </r>
  <r>
    <x v="8"/>
    <n v="7.5800000000000006E-2"/>
    <n v="0.46"/>
    <n v="0.41789999999999999"/>
    <n v="0"/>
    <n v="4"/>
    <n v="4"/>
  </r>
  <r>
    <x v="8"/>
    <n v="9.0899999999999995E-2"/>
    <n v="0.53"/>
    <n v="0.19400000000000001"/>
    <n v="0"/>
    <n v="1"/>
    <n v="1"/>
  </r>
  <r>
    <x v="8"/>
    <n v="9.0899999999999995E-2"/>
    <n v="0.53"/>
    <n v="0.19400000000000001"/>
    <n v="0"/>
    <n v="1"/>
    <n v="1"/>
  </r>
  <r>
    <x v="8"/>
    <n v="9.0899999999999995E-2"/>
    <n v="0.49"/>
    <n v="0.28360000000000002"/>
    <n v="0"/>
    <n v="1"/>
    <n v="1"/>
  </r>
  <r>
    <x v="8"/>
    <n v="9.0899999999999995E-2"/>
    <n v="0.53"/>
    <n v="0.19400000000000001"/>
    <n v="1"/>
    <n v="5"/>
    <n v="6"/>
  </r>
  <r>
    <x v="8"/>
    <n v="9.0899999999999995E-2"/>
    <n v="0.49"/>
    <n v="0.28360000000000002"/>
    <n v="0"/>
    <n v="10"/>
    <n v="10"/>
  </r>
  <r>
    <x v="8"/>
    <n v="7.5800000000000006E-2"/>
    <n v="0.46"/>
    <n v="0.52239999999999998"/>
    <n v="0"/>
    <n v="19"/>
    <n v="19"/>
  </r>
  <r>
    <x v="8"/>
    <n v="0.1061"/>
    <n v="0.43"/>
    <n v="0.3881"/>
    <n v="0"/>
    <n v="49"/>
    <n v="49"/>
  </r>
  <r>
    <x v="8"/>
    <n v="0.1212"/>
    <n v="0.4"/>
    <n v="0.52239999999999998"/>
    <n v="2"/>
    <n v="47"/>
    <n v="49"/>
  </r>
  <r>
    <x v="8"/>
    <n v="0.13639999999999999"/>
    <n v="0.37"/>
    <n v="0.44779999999999998"/>
    <n v="4"/>
    <n v="79"/>
    <n v="83"/>
  </r>
  <r>
    <x v="8"/>
    <n v="0.16669999999999999"/>
    <n v="0.34"/>
    <n v="0.44779999999999998"/>
    <n v="6"/>
    <n v="69"/>
    <n v="75"/>
  </r>
  <r>
    <x v="8"/>
    <n v="0.18179999999999999"/>
    <n v="0.32"/>
    <n v="0.4627"/>
    <n v="8"/>
    <n v="64"/>
    <n v="72"/>
  </r>
  <r>
    <x v="8"/>
    <n v="0.19700000000000001"/>
    <n v="0.35"/>
    <n v="0.35820000000000002"/>
    <n v="5"/>
    <n v="77"/>
    <n v="82"/>
  </r>
  <r>
    <x v="8"/>
    <n v="0.16669999999999999"/>
    <n v="0.34"/>
    <n v="0.44779999999999998"/>
    <n v="13"/>
    <n v="79"/>
    <n v="92"/>
  </r>
  <r>
    <x v="8"/>
    <n v="0.1515"/>
    <n v="0.37"/>
    <n v="0.3881"/>
    <n v="3"/>
    <n v="59"/>
    <n v="62"/>
  </r>
  <r>
    <x v="8"/>
    <n v="0.13639999999999999"/>
    <n v="0.4"/>
    <n v="0.32840000000000003"/>
    <n v="4"/>
    <n v="44"/>
    <n v="48"/>
  </r>
  <r>
    <x v="8"/>
    <n v="0.13639999999999999"/>
    <n v="0.43"/>
    <n v="0.32840000000000003"/>
    <n v="1"/>
    <n v="40"/>
    <n v="41"/>
  </r>
  <r>
    <x v="8"/>
    <n v="0.1212"/>
    <n v="0.46"/>
    <n v="0.25369999999999998"/>
    <n v="0"/>
    <n v="38"/>
    <n v="38"/>
  </r>
  <r>
    <x v="8"/>
    <n v="0.1061"/>
    <n v="0.46"/>
    <n v="0.41789999999999999"/>
    <n v="1"/>
    <n v="19"/>
    <n v="20"/>
  </r>
  <r>
    <x v="8"/>
    <n v="0.1212"/>
    <n v="0.46"/>
    <n v="0.29849999999999999"/>
    <n v="5"/>
    <n v="10"/>
    <n v="15"/>
  </r>
  <r>
    <x v="8"/>
    <n v="0.13639999999999999"/>
    <n v="0.5"/>
    <n v="0.19400000000000001"/>
    <n v="0"/>
    <n v="6"/>
    <n v="6"/>
  </r>
  <r>
    <x v="9"/>
    <n v="0.1212"/>
    <n v="0.5"/>
    <n v="0.28360000000000002"/>
    <n v="2"/>
    <n v="3"/>
    <n v="5"/>
  </r>
  <r>
    <x v="9"/>
    <n v="0.1212"/>
    <n v="0.5"/>
    <n v="0.28360000000000002"/>
    <n v="1"/>
    <n v="0"/>
    <n v="1"/>
  </r>
  <r>
    <x v="9"/>
    <n v="0.1212"/>
    <n v="0.5"/>
    <n v="0.22389999999999999"/>
    <n v="0"/>
    <n v="3"/>
    <n v="3"/>
  </r>
  <r>
    <x v="9"/>
    <n v="0.1212"/>
    <n v="0.5"/>
    <n v="0.22389999999999999"/>
    <n v="0"/>
    <n v="1"/>
    <n v="1"/>
  </r>
  <r>
    <x v="9"/>
    <n v="0.1212"/>
    <n v="0.54"/>
    <n v="0.1343"/>
    <n v="1"/>
    <n v="2"/>
    <n v="3"/>
  </r>
  <r>
    <x v="9"/>
    <n v="0.1061"/>
    <n v="0.54"/>
    <n v="0.25369999999999998"/>
    <n v="0"/>
    <n v="3"/>
    <n v="3"/>
  </r>
  <r>
    <x v="9"/>
    <n v="0.1212"/>
    <n v="0.5"/>
    <n v="0.28360000000000002"/>
    <n v="0"/>
    <n v="31"/>
    <n v="31"/>
  </r>
  <r>
    <x v="9"/>
    <n v="0.1212"/>
    <n v="0.5"/>
    <n v="0.22389999999999999"/>
    <n v="2"/>
    <n v="75"/>
    <n v="77"/>
  </r>
  <r>
    <x v="9"/>
    <n v="0.1212"/>
    <n v="0.5"/>
    <n v="0.28360000000000002"/>
    <n v="4"/>
    <n v="184"/>
    <n v="188"/>
  </r>
  <r>
    <x v="9"/>
    <n v="0.1212"/>
    <n v="0.5"/>
    <n v="0.25369999999999998"/>
    <n v="2"/>
    <n v="92"/>
    <n v="94"/>
  </r>
  <r>
    <x v="9"/>
    <n v="0.1212"/>
    <n v="0.5"/>
    <n v="0.29849999999999999"/>
    <n v="0"/>
    <n v="31"/>
    <n v="31"/>
  </r>
  <r>
    <x v="9"/>
    <n v="0.13639999999999999"/>
    <n v="0.47"/>
    <n v="0.28360000000000002"/>
    <n v="2"/>
    <n v="28"/>
    <n v="30"/>
  </r>
  <r>
    <x v="9"/>
    <n v="0.18179999999999999"/>
    <n v="0.4"/>
    <n v="0.28360000000000002"/>
    <n v="5"/>
    <n v="47"/>
    <n v="52"/>
  </r>
  <r>
    <x v="9"/>
    <n v="0.18179999999999999"/>
    <n v="0.4"/>
    <n v="0.28360000000000002"/>
    <n v="4"/>
    <n v="50"/>
    <n v="54"/>
  </r>
  <r>
    <x v="9"/>
    <n v="0.19700000000000001"/>
    <n v="0.4"/>
    <n v="0.22389999999999999"/>
    <n v="0"/>
    <n v="47"/>
    <n v="47"/>
  </r>
  <r>
    <x v="9"/>
    <n v="0.19700000000000001"/>
    <n v="0.4"/>
    <n v="0.22389999999999999"/>
    <n v="2"/>
    <n v="43"/>
    <n v="45"/>
  </r>
  <r>
    <x v="9"/>
    <n v="0.21210000000000001"/>
    <n v="0.4"/>
    <n v="0.1343"/>
    <n v="4"/>
    <n v="70"/>
    <n v="74"/>
  </r>
  <r>
    <x v="9"/>
    <n v="0.2273"/>
    <n v="0.4"/>
    <n v="0.1045"/>
    <n v="4"/>
    <n v="174"/>
    <n v="178"/>
  </r>
  <r>
    <x v="9"/>
    <n v="0.19700000000000001"/>
    <n v="0.4"/>
    <n v="0.22389999999999999"/>
    <n v="1"/>
    <n v="154"/>
    <n v="155"/>
  </r>
  <r>
    <x v="9"/>
    <n v="0.16669999999999999"/>
    <n v="0.47"/>
    <n v="0.16420000000000001"/>
    <n v="3"/>
    <n v="92"/>
    <n v="95"/>
  </r>
  <r>
    <x v="9"/>
    <n v="0.16669999999999999"/>
    <n v="0.5"/>
    <n v="0.16420000000000001"/>
    <n v="1"/>
    <n v="73"/>
    <n v="74"/>
  </r>
  <r>
    <x v="9"/>
    <n v="0.13639999999999999"/>
    <n v="0.59"/>
    <n v="0.19400000000000001"/>
    <n v="1"/>
    <n v="37"/>
    <n v="38"/>
  </r>
  <r>
    <x v="9"/>
    <n v="0.1515"/>
    <n v="0.59"/>
    <n v="0.16420000000000001"/>
    <n v="2"/>
    <n v="22"/>
    <n v="24"/>
  </r>
  <r>
    <x v="9"/>
    <n v="0.1515"/>
    <n v="0.59"/>
    <n v="0.16420000000000001"/>
    <n v="0"/>
    <n v="18"/>
    <n v="18"/>
  </r>
  <r>
    <x v="10"/>
    <n v="0.16669999999999999"/>
    <n v="0.59"/>
    <n v="0.1045"/>
    <n v="2"/>
    <n v="10"/>
    <n v="12"/>
  </r>
  <r>
    <x v="10"/>
    <n v="0.1515"/>
    <n v="0.59"/>
    <n v="0.16420000000000001"/>
    <n v="0"/>
    <n v="3"/>
    <n v="3"/>
  </r>
  <r>
    <x v="10"/>
    <n v="0.1515"/>
    <n v="0.55000000000000004"/>
    <n v="0.19400000000000001"/>
    <n v="0"/>
    <n v="3"/>
    <n v="3"/>
  </r>
  <r>
    <x v="10"/>
    <n v="0.18179999999999999"/>
    <n v="0.55000000000000004"/>
    <n v="0.1343"/>
    <n v="0"/>
    <n v="6"/>
    <n v="6"/>
  </r>
  <r>
    <x v="10"/>
    <n v="0.18179999999999999"/>
    <n v="0.55000000000000004"/>
    <n v="0.1343"/>
    <n v="0"/>
    <n v="27"/>
    <n v="27"/>
  </r>
  <r>
    <x v="10"/>
    <n v="0.2273"/>
    <n v="0.55000000000000004"/>
    <n v="0"/>
    <n v="2"/>
    <n v="97"/>
    <n v="99"/>
  </r>
  <r>
    <x v="10"/>
    <n v="0.21210000000000001"/>
    <n v="0.51"/>
    <n v="8.9599999999999999E-2"/>
    <n v="3"/>
    <n v="214"/>
    <n v="217"/>
  </r>
  <r>
    <x v="10"/>
    <n v="0.19700000000000001"/>
    <n v="0.51"/>
    <n v="0.16420000000000001"/>
    <n v="3"/>
    <n v="127"/>
    <n v="130"/>
  </r>
  <r>
    <x v="10"/>
    <n v="0.21210000000000001"/>
    <n v="0.51"/>
    <n v="0.16420000000000001"/>
    <n v="3"/>
    <n v="51"/>
    <n v="54"/>
  </r>
  <r>
    <x v="10"/>
    <n v="0.21210000000000001"/>
    <n v="0.47"/>
    <n v="0.1343"/>
    <n v="4"/>
    <n v="31"/>
    <n v="35"/>
  </r>
  <r>
    <x v="10"/>
    <n v="0.2273"/>
    <n v="0.51"/>
    <n v="0.1045"/>
    <n v="2"/>
    <n v="55"/>
    <n v="57"/>
  </r>
  <r>
    <x v="10"/>
    <n v="0.2273"/>
    <n v="0.59"/>
    <n v="8.9599999999999999E-2"/>
    <n v="6"/>
    <n v="46"/>
    <n v="52"/>
  </r>
  <r>
    <x v="10"/>
    <n v="0.2273"/>
    <n v="0.59"/>
    <n v="8.9599999999999999E-2"/>
    <n v="3"/>
    <n v="60"/>
    <n v="63"/>
  </r>
  <r>
    <x v="10"/>
    <n v="0.19700000000000001"/>
    <n v="0.8"/>
    <n v="8.9599999999999999E-2"/>
    <n v="2"/>
    <n v="45"/>
    <n v="47"/>
  </r>
  <r>
    <x v="10"/>
    <n v="0.1515"/>
    <n v="0.86"/>
    <n v="0.22389999999999999"/>
    <n v="4"/>
    <n v="72"/>
    <n v="76"/>
  </r>
  <r>
    <x v="10"/>
    <n v="0.1515"/>
    <n v="0.86"/>
    <n v="0.22389999999999999"/>
    <n v="6"/>
    <n v="130"/>
    <n v="136"/>
  </r>
  <r>
    <x v="10"/>
    <n v="0.18179999999999999"/>
    <n v="0.93"/>
    <n v="0.1045"/>
    <n v="1"/>
    <n v="94"/>
    <n v="95"/>
  </r>
  <r>
    <x v="10"/>
    <n v="0.2273"/>
    <n v="0.93"/>
    <n v="0"/>
    <n v="0"/>
    <n v="51"/>
    <n v="51"/>
  </r>
  <r>
    <x v="10"/>
    <n v="0.1515"/>
    <n v="0.93"/>
    <n v="0.19400000000000001"/>
    <n v="0"/>
    <n v="32"/>
    <n v="32"/>
  </r>
  <r>
    <x v="10"/>
    <n v="0.19700000000000001"/>
    <n v="0.86"/>
    <n v="8.9599999999999999E-2"/>
    <n v="0"/>
    <n v="20"/>
    <n v="20"/>
  </r>
  <r>
    <x v="10"/>
    <n v="0.18179999999999999"/>
    <n v="0.93"/>
    <n v="0.1045"/>
    <n v="1"/>
    <n v="28"/>
    <n v="29"/>
  </r>
  <r>
    <x v="10"/>
    <n v="0.19700000000000001"/>
    <n v="0.93"/>
    <n v="8.9599999999999999E-2"/>
    <n v="1"/>
    <n v="18"/>
    <n v="19"/>
  </r>
  <r>
    <x v="11"/>
    <n v="0.19700000000000001"/>
    <n v="0.86"/>
    <n v="8.9599999999999999E-2"/>
    <n v="0"/>
    <n v="7"/>
    <n v="7"/>
  </r>
  <r>
    <x v="11"/>
    <n v="0.18179999999999999"/>
    <n v="0.86"/>
    <n v="0.1045"/>
    <n v="0"/>
    <n v="6"/>
    <n v="6"/>
  </r>
  <r>
    <x v="11"/>
    <n v="0.1515"/>
    <n v="0.86"/>
    <n v="0.1343"/>
    <n v="0"/>
    <n v="1"/>
    <n v="1"/>
  </r>
  <r>
    <x v="11"/>
    <n v="0.1515"/>
    <n v="0.86"/>
    <n v="0.16420000000000001"/>
    <n v="0"/>
    <n v="5"/>
    <n v="5"/>
  </r>
  <r>
    <x v="11"/>
    <n v="0.1515"/>
    <n v="0.93"/>
    <n v="0.1343"/>
    <n v="0"/>
    <n v="16"/>
    <n v="16"/>
  </r>
  <r>
    <x v="11"/>
    <n v="0.1515"/>
    <n v="0.69"/>
    <n v="0.1343"/>
    <n v="0"/>
    <n v="54"/>
    <n v="54"/>
  </r>
  <r>
    <x v="11"/>
    <n v="0.16669999999999999"/>
    <n v="0.59"/>
    <n v="0.16420000000000001"/>
    <n v="3"/>
    <n v="125"/>
    <n v="128"/>
  </r>
  <r>
    <x v="11"/>
    <n v="0.13639999999999999"/>
    <n v="0.59"/>
    <n v="0.32840000000000003"/>
    <n v="3"/>
    <n v="78"/>
    <n v="81"/>
  </r>
  <r>
    <x v="11"/>
    <n v="0.18179999999999999"/>
    <n v="0.55000000000000004"/>
    <n v="0.22389999999999999"/>
    <n v="0"/>
    <n v="39"/>
    <n v="39"/>
  </r>
  <r>
    <x v="11"/>
    <n v="0.18179999999999999"/>
    <n v="0.51"/>
    <n v="0.3881"/>
    <n v="3"/>
    <n v="32"/>
    <n v="35"/>
  </r>
  <r>
    <x v="11"/>
    <n v="0.1515"/>
    <n v="0.47"/>
    <n v="0.58209999999999995"/>
    <n v="3"/>
    <n v="52"/>
    <n v="55"/>
  </r>
  <r>
    <x v="11"/>
    <n v="0.19700000000000001"/>
    <n v="0.44"/>
    <n v="0.35820000000000002"/>
    <n v="0"/>
    <n v="49"/>
    <n v="49"/>
  </r>
  <r>
    <x v="11"/>
    <n v="0.18179999999999999"/>
    <n v="0.47"/>
    <n v="0.32840000000000003"/>
    <n v="0"/>
    <n v="44"/>
    <n v="44"/>
  </r>
  <r>
    <x v="11"/>
    <n v="0.16669999999999999"/>
    <n v="0.47"/>
    <n v="0.41789999999999999"/>
    <n v="1"/>
    <n v="48"/>
    <n v="49"/>
  </r>
  <r>
    <x v="11"/>
    <n v="0.19700000000000001"/>
    <n v="0.44"/>
    <n v="0.32840000000000003"/>
    <n v="5"/>
    <n v="63"/>
    <n v="68"/>
  </r>
  <r>
    <x v="11"/>
    <n v="0.18179999999999999"/>
    <n v="0.47"/>
    <n v="0.35820000000000002"/>
    <n v="0"/>
    <n v="139"/>
    <n v="139"/>
  </r>
  <r>
    <x v="11"/>
    <n v="0.1515"/>
    <n v="0.47"/>
    <n v="0.52239999999999998"/>
    <n v="2"/>
    <n v="135"/>
    <n v="137"/>
  </r>
  <r>
    <x v="11"/>
    <n v="0.1515"/>
    <n v="0.47"/>
    <n v="0.41789999999999999"/>
    <n v="1"/>
    <n v="82"/>
    <n v="83"/>
  </r>
  <r>
    <x v="11"/>
    <n v="0.13639999999999999"/>
    <n v="0.5"/>
    <n v="0.32840000000000003"/>
    <n v="2"/>
    <n v="54"/>
    <n v="56"/>
  </r>
  <r>
    <x v="11"/>
    <n v="0.13639999999999999"/>
    <n v="0.55000000000000004"/>
    <n v="0.32840000000000003"/>
    <n v="0"/>
    <n v="57"/>
    <n v="57"/>
  </r>
  <r>
    <x v="11"/>
    <n v="0.1212"/>
    <n v="0.55000000000000004"/>
    <n v="0.44779999999999998"/>
    <n v="1"/>
    <n v="32"/>
    <n v="33"/>
  </r>
  <r>
    <x v="11"/>
    <n v="0.1061"/>
    <n v="0.59"/>
    <n v="0.41789999999999999"/>
    <n v="1"/>
    <n v="19"/>
    <n v="20"/>
  </r>
  <r>
    <x v="12"/>
    <n v="0.1212"/>
    <n v="0.59"/>
    <n v="0.28360000000000002"/>
    <n v="1"/>
    <n v="6"/>
    <n v="7"/>
  </r>
  <r>
    <x v="12"/>
    <n v="0.1212"/>
    <n v="0.5"/>
    <n v="0.28360000000000002"/>
    <n v="0"/>
    <n v="2"/>
    <n v="2"/>
  </r>
  <r>
    <x v="12"/>
    <n v="0.1212"/>
    <n v="0.5"/>
    <n v="0.35820000000000002"/>
    <n v="0"/>
    <n v="2"/>
    <n v="2"/>
  </r>
  <r>
    <x v="12"/>
    <n v="0.1212"/>
    <n v="0.5"/>
    <n v="0.32840000000000003"/>
    <n v="0"/>
    <n v="3"/>
    <n v="3"/>
  </r>
  <r>
    <x v="12"/>
    <n v="0.1212"/>
    <n v="0.5"/>
    <n v="0.25369999999999998"/>
    <n v="0"/>
    <n v="4"/>
    <n v="4"/>
  </r>
  <r>
    <x v="12"/>
    <n v="0.1212"/>
    <n v="0.5"/>
    <n v="0.29849999999999999"/>
    <n v="0"/>
    <n v="3"/>
    <n v="3"/>
  </r>
  <r>
    <x v="12"/>
    <n v="0.1515"/>
    <n v="0.54"/>
    <n v="0.1343"/>
    <n v="0"/>
    <n v="28"/>
    <n v="28"/>
  </r>
  <r>
    <x v="12"/>
    <n v="0.1515"/>
    <n v="0.54"/>
    <n v="0.1343"/>
    <n v="0"/>
    <n v="72"/>
    <n v="72"/>
  </r>
  <r>
    <x v="12"/>
    <n v="0.13639999999999999"/>
    <n v="0.5"/>
    <n v="0.19400000000000001"/>
    <n v="5"/>
    <n v="197"/>
    <n v="202"/>
  </r>
  <r>
    <x v="12"/>
    <n v="0.1212"/>
    <n v="0.5"/>
    <n v="0.32840000000000003"/>
    <n v="2"/>
    <n v="137"/>
    <n v="139"/>
  </r>
  <r>
    <x v="12"/>
    <n v="0.13639999999999999"/>
    <n v="0.5"/>
    <n v="0.35820000000000002"/>
    <n v="2"/>
    <n v="36"/>
    <n v="38"/>
  </r>
  <r>
    <x v="12"/>
    <n v="0.16669999999999999"/>
    <n v="0.44"/>
    <n v="0.44779999999999998"/>
    <n v="4"/>
    <n v="33"/>
    <n v="37"/>
  </r>
  <r>
    <x v="12"/>
    <n v="0.16669999999999999"/>
    <n v="0.44"/>
    <n v="0.41789999999999999"/>
    <n v="3"/>
    <n v="49"/>
    <n v="52"/>
  </r>
  <r>
    <x v="12"/>
    <n v="0.19700000000000001"/>
    <n v="0.41"/>
    <n v="0.44779999999999998"/>
    <n v="2"/>
    <n v="81"/>
    <n v="83"/>
  </r>
  <r>
    <x v="12"/>
    <n v="0.19700000000000001"/>
    <n v="0.41"/>
    <n v="0.3881"/>
    <n v="3"/>
    <n v="39"/>
    <n v="42"/>
  </r>
  <r>
    <x v="12"/>
    <n v="0.21210000000000001"/>
    <n v="0.38"/>
    <n v="0.29849999999999999"/>
    <n v="5"/>
    <n v="55"/>
    <n v="60"/>
  </r>
  <r>
    <x v="12"/>
    <n v="0.21210000000000001"/>
    <n v="0.38"/>
    <n v="0.35820000000000002"/>
    <n v="2"/>
    <n v="76"/>
    <n v="78"/>
  </r>
  <r>
    <x v="12"/>
    <n v="0.18179999999999999"/>
    <n v="0.4"/>
    <n v="0.28360000000000002"/>
    <n v="4"/>
    <n v="158"/>
    <n v="162"/>
  </r>
  <r>
    <x v="12"/>
    <n v="0.18179999999999999"/>
    <n v="0.4"/>
    <n v="0.32840000000000003"/>
    <n v="3"/>
    <n v="141"/>
    <n v="144"/>
  </r>
  <r>
    <x v="12"/>
    <n v="0.1515"/>
    <n v="0.47"/>
    <n v="0.25369999999999998"/>
    <n v="1"/>
    <n v="98"/>
    <n v="99"/>
  </r>
  <r>
    <x v="12"/>
    <n v="0.1515"/>
    <n v="0.47"/>
    <n v="0.22389999999999999"/>
    <n v="0"/>
    <n v="64"/>
    <n v="64"/>
  </r>
  <r>
    <x v="12"/>
    <n v="0.1212"/>
    <n v="0.46"/>
    <n v="0.29849999999999999"/>
    <n v="0"/>
    <n v="40"/>
    <n v="40"/>
  </r>
  <r>
    <x v="12"/>
    <n v="0.1212"/>
    <n v="0.46"/>
    <n v="0.32840000000000003"/>
    <n v="0"/>
    <n v="30"/>
    <n v="30"/>
  </r>
  <r>
    <x v="12"/>
    <n v="0.13639999999999999"/>
    <n v="0.5"/>
    <n v="0.19400000000000001"/>
    <n v="1"/>
    <n v="14"/>
    <n v="15"/>
  </r>
  <r>
    <x v="13"/>
    <n v="0.13639999999999999"/>
    <n v="0.5"/>
    <n v="0.19400000000000001"/>
    <n v="0"/>
    <n v="14"/>
    <n v="14"/>
  </r>
  <r>
    <x v="13"/>
    <n v="0.1212"/>
    <n v="0.54"/>
    <n v="0.16420000000000001"/>
    <n v="0"/>
    <n v="5"/>
    <n v="5"/>
  </r>
  <r>
    <x v="13"/>
    <n v="0.1212"/>
    <n v="0.54"/>
    <n v="0.1343"/>
    <n v="0"/>
    <n v="1"/>
    <n v="1"/>
  </r>
  <r>
    <x v="13"/>
    <n v="0.13639999999999999"/>
    <n v="0.54"/>
    <n v="0.1045"/>
    <n v="0"/>
    <n v="1"/>
    <n v="1"/>
  </r>
  <r>
    <x v="13"/>
    <n v="0.13639999999999999"/>
    <n v="0.54"/>
    <n v="8.9599999999999999E-2"/>
    <n v="0"/>
    <n v="8"/>
    <n v="8"/>
  </r>
  <r>
    <x v="13"/>
    <n v="0.18179999999999999"/>
    <n v="0.54"/>
    <n v="0"/>
    <n v="0"/>
    <n v="17"/>
    <n v="17"/>
  </r>
  <r>
    <x v="13"/>
    <n v="0.1212"/>
    <n v="0.74"/>
    <n v="0.16420000000000001"/>
    <n v="0"/>
    <n v="70"/>
    <n v="70"/>
  </r>
  <r>
    <x v="13"/>
    <n v="0.16669999999999999"/>
    <n v="0.68"/>
    <n v="0"/>
    <n v="2"/>
    <n v="156"/>
    <n v="158"/>
  </r>
  <r>
    <x v="13"/>
    <n v="0.1515"/>
    <n v="0.69"/>
    <n v="0.1343"/>
    <n v="0"/>
    <n v="117"/>
    <n v="117"/>
  </r>
  <r>
    <x v="13"/>
    <n v="0.18179999999999999"/>
    <n v="0.55000000000000004"/>
    <n v="0.19400000000000001"/>
    <n v="4"/>
    <n v="40"/>
    <n v="44"/>
  </r>
  <r>
    <x v="13"/>
    <n v="0.16669999999999999"/>
    <n v="0.51"/>
    <n v="0.28360000000000002"/>
    <n v="6"/>
    <n v="47"/>
    <n v="53"/>
  </r>
  <r>
    <x v="13"/>
    <n v="0.19700000000000001"/>
    <n v="0.44"/>
    <n v="0.25369999999999998"/>
    <n v="2"/>
    <n v="59"/>
    <n v="61"/>
  </r>
  <r>
    <x v="13"/>
    <n v="0.19700000000000001"/>
    <n v="0.37"/>
    <n v="0.3881"/>
    <n v="4"/>
    <n v="73"/>
    <n v="77"/>
  </r>
  <r>
    <x v="13"/>
    <n v="0.21210000000000001"/>
    <n v="0.41"/>
    <n v="0.28360000000000002"/>
    <n v="5"/>
    <n v="59"/>
    <n v="64"/>
  </r>
  <r>
    <x v="13"/>
    <n v="0.2424"/>
    <n v="0.38"/>
    <n v="0.16420000000000001"/>
    <n v="9"/>
    <n v="59"/>
    <n v="68"/>
  </r>
  <r>
    <x v="13"/>
    <n v="0.2424"/>
    <n v="0.41"/>
    <n v="0.1045"/>
    <n v="3"/>
    <n v="87"/>
    <n v="90"/>
  </r>
  <r>
    <x v="13"/>
    <n v="0.2273"/>
    <n v="0.41"/>
    <n v="0.16420000000000001"/>
    <n v="4"/>
    <n v="155"/>
    <n v="159"/>
  </r>
  <r>
    <x v="13"/>
    <n v="0.2576"/>
    <n v="0.47"/>
    <n v="0"/>
    <n v="5"/>
    <n v="134"/>
    <n v="139"/>
  </r>
  <r>
    <x v="13"/>
    <n v="0.19700000000000001"/>
    <n v="0.59"/>
    <n v="8.9599999999999999E-2"/>
    <n v="3"/>
    <n v="89"/>
    <n v="92"/>
  </r>
  <r>
    <x v="13"/>
    <n v="0.2424"/>
    <n v="0.59"/>
    <n v="0"/>
    <n v="0"/>
    <n v="68"/>
    <n v="68"/>
  </r>
  <r>
    <x v="13"/>
    <n v="0.2273"/>
    <n v="0.69"/>
    <n v="0"/>
    <n v="4"/>
    <n v="48"/>
    <n v="52"/>
  </r>
  <r>
    <x v="13"/>
    <n v="0.2273"/>
    <n v="0.69"/>
    <n v="0"/>
    <n v="2"/>
    <n v="34"/>
    <n v="36"/>
  </r>
  <r>
    <x v="13"/>
    <n v="0.2424"/>
    <n v="0.55000000000000004"/>
    <n v="0"/>
    <n v="1"/>
    <n v="26"/>
    <n v="27"/>
  </r>
  <r>
    <x v="14"/>
    <n v="0.2424"/>
    <n v="0.55000000000000004"/>
    <n v="0"/>
    <n v="3"/>
    <n v="25"/>
    <n v="28"/>
  </r>
  <r>
    <x v="14"/>
    <n v="0.19700000000000001"/>
    <n v="0.59"/>
    <n v="8.9599999999999999E-2"/>
    <n v="2"/>
    <n v="18"/>
    <n v="20"/>
  </r>
  <r>
    <x v="14"/>
    <n v="0.19700000000000001"/>
    <n v="0.59"/>
    <n v="8.9599999999999999E-2"/>
    <n v="0"/>
    <n v="12"/>
    <n v="12"/>
  </r>
  <r>
    <x v="14"/>
    <n v="0.2273"/>
    <n v="0.59"/>
    <n v="0"/>
    <n v="1"/>
    <n v="7"/>
    <n v="8"/>
  </r>
  <r>
    <x v="14"/>
    <n v="0.2273"/>
    <n v="0.59"/>
    <n v="0"/>
    <n v="0"/>
    <n v="5"/>
    <n v="5"/>
  </r>
  <r>
    <x v="14"/>
    <n v="0.2273"/>
    <n v="0.59"/>
    <n v="0"/>
    <n v="0"/>
    <n v="1"/>
    <n v="1"/>
  </r>
  <r>
    <x v="14"/>
    <n v="0.16669999999999999"/>
    <n v="0.63"/>
    <n v="0.1045"/>
    <n v="1"/>
    <n v="2"/>
    <n v="3"/>
  </r>
  <r>
    <x v="14"/>
    <n v="0.21210000000000001"/>
    <n v="0.63"/>
    <n v="0"/>
    <n v="1"/>
    <n v="9"/>
    <n v="10"/>
  </r>
  <r>
    <x v="14"/>
    <n v="0.1515"/>
    <n v="0.63"/>
    <n v="0.1343"/>
    <n v="1"/>
    <n v="22"/>
    <n v="23"/>
  </r>
  <r>
    <x v="14"/>
    <n v="0.18179999999999999"/>
    <n v="0.64"/>
    <n v="0.1343"/>
    <n v="2"/>
    <n v="31"/>
    <n v="33"/>
  </r>
  <r>
    <x v="14"/>
    <n v="0.19700000000000001"/>
    <n v="0.59"/>
    <n v="0.16420000000000001"/>
    <n v="2"/>
    <n v="57"/>
    <n v="59"/>
  </r>
  <r>
    <x v="14"/>
    <n v="0.19700000000000001"/>
    <n v="0.55000000000000004"/>
    <n v="0.22389999999999999"/>
    <n v="18"/>
    <n v="54"/>
    <n v="72"/>
  </r>
  <r>
    <x v="14"/>
    <n v="0.2273"/>
    <n v="0.48"/>
    <n v="0.22389999999999999"/>
    <n v="15"/>
    <n v="74"/>
    <n v="89"/>
  </r>
  <r>
    <x v="14"/>
    <n v="0.2576"/>
    <n v="0.38"/>
    <n v="0.29849999999999999"/>
    <n v="21"/>
    <n v="80"/>
    <n v="101"/>
  </r>
  <r>
    <x v="14"/>
    <n v="0.28789999999999999"/>
    <n v="0.39"/>
    <n v="0.28360000000000002"/>
    <n v="26"/>
    <n v="92"/>
    <n v="118"/>
  </r>
  <r>
    <x v="14"/>
    <n v="0.31819999999999998"/>
    <n v="0.36"/>
    <n v="0.19400000000000001"/>
    <n v="21"/>
    <n v="108"/>
    <n v="129"/>
  </r>
  <r>
    <x v="14"/>
    <n v="0.33329999999999999"/>
    <n v="0.34"/>
    <n v="0.19400000000000001"/>
    <n v="33"/>
    <n v="95"/>
    <n v="128"/>
  </r>
  <r>
    <x v="14"/>
    <n v="0.30299999999999999"/>
    <n v="0.36"/>
    <n v="0.28360000000000002"/>
    <n v="29"/>
    <n v="54"/>
    <n v="83"/>
  </r>
  <r>
    <x v="14"/>
    <n v="0.28789999999999999"/>
    <n v="0.45"/>
    <n v="0.25369999999999998"/>
    <n v="15"/>
    <n v="69"/>
    <n v="84"/>
  </r>
  <r>
    <x v="14"/>
    <n v="0.30299999999999999"/>
    <n v="0.39"/>
    <n v="0.25369999999999998"/>
    <n v="14"/>
    <n v="60"/>
    <n v="74"/>
  </r>
  <r>
    <x v="14"/>
    <n v="0.30299999999999999"/>
    <n v="0.39"/>
    <n v="0.25369999999999998"/>
    <n v="6"/>
    <n v="35"/>
    <n v="41"/>
  </r>
  <r>
    <x v="14"/>
    <n v="0.30299999999999999"/>
    <n v="0.39"/>
    <n v="0.22389999999999999"/>
    <n v="6"/>
    <n v="51"/>
    <n v="57"/>
  </r>
  <r>
    <x v="14"/>
    <n v="0.31819999999999998"/>
    <n v="0.42"/>
    <n v="0.1045"/>
    <n v="0"/>
    <n v="26"/>
    <n v="26"/>
  </r>
  <r>
    <x v="14"/>
    <n v="0.28789999999999999"/>
    <n v="0.45"/>
    <n v="0.28360000000000002"/>
    <n v="5"/>
    <n v="39"/>
    <n v="44"/>
  </r>
  <r>
    <x v="15"/>
    <n v="0.30299999999999999"/>
    <n v="0.56000000000000005"/>
    <n v="0"/>
    <n v="6"/>
    <n v="33"/>
    <n v="39"/>
  </r>
  <r>
    <x v="15"/>
    <n v="0.2727"/>
    <n v="0.56000000000000005"/>
    <n v="0.1343"/>
    <n v="4"/>
    <n v="19"/>
    <n v="23"/>
  </r>
  <r>
    <x v="15"/>
    <n v="0.28789999999999999"/>
    <n v="0.56000000000000005"/>
    <n v="8.9599999999999999E-2"/>
    <n v="3"/>
    <n v="13"/>
    <n v="16"/>
  </r>
  <r>
    <x v="15"/>
    <n v="0.2727"/>
    <n v="0.69"/>
    <n v="0"/>
    <n v="9"/>
    <n v="6"/>
    <n v="15"/>
  </r>
  <r>
    <x v="15"/>
    <n v="0.2576"/>
    <n v="0.56000000000000005"/>
    <n v="0.16420000000000001"/>
    <n v="0"/>
    <n v="1"/>
    <n v="1"/>
  </r>
  <r>
    <x v="15"/>
    <n v="0.2576"/>
    <n v="0.56000000000000005"/>
    <n v="0.16420000000000001"/>
    <n v="1"/>
    <n v="1"/>
    <n v="2"/>
  </r>
  <r>
    <x v="15"/>
    <n v="0.2576"/>
    <n v="0.56000000000000005"/>
    <n v="0.16420000000000001"/>
    <n v="0"/>
    <n v="1"/>
    <n v="1"/>
  </r>
  <r>
    <x v="15"/>
    <n v="0.21210000000000001"/>
    <n v="0.56000000000000005"/>
    <n v="0.29849999999999999"/>
    <n v="0"/>
    <n v="3"/>
    <n v="3"/>
  </r>
  <r>
    <x v="15"/>
    <n v="0.21210000000000001"/>
    <n v="0.55000000000000004"/>
    <n v="0.28360000000000002"/>
    <n v="0"/>
    <n v="18"/>
    <n v="18"/>
  </r>
  <r>
    <x v="15"/>
    <n v="0.21210000000000001"/>
    <n v="0.51"/>
    <n v="0.25369999999999998"/>
    <n v="3"/>
    <n v="29"/>
    <n v="32"/>
  </r>
  <r>
    <x v="15"/>
    <n v="0.21210000000000001"/>
    <n v="0.51"/>
    <n v="0.28360000000000002"/>
    <n v="8"/>
    <n v="71"/>
    <n v="79"/>
  </r>
  <r>
    <x v="15"/>
    <n v="0.2273"/>
    <n v="0.44"/>
    <n v="0.25369999999999998"/>
    <n v="23"/>
    <n v="70"/>
    <n v="93"/>
  </r>
  <r>
    <x v="15"/>
    <n v="0.21210000000000001"/>
    <n v="0.41"/>
    <n v="0.28360000000000002"/>
    <n v="29"/>
    <n v="75"/>
    <n v="104"/>
  </r>
  <r>
    <x v="15"/>
    <n v="0.2273"/>
    <n v="0.35"/>
    <n v="0.29849999999999999"/>
    <n v="23"/>
    <n v="95"/>
    <n v="118"/>
  </r>
  <r>
    <x v="15"/>
    <n v="0.2727"/>
    <n v="0.36"/>
    <n v="0.25369999999999998"/>
    <n v="22"/>
    <n v="69"/>
    <n v="91"/>
  </r>
  <r>
    <x v="15"/>
    <n v="0.2424"/>
    <n v="0.38"/>
    <n v="0.25369999999999998"/>
    <n v="35"/>
    <n v="78"/>
    <n v="113"/>
  </r>
  <r>
    <x v="15"/>
    <n v="0.2273"/>
    <n v="0.38"/>
    <n v="0.22389999999999999"/>
    <n v="22"/>
    <n v="77"/>
    <n v="99"/>
  </r>
  <r>
    <x v="15"/>
    <n v="0.21210000000000001"/>
    <n v="0.37"/>
    <n v="0.25369999999999998"/>
    <n v="23"/>
    <n v="82"/>
    <n v="105"/>
  </r>
  <r>
    <x v="15"/>
    <n v="0.21210000000000001"/>
    <n v="0.4"/>
    <n v="0.16420000000000001"/>
    <n v="11"/>
    <n v="56"/>
    <n v="67"/>
  </r>
  <r>
    <x v="15"/>
    <n v="0.19700000000000001"/>
    <n v="0.47"/>
    <n v="0.1343"/>
    <n v="14"/>
    <n v="47"/>
    <n v="61"/>
  </r>
  <r>
    <x v="15"/>
    <n v="0.19700000000000001"/>
    <n v="0.47"/>
    <n v="0.16420000000000001"/>
    <n v="7"/>
    <n v="50"/>
    <n v="57"/>
  </r>
  <r>
    <x v="15"/>
    <n v="0.19700000000000001"/>
    <n v="0.51"/>
    <n v="0.16420000000000001"/>
    <n v="6"/>
    <n v="22"/>
    <n v="28"/>
  </r>
  <r>
    <x v="15"/>
    <n v="0.21210000000000001"/>
    <n v="0.49"/>
    <n v="0.1343"/>
    <n v="2"/>
    <n v="19"/>
    <n v="21"/>
  </r>
  <r>
    <x v="15"/>
    <n v="0.2273"/>
    <n v="0.4"/>
    <n v="0.1045"/>
    <n v="0"/>
    <n v="18"/>
    <n v="18"/>
  </r>
  <r>
    <x v="16"/>
    <n v="0.19700000000000001"/>
    <n v="0.47"/>
    <n v="0.22389999999999999"/>
    <n v="1"/>
    <n v="16"/>
    <n v="17"/>
  </r>
  <r>
    <x v="16"/>
    <n v="0.19700000000000001"/>
    <n v="0.44"/>
    <n v="0.19400000000000001"/>
    <n v="1"/>
    <n v="15"/>
    <n v="16"/>
  </r>
  <r>
    <x v="16"/>
    <n v="0.16669999999999999"/>
    <n v="0.43"/>
    <n v="0.25369999999999998"/>
    <n v="0"/>
    <n v="8"/>
    <n v="8"/>
  </r>
  <r>
    <x v="16"/>
    <n v="0.18179999999999999"/>
    <n v="0.43"/>
    <n v="0.19400000000000001"/>
    <n v="0"/>
    <n v="2"/>
    <n v="2"/>
  </r>
  <r>
    <x v="16"/>
    <n v="0.19700000000000001"/>
    <n v="0.43"/>
    <n v="0.1343"/>
    <n v="1"/>
    <n v="2"/>
    <n v="3"/>
  </r>
  <r>
    <x v="16"/>
    <n v="0.19700000000000001"/>
    <n v="0.43"/>
    <n v="0.16420000000000001"/>
    <n v="0"/>
    <n v="1"/>
    <n v="1"/>
  </r>
  <r>
    <x v="16"/>
    <n v="0.18179999999999999"/>
    <n v="0.43"/>
    <n v="0.19400000000000001"/>
    <n v="0"/>
    <n v="5"/>
    <n v="5"/>
  </r>
  <r>
    <x v="16"/>
    <n v="0.18179999999999999"/>
    <n v="0.5"/>
    <n v="0.1343"/>
    <n v="4"/>
    <n v="9"/>
    <n v="13"/>
  </r>
  <r>
    <x v="16"/>
    <n v="0.1515"/>
    <n v="0.47"/>
    <n v="0.22389999999999999"/>
    <n v="3"/>
    <n v="30"/>
    <n v="33"/>
  </r>
  <r>
    <x v="16"/>
    <n v="0.1515"/>
    <n v="0.47"/>
    <n v="0.22389999999999999"/>
    <n v="8"/>
    <n v="39"/>
    <n v="47"/>
  </r>
  <r>
    <x v="16"/>
    <n v="0.1515"/>
    <n v="0.5"/>
    <n v="0.25369999999999998"/>
    <n v="7"/>
    <n v="50"/>
    <n v="57"/>
  </r>
  <r>
    <x v="16"/>
    <n v="0.1515"/>
    <n v="0.55000000000000004"/>
    <n v="0.19400000000000001"/>
    <n v="9"/>
    <n v="55"/>
    <n v="64"/>
  </r>
  <r>
    <x v="16"/>
    <n v="0.19700000000000001"/>
    <n v="0.47"/>
    <n v="0.1343"/>
    <n v="10"/>
    <n v="70"/>
    <n v="80"/>
  </r>
  <r>
    <x v="16"/>
    <n v="0.19700000000000001"/>
    <n v="0.47"/>
    <n v="0.1343"/>
    <n v="13"/>
    <n v="80"/>
    <n v="93"/>
  </r>
  <r>
    <x v="16"/>
    <n v="0.21210000000000001"/>
    <n v="0.43"/>
    <n v="0.1045"/>
    <n v="12"/>
    <n v="74"/>
    <n v="86"/>
  </r>
  <r>
    <x v="16"/>
    <n v="0.21210000000000001"/>
    <n v="0.47"/>
    <n v="0.16420000000000001"/>
    <n v="21"/>
    <n v="72"/>
    <n v="93"/>
  </r>
  <r>
    <x v="16"/>
    <n v="0.21210000000000001"/>
    <n v="0.47"/>
    <n v="0.16420000000000001"/>
    <n v="6"/>
    <n v="76"/>
    <n v="82"/>
  </r>
  <r>
    <x v="16"/>
    <n v="0.19700000000000001"/>
    <n v="0.51"/>
    <n v="0.19400000000000001"/>
    <n v="4"/>
    <n v="67"/>
    <n v="71"/>
  </r>
  <r>
    <x v="16"/>
    <n v="0.16669999999999999"/>
    <n v="0.55000000000000004"/>
    <n v="0.25369999999999998"/>
    <n v="7"/>
    <n v="85"/>
    <n v="92"/>
  </r>
  <r>
    <x v="16"/>
    <n v="0.18179999999999999"/>
    <n v="0.59"/>
    <n v="0.19400000000000001"/>
    <n v="2"/>
    <n v="58"/>
    <n v="60"/>
  </r>
  <r>
    <x v="16"/>
    <n v="0.1515"/>
    <n v="0.8"/>
    <n v="0.19400000000000001"/>
    <n v="4"/>
    <n v="29"/>
    <n v="33"/>
  </r>
  <r>
    <x v="16"/>
    <n v="0.1515"/>
    <n v="0.8"/>
    <n v="0.19400000000000001"/>
    <n v="3"/>
    <n v="24"/>
    <n v="27"/>
  </r>
  <r>
    <x v="16"/>
    <n v="0.1212"/>
    <n v="0.93"/>
    <n v="0.25369999999999998"/>
    <n v="0"/>
    <n v="13"/>
    <n v="13"/>
  </r>
  <r>
    <x v="16"/>
    <n v="0.13639999999999999"/>
    <n v="0.86"/>
    <n v="0.28360000000000002"/>
    <n v="1"/>
    <n v="3"/>
    <n v="4"/>
  </r>
  <r>
    <x v="17"/>
    <n v="0.18179999999999999"/>
    <n v="0.86"/>
    <n v="0.32840000000000003"/>
    <n v="0"/>
    <n v="3"/>
    <n v="3"/>
  </r>
  <r>
    <x v="17"/>
    <n v="0.19700000000000001"/>
    <n v="0.86"/>
    <n v="0.22389999999999999"/>
    <n v="0"/>
    <n v="22"/>
    <n v="22"/>
  </r>
  <r>
    <x v="17"/>
    <n v="0.2273"/>
    <n v="0.8"/>
    <n v="0.16420000000000001"/>
    <n v="2"/>
    <n v="26"/>
    <n v="28"/>
  </r>
  <r>
    <x v="17"/>
    <n v="0.2273"/>
    <n v="0.87"/>
    <n v="0.16420000000000001"/>
    <n v="3"/>
    <n v="32"/>
    <n v="35"/>
  </r>
  <r>
    <x v="17"/>
    <n v="0.2273"/>
    <n v="0.87"/>
    <n v="0.19400000000000001"/>
    <n v="0"/>
    <n v="61"/>
    <n v="61"/>
  </r>
  <r>
    <x v="17"/>
    <n v="0.2273"/>
    <n v="0.82"/>
    <n v="0.19400000000000001"/>
    <n v="1"/>
    <n v="124"/>
    <n v="125"/>
  </r>
  <r>
    <x v="17"/>
    <n v="0.2273"/>
    <n v="0.8"/>
    <n v="0.16420000000000001"/>
    <n v="1"/>
    <n v="132"/>
    <n v="133"/>
  </r>
  <r>
    <x v="17"/>
    <n v="0.2273"/>
    <n v="0.8"/>
    <n v="0.1343"/>
    <n v="1"/>
    <n v="98"/>
    <n v="99"/>
  </r>
  <r>
    <x v="17"/>
    <n v="0.2727"/>
    <n v="0.87"/>
    <n v="0"/>
    <n v="0"/>
    <n v="83"/>
    <n v="83"/>
  </r>
  <r>
    <x v="17"/>
    <n v="0.2424"/>
    <n v="0.93"/>
    <n v="0.1045"/>
    <n v="0"/>
    <n v="41"/>
    <n v="41"/>
  </r>
  <r>
    <x v="17"/>
    <n v="0.2576"/>
    <n v="0.93"/>
    <n v="8.9599999999999999E-2"/>
    <n v="0"/>
    <n v="33"/>
    <n v="33"/>
  </r>
  <r>
    <x v="17"/>
    <n v="0.2727"/>
    <n v="0.93"/>
    <n v="0"/>
    <n v="1"/>
    <n v="19"/>
    <n v="20"/>
  </r>
  <r>
    <x v="18"/>
    <n v="0.2727"/>
    <n v="0.93"/>
    <n v="0"/>
    <n v="0"/>
    <n v="3"/>
    <n v="3"/>
  </r>
  <r>
    <x v="18"/>
    <n v="0.2273"/>
    <n v="0.93"/>
    <n v="0.1343"/>
    <n v="1"/>
    <n v="6"/>
    <n v="7"/>
  </r>
  <r>
    <x v="18"/>
    <n v="0.2273"/>
    <n v="0.93"/>
    <n v="0.1343"/>
    <n v="0"/>
    <n v="3"/>
    <n v="3"/>
  </r>
  <r>
    <x v="18"/>
    <n v="0.2273"/>
    <n v="0.93"/>
    <n v="0.1343"/>
    <n v="1"/>
    <n v="1"/>
    <n v="2"/>
  </r>
  <r>
    <x v="18"/>
    <n v="0.2576"/>
    <n v="0.93"/>
    <n v="8.9599999999999999E-2"/>
    <n v="0"/>
    <n v="7"/>
    <n v="7"/>
  </r>
  <r>
    <x v="18"/>
    <n v="0.2576"/>
    <n v="0.93"/>
    <n v="8.9599999999999999E-2"/>
    <n v="0"/>
    <n v="32"/>
    <n v="32"/>
  </r>
  <r>
    <x v="18"/>
    <n v="0.2576"/>
    <n v="0.92"/>
    <n v="0.1045"/>
    <n v="1"/>
    <n v="89"/>
    <n v="90"/>
  </r>
  <r>
    <x v="18"/>
    <n v="0.2576"/>
    <n v="0.93"/>
    <n v="0.1045"/>
    <n v="1"/>
    <n v="196"/>
    <n v="197"/>
  </r>
  <r>
    <x v="18"/>
    <n v="0.2576"/>
    <n v="0.93"/>
    <n v="0.1045"/>
    <n v="2"/>
    <n v="107"/>
    <n v="109"/>
  </r>
  <r>
    <x v="18"/>
    <n v="0.2727"/>
    <n v="0.93"/>
    <n v="0.1343"/>
    <n v="1"/>
    <n v="46"/>
    <n v="47"/>
  </r>
  <r>
    <x v="18"/>
    <n v="0.30299999999999999"/>
    <n v="0.87"/>
    <n v="8.9599999999999999E-2"/>
    <n v="5"/>
    <n v="47"/>
    <n v="52"/>
  </r>
  <r>
    <x v="18"/>
    <n v="0.31819999999999998"/>
    <n v="0.81"/>
    <n v="8.9599999999999999E-2"/>
    <n v="5"/>
    <n v="65"/>
    <n v="70"/>
  </r>
  <r>
    <x v="18"/>
    <n v="0.40910000000000002"/>
    <n v="0.62"/>
    <n v="0.28360000000000002"/>
    <n v="11"/>
    <n v="67"/>
    <n v="78"/>
  </r>
  <r>
    <x v="18"/>
    <n v="0.40910000000000002"/>
    <n v="0.57999999999999996"/>
    <n v="0.25369999999999998"/>
    <n v="7"/>
    <n v="68"/>
    <n v="75"/>
  </r>
  <r>
    <x v="18"/>
    <n v="0.40910000000000002"/>
    <n v="0.54"/>
    <n v="0.28360000000000002"/>
    <n v="4"/>
    <n v="78"/>
    <n v="82"/>
  </r>
  <r>
    <x v="18"/>
    <n v="0.39389999999999997"/>
    <n v="0.57999999999999996"/>
    <n v="0.3881"/>
    <n v="10"/>
    <n v="94"/>
    <n v="104"/>
  </r>
  <r>
    <x v="18"/>
    <n v="0.33329999999999999"/>
    <n v="0.56999999999999995"/>
    <n v="0.32840000000000003"/>
    <n v="7"/>
    <n v="190"/>
    <n v="197"/>
  </r>
  <r>
    <x v="18"/>
    <n v="0.31819999999999998"/>
    <n v="0.61"/>
    <n v="0.28360000000000002"/>
    <n v="5"/>
    <n v="156"/>
    <n v="161"/>
  </r>
  <r>
    <x v="18"/>
    <n v="0.28789999999999999"/>
    <n v="0.56999999999999995"/>
    <n v="0.41789999999999999"/>
    <n v="4"/>
    <n v="108"/>
    <n v="112"/>
  </r>
  <r>
    <x v="18"/>
    <n v="0.30299999999999999"/>
    <n v="0.49"/>
    <n v="0.29849999999999999"/>
    <n v="2"/>
    <n v="74"/>
    <n v="76"/>
  </r>
  <r>
    <x v="18"/>
    <n v="0.28789999999999999"/>
    <n v="0.49"/>
    <n v="0.41789999999999999"/>
    <n v="4"/>
    <n v="55"/>
    <n v="59"/>
  </r>
  <r>
    <x v="18"/>
    <n v="0.30299999999999999"/>
    <n v="0.52"/>
    <n v="0.16420000000000001"/>
    <n v="6"/>
    <n v="53"/>
    <n v="59"/>
  </r>
  <r>
    <x v="18"/>
    <n v="0.2727"/>
    <n v="0.52"/>
    <n v="0.4627"/>
    <n v="1"/>
    <n v="27"/>
    <n v="28"/>
  </r>
  <r>
    <x v="19"/>
    <n v="0.2273"/>
    <n v="0.56000000000000005"/>
    <n v="0.3881"/>
    <n v="5"/>
    <n v="8"/>
    <n v="13"/>
  </r>
  <r>
    <x v="19"/>
    <n v="0.2727"/>
    <n v="0.56000000000000005"/>
    <n v="0"/>
    <n v="2"/>
    <n v="3"/>
    <n v="5"/>
  </r>
  <r>
    <x v="19"/>
    <n v="0.2727"/>
    <n v="0.56000000000000005"/>
    <n v="0"/>
    <n v="0"/>
    <n v="2"/>
    <n v="2"/>
  </r>
  <r>
    <x v="19"/>
    <n v="0.2576"/>
    <n v="0.56000000000000005"/>
    <n v="0.16420000000000001"/>
    <n v="0"/>
    <n v="1"/>
    <n v="1"/>
  </r>
  <r>
    <x v="19"/>
    <n v="0.2576"/>
    <n v="0.56000000000000005"/>
    <n v="0.16420000000000001"/>
    <n v="0"/>
    <n v="1"/>
    <n v="1"/>
  </r>
  <r>
    <x v="19"/>
    <n v="0.2273"/>
    <n v="0.6"/>
    <n v="0.22389999999999999"/>
    <n v="0"/>
    <n v="6"/>
    <n v="6"/>
  </r>
  <r>
    <x v="19"/>
    <n v="0.21210000000000001"/>
    <n v="0.6"/>
    <n v="0.22389999999999999"/>
    <n v="0"/>
    <n v="35"/>
    <n v="35"/>
  </r>
  <r>
    <x v="19"/>
    <n v="0.21210000000000001"/>
    <n v="0.55000000000000004"/>
    <n v="0.22389999999999999"/>
    <n v="1"/>
    <n v="100"/>
    <n v="101"/>
  </r>
  <r>
    <x v="19"/>
    <n v="0.21210000000000001"/>
    <n v="0.55000000000000004"/>
    <n v="0.28360000000000002"/>
    <n v="2"/>
    <n v="247"/>
    <n v="249"/>
  </r>
  <r>
    <x v="19"/>
    <n v="0.2273"/>
    <n v="0.52"/>
    <n v="0.22389999999999999"/>
    <n v="3"/>
    <n v="140"/>
    <n v="143"/>
  </r>
  <r>
    <x v="19"/>
    <n v="0.2273"/>
    <n v="0.48"/>
    <n v="0.29849999999999999"/>
    <n v="1"/>
    <n v="56"/>
    <n v="57"/>
  </r>
  <r>
    <x v="19"/>
    <n v="0.2727"/>
    <n v="0.45"/>
    <n v="0.16420000000000001"/>
    <n v="5"/>
    <n v="63"/>
    <n v="68"/>
  </r>
  <r>
    <x v="19"/>
    <n v="0.33329999999999999"/>
    <n v="0.42"/>
    <n v="0"/>
    <n v="7"/>
    <n v="77"/>
    <n v="84"/>
  </r>
  <r>
    <x v="19"/>
    <n v="0.28789999999999999"/>
    <n v="0.45"/>
    <n v="0.1045"/>
    <n v="12"/>
    <n v="86"/>
    <n v="98"/>
  </r>
  <r>
    <x v="19"/>
    <n v="0.30299999999999999"/>
    <n v="0.45"/>
    <n v="0.1343"/>
    <n v="6"/>
    <n v="75"/>
    <n v="81"/>
  </r>
  <r>
    <x v="19"/>
    <n v="0.31819999999999998"/>
    <n v="0.45"/>
    <n v="0.19400000000000001"/>
    <n v="8"/>
    <n v="62"/>
    <n v="70"/>
  </r>
  <r>
    <x v="19"/>
    <n v="0.30299999999999999"/>
    <n v="0.49"/>
    <n v="0.1343"/>
    <n v="8"/>
    <n v="83"/>
    <n v="91"/>
  </r>
  <r>
    <x v="19"/>
    <n v="0.31819999999999998"/>
    <n v="0.49"/>
    <n v="0.1045"/>
    <n v="8"/>
    <n v="207"/>
    <n v="215"/>
  </r>
  <r>
    <x v="19"/>
    <n v="0.2576"/>
    <n v="0.56000000000000005"/>
    <n v="0.19400000000000001"/>
    <n v="1"/>
    <n v="184"/>
    <n v="185"/>
  </r>
  <r>
    <x v="19"/>
    <n v="0.2273"/>
    <n v="0.56000000000000005"/>
    <n v="0.32840000000000003"/>
    <n v="6"/>
    <n v="146"/>
    <n v="152"/>
  </r>
  <r>
    <x v="19"/>
    <n v="0.2424"/>
    <n v="0.6"/>
    <n v="0.28360000000000002"/>
    <n v="2"/>
    <n v="124"/>
    <n v="126"/>
  </r>
  <r>
    <x v="19"/>
    <n v="0.2273"/>
    <n v="0.6"/>
    <n v="0.25369999999999998"/>
    <n v="3"/>
    <n v="54"/>
    <n v="57"/>
  </r>
  <r>
    <x v="19"/>
    <n v="0.21210000000000001"/>
    <n v="0.65"/>
    <n v="0.28360000000000002"/>
    <n v="0"/>
    <n v="56"/>
    <n v="56"/>
  </r>
  <r>
    <x v="19"/>
    <n v="0.21210000000000001"/>
    <n v="0.65"/>
    <n v="0.32840000000000003"/>
    <n v="3"/>
    <n v="28"/>
    <n v="31"/>
  </r>
  <r>
    <x v="20"/>
    <n v="0.2273"/>
    <n v="0.7"/>
    <n v="0.25369999999999998"/>
    <n v="1"/>
    <n v="20"/>
    <n v="21"/>
  </r>
  <r>
    <x v="20"/>
    <n v="0.2273"/>
    <n v="0.7"/>
    <n v="0.25369999999999998"/>
    <n v="0"/>
    <n v="6"/>
    <n v="6"/>
  </r>
  <r>
    <x v="20"/>
    <n v="0.2424"/>
    <n v="0.75"/>
    <n v="0.16420000000000001"/>
    <n v="0"/>
    <n v="2"/>
    <n v="2"/>
  </r>
  <r>
    <x v="20"/>
    <n v="0.21210000000000001"/>
    <n v="0.8"/>
    <n v="0.29849999999999999"/>
    <n v="0"/>
    <n v="1"/>
    <n v="1"/>
  </r>
  <r>
    <x v="20"/>
    <n v="0.2576"/>
    <n v="0.87"/>
    <n v="8.9599999999999999E-2"/>
    <n v="0"/>
    <n v="1"/>
    <n v="1"/>
  </r>
  <r>
    <x v="20"/>
    <n v="0.19700000000000001"/>
    <n v="0.6"/>
    <n v="0.41789999999999999"/>
    <n v="1"/>
    <n v="4"/>
    <n v="5"/>
  </r>
  <r>
    <x v="20"/>
    <n v="0.21210000000000001"/>
    <n v="0.55000000000000004"/>
    <n v="0.25369999999999998"/>
    <n v="0"/>
    <n v="27"/>
    <n v="27"/>
  </r>
  <r>
    <x v="20"/>
    <n v="0.18179999999999999"/>
    <n v="0.51"/>
    <n v="0.28360000000000002"/>
    <n v="2"/>
    <n v="66"/>
    <n v="68"/>
  </r>
  <r>
    <x v="20"/>
    <n v="0.18179999999999999"/>
    <n v="0.47"/>
    <n v="0.32840000000000003"/>
    <n v="7"/>
    <n v="210"/>
    <n v="217"/>
  </r>
  <r>
    <x v="20"/>
    <n v="0.18179999999999999"/>
    <n v="0.51"/>
    <n v="0.35820000000000002"/>
    <n v="7"/>
    <n v="159"/>
    <n v="166"/>
  </r>
  <r>
    <x v="20"/>
    <n v="0.16669999999999999"/>
    <n v="0.47"/>
    <n v="0.4627"/>
    <n v="6"/>
    <n v="57"/>
    <n v="63"/>
  </r>
  <r>
    <x v="20"/>
    <n v="0.18179999999999999"/>
    <n v="0.41"/>
    <n v="0.4627"/>
    <n v="6"/>
    <n v="53"/>
    <n v="59"/>
  </r>
  <r>
    <x v="20"/>
    <n v="0.18179999999999999"/>
    <n v="0.27"/>
    <n v="0.58209999999999995"/>
    <n v="11"/>
    <n v="67"/>
    <n v="78"/>
  </r>
  <r>
    <x v="20"/>
    <n v="0.1515"/>
    <n v="0.21"/>
    <n v="0.58209999999999995"/>
    <n v="8"/>
    <n v="65"/>
    <n v="73"/>
  </r>
  <r>
    <x v="20"/>
    <n v="0.1515"/>
    <n v="0.25"/>
    <n v="0.52239999999999998"/>
    <n v="6"/>
    <n v="56"/>
    <n v="62"/>
  </r>
  <r>
    <x v="20"/>
    <n v="0.1212"/>
    <n v="0.26"/>
    <n v="0.44779999999999998"/>
    <n v="4"/>
    <n v="61"/>
    <n v="65"/>
  </r>
  <r>
    <x v="20"/>
    <n v="0.13639999999999999"/>
    <n v="0.26"/>
    <n v="0.35820000000000002"/>
    <n v="0"/>
    <n v="97"/>
    <n v="97"/>
  </r>
  <r>
    <x v="20"/>
    <n v="0.1212"/>
    <n v="0.28000000000000003"/>
    <n v="0.35820000000000002"/>
    <n v="10"/>
    <n v="151"/>
    <n v="161"/>
  </r>
  <r>
    <x v="20"/>
    <n v="0.1212"/>
    <n v="0.3"/>
    <n v="0.25369999999999998"/>
    <n v="1"/>
    <n v="119"/>
    <n v="120"/>
  </r>
  <r>
    <x v="20"/>
    <n v="0.1061"/>
    <n v="0.3"/>
    <n v="0.32840000000000003"/>
    <n v="3"/>
    <n v="93"/>
    <n v="96"/>
  </r>
  <r>
    <x v="20"/>
    <n v="7.5800000000000006E-2"/>
    <n v="0.33"/>
    <n v="0.41789999999999999"/>
    <n v="1"/>
    <n v="52"/>
    <n v="53"/>
  </r>
  <r>
    <x v="20"/>
    <n v="7.5800000000000006E-2"/>
    <n v="0.38"/>
    <n v="0.28360000000000002"/>
    <n v="0"/>
    <n v="41"/>
    <n v="41"/>
  </r>
  <r>
    <x v="20"/>
    <n v="3.0300000000000001E-2"/>
    <n v="0.41"/>
    <n v="0.3881"/>
    <n v="1"/>
    <n v="33"/>
    <n v="34"/>
  </r>
  <r>
    <x v="20"/>
    <n v="4.5499999999999999E-2"/>
    <n v="0.38"/>
    <n v="0.32840000000000003"/>
    <n v="0"/>
    <n v="27"/>
    <n v="27"/>
  </r>
  <r>
    <x v="21"/>
    <n v="3.0300000000000001E-2"/>
    <n v="0.45"/>
    <n v="0.25369999999999998"/>
    <n v="0"/>
    <n v="13"/>
    <n v="13"/>
  </r>
  <r>
    <x v="21"/>
    <n v="0"/>
    <n v="0.41"/>
    <n v="0.3881"/>
    <n v="3"/>
    <n v="9"/>
    <n v="12"/>
  </r>
  <r>
    <x v="21"/>
    <n v="3.0300000000000001E-2"/>
    <n v="0.41"/>
    <n v="0.25369999999999998"/>
    <n v="0"/>
    <n v="11"/>
    <n v="11"/>
  </r>
  <r>
    <x v="21"/>
    <n v="3.0300000000000001E-2"/>
    <n v="0.41"/>
    <n v="0.28360000000000002"/>
    <n v="1"/>
    <n v="6"/>
    <n v="7"/>
  </r>
  <r>
    <x v="21"/>
    <n v="1.52E-2"/>
    <n v="0.48"/>
    <n v="0.29849999999999999"/>
    <n v="0"/>
    <n v="3"/>
    <n v="3"/>
  </r>
  <r>
    <x v="21"/>
    <n v="3.0300000000000001E-2"/>
    <n v="0.44"/>
    <n v="0.22389999999999999"/>
    <n v="0"/>
    <n v="2"/>
    <n v="2"/>
  </r>
  <r>
    <x v="21"/>
    <n v="1.52E-2"/>
    <n v="0.44"/>
    <n v="0.28360000000000002"/>
    <n v="0"/>
    <n v="8"/>
    <n v="8"/>
  </r>
  <r>
    <x v="21"/>
    <n v="0"/>
    <n v="0.44"/>
    <n v="0.32840000000000003"/>
    <n v="1"/>
    <n v="26"/>
    <n v="27"/>
  </r>
  <r>
    <x v="21"/>
    <n v="3.0300000000000001E-2"/>
    <n v="0.41"/>
    <n v="0.25369999999999998"/>
    <n v="3"/>
    <n v="37"/>
    <n v="40"/>
  </r>
  <r>
    <x v="21"/>
    <n v="6.0600000000000001E-2"/>
    <n v="0.41"/>
    <n v="0.16420000000000001"/>
    <n v="3"/>
    <n v="50"/>
    <n v="53"/>
  </r>
  <r>
    <x v="21"/>
    <n v="7.5800000000000006E-2"/>
    <n v="0.38"/>
    <n v="0.1343"/>
    <n v="4"/>
    <n v="59"/>
    <n v="63"/>
  </r>
  <r>
    <x v="21"/>
    <n v="0.1061"/>
    <n v="0.38"/>
    <n v="0.1045"/>
    <n v="10"/>
    <n v="60"/>
    <n v="70"/>
  </r>
  <r>
    <x v="21"/>
    <n v="0.16669999999999999"/>
    <n v="0.35"/>
    <n v="0"/>
    <n v="12"/>
    <n v="72"/>
    <n v="84"/>
  </r>
  <r>
    <x v="21"/>
    <n v="0.13639999999999999"/>
    <n v="0.33"/>
    <n v="0.1045"/>
    <n v="11"/>
    <n v="64"/>
    <n v="75"/>
  </r>
  <r>
    <x v="21"/>
    <n v="0.1515"/>
    <n v="0.28000000000000003"/>
    <n v="0"/>
    <n v="10"/>
    <n v="93"/>
    <n v="103"/>
  </r>
  <r>
    <x v="21"/>
    <n v="0.13639999999999999"/>
    <n v="0.28000000000000003"/>
    <n v="0.19400000000000001"/>
    <n v="11"/>
    <n v="72"/>
    <n v="83"/>
  </r>
  <r>
    <x v="21"/>
    <n v="0.19700000000000001"/>
    <n v="0.28000000000000003"/>
    <n v="0"/>
    <n v="8"/>
    <n v="59"/>
    <n v="67"/>
  </r>
  <r>
    <x v="21"/>
    <n v="9.0899999999999995E-2"/>
    <n v="0.35"/>
    <n v="0.19400000000000001"/>
    <n v="0"/>
    <n v="54"/>
    <n v="54"/>
  </r>
  <r>
    <x v="21"/>
    <n v="0.1061"/>
    <n v="0.35"/>
    <n v="0.1343"/>
    <n v="6"/>
    <n v="53"/>
    <n v="59"/>
  </r>
  <r>
    <x v="21"/>
    <n v="7.5800000000000006E-2"/>
    <n v="0.45"/>
    <n v="0.16420000000000001"/>
    <n v="1"/>
    <n v="44"/>
    <n v="45"/>
  </r>
  <r>
    <x v="21"/>
    <n v="0.1061"/>
    <n v="0.41"/>
    <n v="8.9599999999999999E-2"/>
    <n v="0"/>
    <n v="39"/>
    <n v="39"/>
  </r>
  <r>
    <x v="21"/>
    <n v="0.1515"/>
    <n v="0.49"/>
    <n v="0"/>
    <n v="7"/>
    <n v="23"/>
    <n v="30"/>
  </r>
  <r>
    <x v="21"/>
    <n v="7.5800000000000006E-2"/>
    <n v="0.56999999999999995"/>
    <n v="0.1045"/>
    <n v="2"/>
    <n v="31"/>
    <n v="33"/>
  </r>
  <r>
    <x v="22"/>
    <n v="7.5800000000000006E-2"/>
    <n v="0.56999999999999995"/>
    <n v="0.1045"/>
    <n v="2"/>
    <n v="20"/>
    <n v="22"/>
  </r>
  <r>
    <x v="22"/>
    <n v="7.5800000000000006E-2"/>
    <n v="0.56999999999999995"/>
    <n v="0.1045"/>
    <n v="1"/>
    <n v="12"/>
    <n v="13"/>
  </r>
  <r>
    <x v="22"/>
    <n v="6.0600000000000001E-2"/>
    <n v="0.62"/>
    <n v="0.1343"/>
    <n v="3"/>
    <n v="15"/>
    <n v="18"/>
  </r>
  <r>
    <x v="22"/>
    <n v="6.0600000000000001E-2"/>
    <n v="0.62"/>
    <n v="0.1343"/>
    <n v="1"/>
    <n v="4"/>
    <n v="5"/>
  </r>
  <r>
    <x v="22"/>
    <n v="7.5800000000000006E-2"/>
    <n v="0.56999999999999995"/>
    <n v="0.1045"/>
    <n v="0"/>
    <n v="3"/>
    <n v="3"/>
  </r>
  <r>
    <x v="22"/>
    <n v="7.5800000000000006E-2"/>
    <n v="0.56999999999999995"/>
    <n v="0.1045"/>
    <n v="0"/>
    <n v="1"/>
    <n v="1"/>
  </r>
  <r>
    <x v="22"/>
    <n v="0.1061"/>
    <n v="0.57999999999999996"/>
    <n v="0.16420000000000001"/>
    <n v="1"/>
    <n v="1"/>
    <n v="2"/>
  </r>
  <r>
    <x v="22"/>
    <n v="7.5800000000000006E-2"/>
    <n v="0.62"/>
    <n v="0.16420000000000001"/>
    <n v="2"/>
    <n v="17"/>
    <n v="19"/>
  </r>
  <r>
    <x v="22"/>
    <n v="7.5800000000000006E-2"/>
    <n v="0.54"/>
    <n v="0.35820000000000002"/>
    <n v="3"/>
    <n v="25"/>
    <n v="28"/>
  </r>
  <r>
    <x v="22"/>
    <n v="0.1061"/>
    <n v="0.46"/>
    <n v="0.3881"/>
    <n v="7"/>
    <n v="51"/>
    <n v="58"/>
  </r>
  <r>
    <x v="22"/>
    <n v="0.13639999999999999"/>
    <n v="0.43"/>
    <n v="0.22389999999999999"/>
    <n v="22"/>
    <n v="77"/>
    <n v="99"/>
  </r>
  <r>
    <x v="22"/>
    <n v="0.1212"/>
    <n v="0.37"/>
    <n v="0.4627"/>
    <n v="24"/>
    <n v="92"/>
    <n v="116"/>
  </r>
  <r>
    <x v="22"/>
    <n v="0.1061"/>
    <n v="0.33"/>
    <n v="0.3881"/>
    <n v="12"/>
    <n v="75"/>
    <n v="87"/>
  </r>
  <r>
    <x v="22"/>
    <n v="0.13639999999999999"/>
    <n v="0.28000000000000003"/>
    <n v="0.35820000000000002"/>
    <n v="17"/>
    <n v="93"/>
    <n v="110"/>
  </r>
  <r>
    <x v="22"/>
    <n v="0.13639999999999999"/>
    <n v="0.28000000000000003"/>
    <n v="0.35820000000000002"/>
    <n v="13"/>
    <n v="64"/>
    <n v="77"/>
  </r>
  <r>
    <x v="22"/>
    <n v="0.13639999999999999"/>
    <n v="0.26"/>
    <n v="0.32840000000000003"/>
    <n v="9"/>
    <n v="56"/>
    <n v="65"/>
  </r>
  <r>
    <x v="22"/>
    <n v="0.1061"/>
    <n v="0.26"/>
    <n v="0.3881"/>
    <n v="5"/>
    <n v="50"/>
    <n v="55"/>
  </r>
  <r>
    <x v="22"/>
    <n v="0.1212"/>
    <n v="0.3"/>
    <n v="0.25369999999999998"/>
    <n v="5"/>
    <n v="44"/>
    <n v="49"/>
  </r>
  <r>
    <x v="22"/>
    <n v="0.1212"/>
    <n v="0.3"/>
    <n v="0.28360000000000002"/>
    <n v="5"/>
    <n v="45"/>
    <n v="50"/>
  </r>
  <r>
    <x v="22"/>
    <n v="0.1061"/>
    <n v="0.36"/>
    <n v="0.25369999999999998"/>
    <n v="4"/>
    <n v="31"/>
    <n v="35"/>
  </r>
  <r>
    <x v="22"/>
    <n v="0.1061"/>
    <n v="0.36"/>
    <n v="0.19400000000000001"/>
    <n v="5"/>
    <n v="20"/>
    <n v="25"/>
  </r>
  <r>
    <x v="22"/>
    <n v="9.0899999999999995E-2"/>
    <n v="0.38"/>
    <n v="0.19400000000000001"/>
    <n v="5"/>
    <n v="23"/>
    <n v="28"/>
  </r>
  <r>
    <x v="22"/>
    <n v="6.0600000000000001E-2"/>
    <n v="0.41"/>
    <n v="0.22389999999999999"/>
    <n v="4"/>
    <n v="17"/>
    <n v="21"/>
  </r>
  <r>
    <x v="23"/>
    <n v="6.0600000000000001E-2"/>
    <n v="0.41"/>
    <n v="0.19400000000000001"/>
    <n v="0"/>
    <n v="7"/>
    <n v="7"/>
  </r>
  <r>
    <x v="23"/>
    <n v="4.5499999999999999E-2"/>
    <n v="0.45"/>
    <n v="0.19400000000000001"/>
    <n v="0"/>
    <n v="1"/>
    <n v="1"/>
  </r>
  <r>
    <x v="23"/>
    <n v="3.0300000000000001E-2"/>
    <n v="0.45"/>
    <n v="0.25369999999999998"/>
    <n v="0"/>
    <n v="1"/>
    <n v="1"/>
  </r>
  <r>
    <x v="23"/>
    <n v="6.0600000000000001E-2"/>
    <n v="0.48"/>
    <n v="0.1343"/>
    <n v="0"/>
    <n v="1"/>
    <n v="1"/>
  </r>
  <r>
    <x v="23"/>
    <n v="6.0600000000000001E-2"/>
    <n v="0.48"/>
    <n v="0.1343"/>
    <n v="0"/>
    <n v="5"/>
    <n v="5"/>
  </r>
  <r>
    <x v="23"/>
    <n v="7.5800000000000006E-2"/>
    <n v="0.48"/>
    <n v="8.9599999999999999E-2"/>
    <n v="0"/>
    <n v="15"/>
    <n v="15"/>
  </r>
  <r>
    <x v="23"/>
    <n v="0.1212"/>
    <n v="0.48"/>
    <n v="0"/>
    <n v="5"/>
    <n v="79"/>
    <n v="84"/>
  </r>
  <r>
    <x v="23"/>
    <n v="0.13639999999999999"/>
    <n v="0.49"/>
    <n v="0"/>
    <n v="6"/>
    <n v="171"/>
    <n v="177"/>
  </r>
  <r>
    <x v="23"/>
    <n v="0.1515"/>
    <n v="0.41"/>
    <n v="0"/>
    <n v="4"/>
    <n v="98"/>
    <n v="102"/>
  </r>
  <r>
    <x v="23"/>
    <n v="0.13639999999999999"/>
    <n v="0.42"/>
    <n v="0"/>
    <n v="6"/>
    <n v="34"/>
    <n v="40"/>
  </r>
  <r>
    <x v="23"/>
    <n v="0.1212"/>
    <n v="0.46"/>
    <n v="0.1343"/>
    <n v="3"/>
    <n v="43"/>
    <n v="46"/>
  </r>
  <r>
    <x v="23"/>
    <n v="0.13639999999999999"/>
    <n v="0.42"/>
    <n v="0.19400000000000001"/>
    <n v="11"/>
    <n v="52"/>
    <n v="63"/>
  </r>
  <r>
    <x v="23"/>
    <n v="0.13639999999999999"/>
    <n v="0.43"/>
    <n v="0.22389999999999999"/>
    <n v="6"/>
    <n v="54"/>
    <n v="60"/>
  </r>
  <r>
    <x v="23"/>
    <n v="0.13639999999999999"/>
    <n v="0.46"/>
    <n v="0.22389999999999999"/>
    <n v="2"/>
    <n v="43"/>
    <n v="45"/>
  </r>
  <r>
    <x v="23"/>
    <n v="0.16669999999999999"/>
    <n v="0.4"/>
    <n v="0.16420000000000001"/>
    <n v="7"/>
    <n v="50"/>
    <n v="57"/>
  </r>
  <r>
    <x v="23"/>
    <n v="0.1515"/>
    <n v="0.47"/>
    <n v="0.25369999999999998"/>
    <n v="4"/>
    <n v="66"/>
    <n v="70"/>
  </r>
  <r>
    <x v="23"/>
    <n v="0.1212"/>
    <n v="0.5"/>
    <n v="0.25369999999999998"/>
    <n v="6"/>
    <n v="178"/>
    <n v="184"/>
  </r>
  <r>
    <x v="23"/>
    <n v="0.13639999999999999"/>
    <n v="0.59"/>
    <n v="0.19400000000000001"/>
    <n v="8"/>
    <n v="145"/>
    <n v="153"/>
  </r>
  <r>
    <x v="23"/>
    <n v="0.1515"/>
    <n v="0.54"/>
    <n v="0.16420000000000001"/>
    <n v="5"/>
    <n v="101"/>
    <n v="106"/>
  </r>
  <r>
    <x v="23"/>
    <n v="0.13639999999999999"/>
    <n v="0.59"/>
    <n v="0.19400000000000001"/>
    <n v="1"/>
    <n v="80"/>
    <n v="81"/>
  </r>
  <r>
    <x v="23"/>
    <n v="0.1515"/>
    <n v="0.63"/>
    <n v="0.16420000000000001"/>
    <n v="6"/>
    <n v="53"/>
    <n v="59"/>
  </r>
  <r>
    <x v="23"/>
    <n v="0.13639999999999999"/>
    <n v="0.63"/>
    <n v="0.22389999999999999"/>
    <n v="3"/>
    <n v="32"/>
    <n v="35"/>
  </r>
  <r>
    <x v="23"/>
    <n v="0.1515"/>
    <n v="0.64"/>
    <n v="0.25369999999999998"/>
    <n v="3"/>
    <n v="21"/>
    <n v="24"/>
  </r>
  <r>
    <x v="24"/>
    <n v="0.13639999999999999"/>
    <n v="0.69"/>
    <n v="0.28360000000000002"/>
    <n v="3"/>
    <n v="6"/>
    <n v="9"/>
  </r>
  <r>
    <x v="24"/>
    <n v="0.16669999999999999"/>
    <n v="0.69"/>
    <n v="0.16420000000000001"/>
    <n v="0"/>
    <n v="5"/>
    <n v="5"/>
  </r>
  <r>
    <x v="24"/>
    <n v="0.1515"/>
    <n v="0.69"/>
    <n v="0.22389999999999999"/>
    <n v="0"/>
    <n v="2"/>
    <n v="2"/>
  </r>
  <r>
    <x v="24"/>
    <n v="0.16669999999999999"/>
    <n v="0.74"/>
    <n v="0.1045"/>
    <n v="0"/>
    <n v="1"/>
    <n v="1"/>
  </r>
  <r>
    <x v="24"/>
    <n v="0.13639999999999999"/>
    <n v="0.74"/>
    <n v="0.22389999999999999"/>
    <n v="0"/>
    <n v="9"/>
    <n v="9"/>
  </r>
  <r>
    <x v="24"/>
    <n v="0.18179999999999999"/>
    <n v="0.74"/>
    <n v="0.1045"/>
    <n v="1"/>
    <n v="35"/>
    <n v="36"/>
  </r>
  <r>
    <x v="24"/>
    <n v="0.1515"/>
    <n v="0.74"/>
    <n v="0.22389999999999999"/>
    <n v="5"/>
    <n v="103"/>
    <n v="108"/>
  </r>
  <r>
    <x v="24"/>
    <n v="0.18179999999999999"/>
    <n v="0.74"/>
    <n v="0.1343"/>
    <n v="5"/>
    <n v="233"/>
    <n v="238"/>
  </r>
  <r>
    <x v="24"/>
    <n v="0.2273"/>
    <n v="0.64"/>
    <n v="8.9599999999999999E-2"/>
    <n v="10"/>
    <n v="134"/>
    <n v="144"/>
  </r>
  <r>
    <x v="24"/>
    <n v="0.2424"/>
    <n v="0.6"/>
    <n v="0.1045"/>
    <n v="6"/>
    <n v="49"/>
    <n v="55"/>
  </r>
  <r>
    <x v="24"/>
    <n v="0.2424"/>
    <n v="0.6"/>
    <n v="0.1343"/>
    <n v="6"/>
    <n v="55"/>
    <n v="61"/>
  </r>
  <r>
    <x v="24"/>
    <n v="0.28789999999999999"/>
    <n v="0.56000000000000005"/>
    <n v="8.9599999999999999E-2"/>
    <n v="21"/>
    <n v="85"/>
    <n v="106"/>
  </r>
  <r>
    <x v="24"/>
    <n v="0.2727"/>
    <n v="0.56000000000000005"/>
    <n v="0.1343"/>
    <n v="21"/>
    <n v="72"/>
    <n v="93"/>
  </r>
  <r>
    <x v="24"/>
    <n v="0.33329999999999999"/>
    <n v="0.45"/>
    <n v="0"/>
    <n v="11"/>
    <n v="57"/>
    <n v="68"/>
  </r>
  <r>
    <x v="24"/>
    <n v="0.34849999999999998"/>
    <n v="0.42"/>
    <n v="0"/>
    <n v="21"/>
    <n v="63"/>
    <n v="84"/>
  </r>
  <r>
    <x v="24"/>
    <n v="0.34849999999999998"/>
    <n v="0.42"/>
    <n v="0"/>
    <n v="14"/>
    <n v="102"/>
    <n v="116"/>
  </r>
  <r>
    <x v="24"/>
    <n v="0.33329999999999999"/>
    <n v="0.45"/>
    <n v="0"/>
    <n v="14"/>
    <n v="208"/>
    <n v="222"/>
  </r>
  <r>
    <x v="24"/>
    <n v="0.31819999999999998"/>
    <n v="0.49"/>
    <n v="8.9599999999999999E-2"/>
    <n v="7"/>
    <n v="218"/>
    <n v="225"/>
  </r>
  <r>
    <x v="24"/>
    <n v="0.2576"/>
    <n v="0.65"/>
    <n v="0.16420000000000001"/>
    <n v="13"/>
    <n v="133"/>
    <n v="146"/>
  </r>
  <r>
    <x v="24"/>
    <n v="0.2273"/>
    <n v="0.65"/>
    <n v="0.19400000000000001"/>
    <n v="16"/>
    <n v="103"/>
    <n v="119"/>
  </r>
  <r>
    <x v="24"/>
    <n v="0.2273"/>
    <n v="0.65"/>
    <n v="0.19400000000000001"/>
    <n v="5"/>
    <n v="40"/>
    <n v="45"/>
  </r>
  <r>
    <x v="24"/>
    <n v="0.2273"/>
    <n v="0.64"/>
    <n v="0.16420000000000001"/>
    <n v="4"/>
    <n v="49"/>
    <n v="53"/>
  </r>
  <r>
    <x v="24"/>
    <n v="0.2273"/>
    <n v="0.64"/>
    <n v="0.16420000000000001"/>
    <n v="3"/>
    <n v="37"/>
    <n v="40"/>
  </r>
  <r>
    <x v="25"/>
    <n v="0.2273"/>
    <n v="0.69"/>
    <n v="0.1343"/>
    <n v="3"/>
    <n v="14"/>
    <n v="17"/>
  </r>
  <r>
    <x v="25"/>
    <n v="0.2424"/>
    <n v="0.65"/>
    <n v="0.1343"/>
    <n v="0"/>
    <n v="5"/>
    <n v="5"/>
  </r>
  <r>
    <x v="25"/>
    <n v="0.2273"/>
    <n v="0.69"/>
    <n v="0.19400000000000001"/>
    <n v="3"/>
    <n v="7"/>
    <n v="10"/>
  </r>
  <r>
    <x v="25"/>
    <n v="0.18179999999999999"/>
    <n v="0.86"/>
    <n v="0.28360000000000002"/>
    <n v="0"/>
    <n v="1"/>
    <n v="1"/>
  </r>
  <r>
    <x v="25"/>
    <n v="0.18179999999999999"/>
    <n v="0.86"/>
    <n v="0.28360000000000002"/>
    <n v="0"/>
    <n v="8"/>
    <n v="8"/>
  </r>
  <r>
    <x v="25"/>
    <n v="0.21210000000000001"/>
    <n v="0.87"/>
    <n v="0.29849999999999999"/>
    <n v="1"/>
    <n v="29"/>
    <n v="30"/>
  </r>
  <r>
    <x v="25"/>
    <n v="0.21210000000000001"/>
    <n v="0.87"/>
    <n v="0.29849999999999999"/>
    <n v="3"/>
    <n v="69"/>
    <n v="72"/>
  </r>
  <r>
    <x v="25"/>
    <n v="0.21210000000000001"/>
    <n v="0.87"/>
    <n v="0.29849999999999999"/>
    <n v="3"/>
    <n v="55"/>
    <n v="58"/>
  </r>
  <r>
    <x v="25"/>
    <n v="0.21210000000000001"/>
    <n v="0.93"/>
    <n v="0.28360000000000002"/>
    <n v="2"/>
    <n v="26"/>
    <n v="28"/>
  </r>
  <r>
    <x v="25"/>
    <n v="0.19700000000000001"/>
    <n v="0.93"/>
    <n v="0.32840000000000003"/>
    <n v="6"/>
    <n v="35"/>
    <n v="41"/>
  </r>
  <r>
    <x v="25"/>
    <n v="0.19700000000000001"/>
    <n v="0.93"/>
    <n v="0.32840000000000003"/>
    <n v="7"/>
    <n v="41"/>
    <n v="48"/>
  </r>
  <r>
    <x v="25"/>
    <n v="0.19700000000000001"/>
    <n v="0.93"/>
    <n v="0.32840000000000003"/>
    <n v="4"/>
    <n v="43"/>
    <n v="47"/>
  </r>
  <r>
    <x v="25"/>
    <n v="0.19700000000000001"/>
    <n v="0.93"/>
    <n v="0.35820000000000002"/>
    <n v="0"/>
    <n v="36"/>
    <n v="36"/>
  </r>
  <r>
    <x v="25"/>
    <n v="0.18179999999999999"/>
    <n v="0.93"/>
    <n v="0.4627"/>
    <n v="1"/>
    <n v="42"/>
    <n v="43"/>
  </r>
  <r>
    <x v="25"/>
    <n v="0.19700000000000001"/>
    <n v="0.93"/>
    <n v="0.32840000000000003"/>
    <n v="1"/>
    <n v="35"/>
    <n v="36"/>
  </r>
  <r>
    <x v="25"/>
    <n v="0.18179999999999999"/>
    <n v="0.93"/>
    <n v="0.35820000000000002"/>
    <n v="0"/>
    <n v="26"/>
    <n v="26"/>
  </r>
  <r>
    <x v="26"/>
    <n v="0.2273"/>
    <n v="0.55000000000000004"/>
    <n v="0.19400000000000001"/>
    <n v="1"/>
    <n v="23"/>
    <n v="24"/>
  </r>
  <r>
    <x v="26"/>
    <n v="0.2424"/>
    <n v="0.55000000000000004"/>
    <n v="0.1045"/>
    <n v="2"/>
    <n v="82"/>
    <n v="84"/>
  </r>
  <r>
    <x v="26"/>
    <n v="0.2273"/>
    <n v="0.69"/>
    <n v="8.9599999999999999E-2"/>
    <n v="3"/>
    <n v="101"/>
    <n v="104"/>
  </r>
  <r>
    <x v="26"/>
    <n v="0.2273"/>
    <n v="0.69"/>
    <n v="8.9599999999999999E-2"/>
    <n v="3"/>
    <n v="76"/>
    <n v="79"/>
  </r>
  <r>
    <x v="26"/>
    <n v="0.21210000000000001"/>
    <n v="0.74"/>
    <n v="8.9599999999999999E-2"/>
    <n v="4"/>
    <n v="55"/>
    <n v="59"/>
  </r>
  <r>
    <x v="26"/>
    <n v="0.21210000000000001"/>
    <n v="0.74"/>
    <n v="8.9599999999999999E-2"/>
    <n v="2"/>
    <n v="36"/>
    <n v="38"/>
  </r>
  <r>
    <x v="26"/>
    <n v="0.21210000000000001"/>
    <n v="0.74"/>
    <n v="8.9599999999999999E-2"/>
    <n v="0"/>
    <n v="27"/>
    <n v="27"/>
  </r>
  <r>
    <x v="26"/>
    <n v="0.19700000000000001"/>
    <n v="0.8"/>
    <n v="0.16420000000000001"/>
    <n v="0"/>
    <n v="16"/>
    <n v="16"/>
  </r>
  <r>
    <x v="27"/>
    <n v="0.21210000000000001"/>
    <n v="0.75"/>
    <n v="0.1343"/>
    <n v="0"/>
    <n v="9"/>
    <n v="9"/>
  </r>
  <r>
    <x v="27"/>
    <n v="0.21210000000000001"/>
    <n v="0.75"/>
    <n v="0.1343"/>
    <n v="1"/>
    <n v="2"/>
    <n v="3"/>
  </r>
  <r>
    <x v="27"/>
    <n v="0.21210000000000001"/>
    <n v="0.75"/>
    <n v="0.16420000000000001"/>
    <n v="0"/>
    <n v="2"/>
    <n v="2"/>
  </r>
  <r>
    <x v="27"/>
    <n v="0.2273"/>
    <n v="0.75"/>
    <n v="0.1045"/>
    <n v="1"/>
    <n v="0"/>
    <n v="1"/>
  </r>
  <r>
    <x v="27"/>
    <n v="0.21210000000000001"/>
    <n v="0.8"/>
    <n v="0.1045"/>
    <n v="0"/>
    <n v="4"/>
    <n v="4"/>
  </r>
  <r>
    <x v="27"/>
    <n v="0.19700000000000001"/>
    <n v="0.8"/>
    <n v="0.1343"/>
    <n v="0"/>
    <n v="16"/>
    <n v="16"/>
  </r>
  <r>
    <x v="27"/>
    <n v="0.19700000000000001"/>
    <n v="0.86"/>
    <n v="8.9599999999999999E-2"/>
    <n v="2"/>
    <n v="58"/>
    <n v="60"/>
  </r>
  <r>
    <x v="27"/>
    <n v="0.19700000000000001"/>
    <n v="0.86"/>
    <n v="8.9599999999999999E-2"/>
    <n v="2"/>
    <n v="155"/>
    <n v="157"/>
  </r>
  <r>
    <x v="27"/>
    <n v="0.21210000000000001"/>
    <n v="0.86"/>
    <n v="8.9599999999999999E-2"/>
    <n v="6"/>
    <n v="95"/>
    <n v="101"/>
  </r>
  <r>
    <x v="27"/>
    <n v="0.21210000000000001"/>
    <n v="0.86"/>
    <n v="0.1045"/>
    <n v="0"/>
    <n v="49"/>
    <n v="49"/>
  </r>
  <r>
    <x v="27"/>
    <n v="0.21210000000000001"/>
    <n v="0.93"/>
    <n v="0.1045"/>
    <n v="0"/>
    <n v="30"/>
    <n v="30"/>
  </r>
  <r>
    <x v="27"/>
    <n v="0.21210000000000001"/>
    <n v="0.93"/>
    <n v="0.1045"/>
    <n v="1"/>
    <n v="28"/>
    <n v="29"/>
  </r>
  <r>
    <x v="27"/>
    <n v="0.21210000000000001"/>
    <n v="0.93"/>
    <n v="0.1045"/>
    <n v="0"/>
    <n v="31"/>
    <n v="31"/>
  </r>
  <r>
    <x v="27"/>
    <n v="0.2727"/>
    <n v="0.8"/>
    <n v="0"/>
    <n v="2"/>
    <n v="36"/>
    <n v="38"/>
  </r>
  <r>
    <x v="27"/>
    <n v="0.2576"/>
    <n v="0.86"/>
    <n v="0"/>
    <n v="1"/>
    <n v="40"/>
    <n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D1F43-769E-46E3-A4AC-1BD9FC37372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te">
  <location ref="P12:Q41" firstHeaderRow="1" firstDataRow="1" firstDataCol="1"/>
  <pivotFields count="7">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numFmtId="9" showAll="0"/>
    <pivotField showAll="0"/>
    <pivotField showAll="0"/>
    <pivotField showAll="0"/>
    <pivotField dataField="1"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c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1C961-3830-4D94-BA69-773D5FECA0CF}"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D25"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howAll="0" dataSourceSort="1" defaultAttributeDrillState="1">
      <items count="8">
        <item x="0"/>
        <item x="1"/>
        <item x="2"/>
        <item x="3"/>
        <item x="4"/>
        <item x="5"/>
        <item x="6"/>
        <item t="default"/>
      </items>
    </pivotField>
    <pivotField axis="axisRow" allDrilled="1" showAll="0" dataSourceSort="1" defaultAttributeDrillState="1">
      <items count="3">
        <item x="0"/>
        <item x="1"/>
        <item t="default"/>
      </items>
    </pivotField>
  </pivotFields>
  <rowFields count="2">
    <field x="3"/>
    <field x="4"/>
  </rowFields>
  <rowItems count="22">
    <i>
      <x/>
    </i>
    <i r="1">
      <x/>
    </i>
    <i r="1">
      <x v="1"/>
    </i>
    <i>
      <x v="1"/>
    </i>
    <i r="1">
      <x/>
    </i>
    <i r="1">
      <x v="1"/>
    </i>
    <i>
      <x v="2"/>
    </i>
    <i r="1">
      <x/>
    </i>
    <i r="1">
      <x v="1"/>
    </i>
    <i>
      <x v="3"/>
    </i>
    <i r="1">
      <x/>
    </i>
    <i r="1">
      <x v="1"/>
    </i>
    <i>
      <x v="4"/>
    </i>
    <i r="1">
      <x/>
    </i>
    <i r="1">
      <x v="1"/>
    </i>
    <i>
      <x v="5"/>
    </i>
    <i r="1">
      <x/>
    </i>
    <i r="1">
      <x v="1"/>
    </i>
    <i>
      <x v="6"/>
    </i>
    <i r="1">
      <x/>
    </i>
    <i r="1">
      <x v="1"/>
    </i>
    <i t="grand">
      <x/>
    </i>
  </rowItems>
  <colFields count="1">
    <field x="-2"/>
  </colFields>
  <colItems count="3">
    <i>
      <x/>
    </i>
    <i i="1">
      <x v="1"/>
    </i>
    <i i="2">
      <x v="2"/>
    </i>
  </colItems>
  <dataFields count="3">
    <dataField name="Sum of casual" fld="0" baseField="0" baseItem="0"/>
    <dataField name="Sum of registered" fld="1" baseField="0" baseItem="0"/>
    <dataField name="Sum of cn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H$1:$O$61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04F78C9-04A1-4062-B84E-EA3CBC2831A0}" autoFormatId="16" applyNumberFormats="0" applyBorderFormats="0" applyFontFormats="0" applyPatternFormats="0" applyAlignmentFormats="0" applyWidthHeightFormats="0">
  <queryTableRefresh nextId="21">
    <queryTableFields count="2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name="time" tableColumnId="17"/>
      <queryTableField id="18" name="day" tableColumnId="18"/>
      <queryTableField id="19" name="Day" tableColumnId="19"/>
      <queryTableField id="20" name="Shif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6E1ADF5F-E667-4F9D-8A9B-61F7DA56B406}" sourceName="Day">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FA97051D-47A8-4568-833C-49B8648B2A37}" cache="Slicer_Day" caption="Day" startItem="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B799CBC5-FBE3-4850-9446-D37BA5D88CC2}" cache="Slicer_Day" caption="Day" startItem="2" rowHeight="247650"/>
</slicers>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C810C-0CD9-4DBE-838D-124BE760EEBE}" name="Table1" displayName="Table1" ref="Q3:T11" totalsRowCount="1">
  <autoFilter ref="Q3:T10" xr:uid="{617C810C-0CD9-4DBE-838D-124BE760EEBE}"/>
  <tableColumns count="4">
    <tableColumn id="1" xr3:uid="{733128E9-3686-4FA9-A609-725F5FD9459F}" name="Day" totalsRowLabel="Total"/>
    <tableColumn id="2" xr3:uid="{A7B03C49-4526-4738-B4D5-A26FD5338EF6}" name="No. of casual" totalsRowFunction="custom">
      <calculatedColumnFormula>SUMIF($H$2:$H$611,Q4,K2:K611)</calculatedColumnFormula>
      <totalsRowFormula>SUM(Table1[No. of casual])</totalsRowFormula>
    </tableColumn>
    <tableColumn id="3" xr3:uid="{4855729A-7464-4994-83A4-73E2BF4C14F8}" name="No. of Registered" totalsRowFunction="custom">
      <calculatedColumnFormula>SUMIF($H$2:$H$611,Q4,L2:L611)</calculatedColumnFormula>
      <totalsRowFormula>SUM(Table1[No. of Registered])</totalsRowFormula>
    </tableColumn>
    <tableColumn id="4" xr3:uid="{A6066266-820B-416A-ADBD-1C688CA7493C}" name="Total" totalsRowFunction="sum">
      <calculatedColumnFormula>SUM(R4,S4)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394C73-0DA9-4483-A621-B312EAFB959E}" name="Table2" displayName="Table2" ref="V3:Y10" totalsRowShown="0">
  <autoFilter ref="V3:Y10" xr:uid="{A2394C73-0DA9-4483-A621-B312EAFB959E}"/>
  <tableColumns count="4">
    <tableColumn id="1" xr3:uid="{D0425B82-3353-4992-A814-F209EB5B80E5}" name="Day"/>
    <tableColumn id="2" xr3:uid="{F1F34ACC-5B6D-41CA-99D7-FE8E8E0A7744}" name="Day shift">
      <calculatedColumnFormula>COUNTIFS($N$2:$N$611,$W$3,$H$2:$H$611,V4)</calculatedColumnFormula>
    </tableColumn>
    <tableColumn id="3" xr3:uid="{DA068E68-ECE7-4009-A383-571EC6F2994C}" name="Night shift">
      <calculatedColumnFormula>COUNTIFS($N$2:$N$611,$X$3,$H$2:$H$611,V4)</calculatedColumnFormula>
    </tableColumn>
    <tableColumn id="4" xr3:uid="{CC13295E-082E-438C-83DB-E822ADAB95DE}" name="totalshift">
      <calculatedColumnFormula>SUM(W4:X4)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F495D9-9DD3-4769-B9B6-E8FBCD872229}" name="Table7" displayName="Table7" ref="A1:N611" totalsRowShown="0" headerRowDxfId="50">
  <autoFilter ref="A1:N611" xr:uid="{EEF495D9-9DD3-4769-B9B6-E8FBCD872229}"/>
  <tableColumns count="14">
    <tableColumn id="1" xr3:uid="{52FFA1DA-FD32-478C-BCC1-249DA282D4FA}" name="instant" dataDxfId="49"/>
    <tableColumn id="2" xr3:uid="{192F11F1-6EE4-4634-B5A6-CB1AC348557B}" name="dteday" dataDxfId="48"/>
    <tableColumn id="3" xr3:uid="{335F4E9A-2E6B-4225-9277-DF7F34C68341}" name="hr" dataDxfId="47"/>
    <tableColumn id="4" xr3:uid="{22254B70-DBC7-4471-B973-C967150B8EE8}" name="holiday" dataDxfId="46"/>
    <tableColumn id="5" xr3:uid="{A69A8A6F-390B-444D-9FA8-13B0B75F0B2C}" name="weekday" dataDxfId="45"/>
    <tableColumn id="6" xr3:uid="{1FE290AB-B3AD-4824-A01D-A865C09207CE}" name="weathersit" dataDxfId="44"/>
    <tableColumn id="7" xr3:uid="{C4735935-9D23-4CC8-A45E-53E16CD370B1}" name="temp" dataDxfId="43"/>
    <tableColumn id="8" xr3:uid="{8272DD5B-5535-44ED-B992-508D85092480}" name="Day">
      <calculatedColumnFormula>TEXT(B2,"ddd")</calculatedColumnFormula>
    </tableColumn>
    <tableColumn id="10" xr3:uid="{10BE0508-D77B-4C98-BFDD-574C1EB3334D}" name="atemp2">
      <calculatedColumnFormula>VLOOKUP($A2,instantc,3,FALSE)</calculatedColumnFormula>
    </tableColumn>
    <tableColumn id="11" xr3:uid="{505411FC-AFF9-42BE-A07B-D902E74C75DD}" name="windspeed">
      <calculatedColumnFormula>VLOOKUP($A2,instantc,4,FALSE)</calculatedColumnFormula>
    </tableColumn>
    <tableColumn id="12" xr3:uid="{68745BB1-F4C8-458F-B2CD-B1CE82821C4F}" name="casual">
      <calculatedColumnFormula>VLOOKUP($A2,instantc,5,FALSE)</calculatedColumnFormula>
    </tableColumn>
    <tableColumn id="13" xr3:uid="{B6848787-3A10-48AD-B52C-59D8EE91A0B9}" name="registered">
      <calculatedColumnFormula>VLOOKUP($A2,instantc,6,FALSE)</calculatedColumnFormula>
    </tableColumn>
    <tableColumn id="14" xr3:uid="{6286E071-49F7-4F25-9A4E-BEC985395F24}" name="cnt">
      <calculatedColumnFormula>VLOOKUP($A2,instantc,7,FALSE)</calculatedColumnFormula>
    </tableColumn>
    <tableColumn id="15" xr3:uid="{45CED382-A936-4476-A2B1-1FF885385FFE}" name="Shift">
      <calculatedColumnFormula>IF(AND(C2&gt;=6,C2&lt;=18),"Day Shift","Night shift")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1D08D1-F0B6-45EC-B8D4-FA1485051DB2}" name="Table3" displayName="Table3" ref="O4:U6" totalsRowShown="0" headerRowDxfId="42">
  <autoFilter ref="O4:U6" xr:uid="{111D08D1-F0B6-45EC-B8D4-FA1485051DB2}"/>
  <tableColumns count="7">
    <tableColumn id="1" xr3:uid="{A7932E90-C98E-4EB3-ADAE-2F1FAF1519E2}" name="Booking" dataDxfId="41"/>
    <tableColumn id="2" xr3:uid="{872B7E79-21E3-41EE-8158-5B1B764A4157}" name="higher humidity" dataDxfId="40">
      <calculatedColumnFormula>SUMIF($K$2:$K$611,P$4,$H$2:$H$611)</calculatedColumnFormula>
    </tableColumn>
    <tableColumn id="3" xr3:uid="{8CFB04F9-92E0-4F1D-9227-021004DE5D3E}" name="Medium humidity" dataDxfId="39">
      <calculatedColumnFormula>SUMIF($K$2:$K$611,Q$4,$H$2:$H$611)</calculatedColumnFormula>
    </tableColumn>
    <tableColumn id="4" xr3:uid="{E57001CC-B0D2-46F2-B85C-4F93FF79316E}" name="Lower humidity" dataDxfId="38">
      <calculatedColumnFormula>SUMIF($K$2:$K$611,R$4,$H$2:$H$611)</calculatedColumnFormula>
    </tableColumn>
    <tableColumn id="5" xr3:uid="{0C3AA20D-EC91-4F0D-AE2E-ED414E93B6B1}" name="Total">
      <calculatedColumnFormula>SUM(H1:H610)</calculatedColumnFormula>
    </tableColumn>
    <tableColumn id="6" xr3:uid="{EFC598BF-3E20-4460-9440-A702BCBC50EF}" name="Count">
      <calculatedColumnFormula>COUNT(H1:H610)</calculatedColumnFormula>
    </tableColumn>
    <tableColumn id="7" xr3:uid="{485E6032-DE72-45C2-B9C7-129C83A452FE}" name="Average" dataDxfId="37">
      <calculatedColumnFormula>AVERAGE(H1:H610)</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382CE7-F231-4DB7-82C2-8FC05F294B3E}" name="Table4" displayName="Table4" ref="U6:Y14" totalsRowShown="0" headerRowDxfId="36">
  <autoFilter ref="U6:Y14" xr:uid="{5B382CE7-F231-4DB7-82C2-8FC05F294B3E}"/>
  <tableColumns count="5">
    <tableColumn id="1" xr3:uid="{DFABB724-6D9B-4BBE-8327-A4F5E4DDABBB}" name="Day"/>
    <tableColumn id="2" xr3:uid="{94508D9E-51BF-4BDF-A6FF-DD381F5013C7}" name="casual"/>
    <tableColumn id="3" xr3:uid="{C977D5DF-320E-41C8-9523-FB811290C341}" name="registered"/>
    <tableColumn id="4" xr3:uid="{6B48B129-C0EA-49F8-858A-80204A733B64}" name="cnt"/>
    <tableColumn id="5" xr3:uid="{0C2E703F-4AAE-44CC-8362-D7B8961C4D71}" name="averag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21F260-5F0C-4D3F-BBDD-448EB42FB6A9}" name="Table5" displayName="Table5" ref="AB5:AC6" totalsRowShown="0" headerRowDxfId="35">
  <autoFilter ref="AB5:AC6" xr:uid="{2E21F260-5F0C-4D3F-BBDD-448EB42FB6A9}"/>
  <tableColumns count="2">
    <tableColumn id="1" xr3:uid="{C8517F81-BA04-4DAF-9A77-321A851BB492}" name="Instant" dataDxfId="34"/>
    <tableColumn id="2" xr3:uid="{711CA896-6D5D-49E0-9367-761E4C7C682B}" name="Total Registered" dataDxfId="33">
      <calculatedColumnFormula>INDEX($P$2:$P$391,MATCH($AB$6,$A$2:$A$391,0))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A2B3D5-649D-47F2-9753-E223EDCAF461}" name="Table9" displayName="Table9" ref="A1:R391" totalsRowShown="0" headerRowDxfId="32" dataDxfId="31">
  <autoFilter ref="A1:R391" xr:uid="{DCA2B3D5-649D-47F2-9753-E223EDCAF461}"/>
  <tableColumns count="18">
    <tableColumn id="1" xr3:uid="{B0F6FF80-C689-458B-B29F-B34C0D65F941}" name="instant" dataDxfId="30"/>
    <tableColumn id="2" xr3:uid="{B5D3CA33-1692-4853-93D4-BB84D48943A1}" name="dteday" dataDxfId="29"/>
    <tableColumn id="3" xr3:uid="{23F0E76B-651E-476A-AE2B-6CCF57A9DAF9}" name="season" dataDxfId="28"/>
    <tableColumn id="4" xr3:uid="{F82A39AD-F717-4A1C-AEF1-6B72EA2A3F84}" name="yr" dataDxfId="27"/>
    <tableColumn id="5" xr3:uid="{AF8C0F28-59AF-4A53-A05C-C5C872DF6ECA}" name="mnth" dataDxfId="26"/>
    <tableColumn id="6" xr3:uid="{1D4443E4-E839-43D6-A714-B61C5223FF8D}" name="hr" dataDxfId="25"/>
    <tableColumn id="7" xr3:uid="{6184EB4A-3786-4AF4-BFDA-641560FFAFCF}" name="holiday" dataDxfId="24"/>
    <tableColumn id="8" xr3:uid="{0921BC31-8348-4C34-8CBF-A89BD9F6CB6D}" name="weekday" dataDxfId="23"/>
    <tableColumn id="9" xr3:uid="{86EBD157-D556-4B6D-BA33-523BD5450230}" name="weathersit" dataDxfId="22"/>
    <tableColumn id="10" xr3:uid="{87191EBC-B0BE-4BE8-88C9-E9F6A258A561}" name="temp" dataDxfId="21"/>
    <tableColumn id="11" xr3:uid="{032DF7DE-427B-4716-A8E3-9C173E615724}" name="atemp" dataDxfId="20"/>
    <tableColumn id="12" xr3:uid="{3EFF9910-6D9E-4B76-A940-3EBCC424CB54}" name="hum" dataDxfId="19"/>
    <tableColumn id="13" xr3:uid="{4D12EA5F-7B02-4D8B-B4BC-0D4C91A3CCCC}" name="windspeed" dataDxfId="18"/>
    <tableColumn id="14" xr3:uid="{B58A5F61-09AC-4E09-8711-C7F2E5AA1E9E}" name="casual" dataDxfId="17"/>
    <tableColumn id="15" xr3:uid="{A792565C-451C-4647-A855-FD5685ED15C9}" name="registered" dataDxfId="16"/>
    <tableColumn id="16" xr3:uid="{E123D4DE-BDE3-4A41-8D05-89C79729039C}" name="cnt" dataDxfId="15"/>
    <tableColumn id="17" xr3:uid="{0187468B-1FFE-4EF9-93C5-2FDB24042607}" name="time">
      <calculatedColumnFormula array="1">_xlfn.IFS(F2&lt;=12,"morning",F2&lt;=18,"afternoon",F2&lt;=24,"night")</calculatedColumnFormula>
    </tableColumn>
    <tableColumn id="18" xr3:uid="{54BB4FEF-6E36-4912-BC60-00957F416377}" name="day">
      <calculatedColumnFormula>TEXT(B2,"dddd")</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8D2FB6-FFDD-422D-8639-3EE4A2C73ACA}" name="Table6" displayName="Table6" ref="A1:E43" totalsRowShown="0">
  <autoFilter ref="A1:E43" xr:uid="{0B8D2FB6-FFDD-422D-8639-3EE4A2C73ACA}"/>
  <tableColumns count="5">
    <tableColumn id="1" xr3:uid="{084628AF-1DCB-4363-A667-90BAEE887319}" name="dteday" dataDxfId="14"/>
    <tableColumn id="2" xr3:uid="{504E3C0B-13ED-4A24-AA97-82899C63B2B6}" name="cnt"/>
    <tableColumn id="3" xr3:uid="{E2B0A898-7617-4B5E-A88E-5181686ACF1E}" name="Forecast(cnt)">
      <calculatedColumnFormula>_xlfn.FORECAST.ETS(A2,$B$2:$B$29,$A$2:$A$29,1,1)</calculatedColumnFormula>
    </tableColumn>
    <tableColumn id="4" xr3:uid="{F9CEB056-360E-49AF-BC7D-A9A36BFCD033}" name="Lower Confidence Bound(cnt)" dataDxfId="13">
      <calculatedColumnFormula>C2-_xlfn.FORECAST.ETS.CONFINT(A2,$B$2:$B$29,$A$2:$A$29,0.95,1,1)</calculatedColumnFormula>
    </tableColumn>
    <tableColumn id="5" xr3:uid="{83BCA394-B0A9-4BF1-B2B7-356A0B9892BA}" name="Upper Confidence Bound(cnt)" dataDxfId="12">
      <calculatedColumnFormula>C2+_xlfn.FORECAST.ETS.CONFINT(A2,$B$2:$B$29,$A$2:$A$29,0.95,1,1)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BA5572-B260-4E2F-AC13-C9858069BC51}" name="Append4" displayName="Append4" ref="A1:T1001" tableType="queryTable" totalsRowShown="0">
  <autoFilter ref="A1:T1001" xr:uid="{99BA5572-B260-4E2F-AC13-C9858069BC51}"/>
  <tableColumns count="20">
    <tableColumn id="1" xr3:uid="{1C1497B1-0184-4ED7-AE10-23B6C753CECD}" uniqueName="1" name="instant" queryTableFieldId="1"/>
    <tableColumn id="2" xr3:uid="{967ABC80-93D7-4315-BAAF-1CF537C74A35}" uniqueName="2" name="dteday" queryTableFieldId="2" dataDxfId="11"/>
    <tableColumn id="3" xr3:uid="{CE305A8F-BE76-4461-8EF8-398D1E67116E}" uniqueName="3" name="season" queryTableFieldId="3"/>
    <tableColumn id="4" xr3:uid="{2FDB5451-9301-4FBF-8863-FFA08E8869AD}" uniqueName="4" name="yr" queryTableFieldId="4"/>
    <tableColumn id="5" xr3:uid="{A0B32B94-72A2-4A04-9F52-EA98F3ABBEB2}" uniqueName="5" name="mnth" queryTableFieldId="5"/>
    <tableColumn id="6" xr3:uid="{6CD2AD9E-DB61-426E-AF42-4B800D8357E4}" uniqueName="6" name="hr" queryTableFieldId="6"/>
    <tableColumn id="7" xr3:uid="{CF7D1E26-C553-4C62-BA2B-F90A383C72EB}" uniqueName="7" name="holiday" queryTableFieldId="7"/>
    <tableColumn id="8" xr3:uid="{4889295E-D38D-4864-91E7-4C3458E65237}" uniqueName="8" name="weekday" queryTableFieldId="8"/>
    <tableColumn id="9" xr3:uid="{FAB4B11B-2F87-4D2D-9BE5-7C38D98D2DEA}" uniqueName="9" name="weathersit" queryTableFieldId="9"/>
    <tableColumn id="10" xr3:uid="{3D0BB23C-048C-4800-B043-39AA491E5B58}" uniqueName="10" name="temp" queryTableFieldId="10"/>
    <tableColumn id="11" xr3:uid="{4C987459-6FD9-49F6-8E10-69768CF0DC2B}" uniqueName="11" name="atemp" queryTableFieldId="11"/>
    <tableColumn id="12" xr3:uid="{EE9C781F-D48E-47C8-8641-B195539039F9}" uniqueName="12" name="hum" queryTableFieldId="12"/>
    <tableColumn id="13" xr3:uid="{70F7F082-C229-4412-89C1-84456453B504}" uniqueName="13" name="windspeed" queryTableFieldId="13"/>
    <tableColumn id="14" xr3:uid="{9C83020B-9544-4AE7-B66C-F7526196FA4C}" uniqueName="14" name="casual" queryTableFieldId="14"/>
    <tableColumn id="15" xr3:uid="{35A791C2-041B-49E4-B6A1-DEBF514E8893}" uniqueName="15" name="registered" queryTableFieldId="15"/>
    <tableColumn id="16" xr3:uid="{62464480-F1A1-48FD-A9C0-2360DF8DC68D}" uniqueName="16" name="cnt" queryTableFieldId="16"/>
    <tableColumn id="17" xr3:uid="{22B45351-7BDB-4196-A0DC-1DCBA244B3C8}" uniqueName="17" name="time" queryTableFieldId="17" dataDxfId="10"/>
    <tableColumn id="18" xr3:uid="{B046AEC7-7E26-41FF-9D97-294155CBF6FC}" uniqueName="18" name="day" queryTableFieldId="18" dataDxfId="9"/>
    <tableColumn id="19" xr3:uid="{60A3F9D3-92D1-4D4D-BBD0-6412522865FD}" uniqueName="19" name="Day2" queryTableFieldId="19" dataDxfId="8"/>
    <tableColumn id="20" xr3:uid="{65D09AEF-A2C2-4DC8-AAEC-D8EED106422F}" uniqueName="20" name="Shift" queryTableFieldId="20"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2.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64C4-939A-4BD0-BA49-B16CC017657C}">
  <dimension ref="A1:Y611"/>
  <sheetViews>
    <sheetView workbookViewId="0">
      <selection activeCell="I1" sqref="I1:I1048576"/>
    </sheetView>
  </sheetViews>
  <sheetFormatPr defaultRowHeight="14.4" x14ac:dyDescent="0.3"/>
  <cols>
    <col min="1" max="1" width="12.109375" customWidth="1"/>
    <col min="2" max="2" width="12" customWidth="1"/>
    <col min="3" max="3" width="8.44140625" customWidth="1"/>
    <col min="4" max="4" width="10.5546875" customWidth="1"/>
    <col min="5" max="5" width="11.6640625" customWidth="1"/>
    <col min="6" max="6" width="14.77734375" customWidth="1"/>
    <col min="7" max="7" width="10.77734375" customWidth="1"/>
    <col min="10" max="10" width="13.44140625" customWidth="1"/>
    <col min="12" max="12" width="14.77734375" customWidth="1"/>
    <col min="18" max="18" width="13.44140625" customWidth="1"/>
    <col min="19" max="19" width="16.88671875" customWidth="1"/>
    <col min="23" max="23" width="10" customWidth="1"/>
    <col min="24" max="24" width="11.33203125" customWidth="1"/>
    <col min="25" max="25" width="10.44140625" customWidth="1"/>
  </cols>
  <sheetData>
    <row r="1" spans="1:25" ht="16.2" thickBot="1" x14ac:dyDescent="0.35">
      <c r="A1" s="8" t="s">
        <v>0</v>
      </c>
      <c r="B1" s="8" t="s">
        <v>1</v>
      </c>
      <c r="C1" s="8" t="s">
        <v>5</v>
      </c>
      <c r="D1" s="8" t="s">
        <v>6</v>
      </c>
      <c r="E1" s="8" t="s">
        <v>7</v>
      </c>
      <c r="F1" s="8" t="s">
        <v>8</v>
      </c>
      <c r="G1" s="8" t="s">
        <v>9</v>
      </c>
      <c r="H1" s="9" t="s">
        <v>17</v>
      </c>
      <c r="I1" s="7" t="s">
        <v>76</v>
      </c>
      <c r="J1" s="7" t="s">
        <v>13</v>
      </c>
      <c r="K1" s="7" t="s">
        <v>14</v>
      </c>
      <c r="L1" s="7" t="s">
        <v>15</v>
      </c>
      <c r="M1" s="10" t="s">
        <v>16</v>
      </c>
      <c r="N1" s="11" t="s">
        <v>28</v>
      </c>
      <c r="O1" s="11"/>
    </row>
    <row r="2" spans="1:25" x14ac:dyDescent="0.3">
      <c r="A2" s="3">
        <v>1</v>
      </c>
      <c r="B2" s="4">
        <v>40544</v>
      </c>
      <c r="C2" s="3">
        <v>0</v>
      </c>
      <c r="D2" s="3" t="b">
        <v>0</v>
      </c>
      <c r="E2" s="3">
        <v>6</v>
      </c>
      <c r="F2" s="3">
        <v>1</v>
      </c>
      <c r="G2" s="3">
        <v>0.24</v>
      </c>
      <c r="H2" t="str">
        <f>TEXT(B2,"ddd")</f>
        <v>Sat</v>
      </c>
      <c r="I2">
        <f t="shared" ref="I2:I65" si="0">VLOOKUP($A2,instantc,3,FALSE)</f>
        <v>0.28789999999999999</v>
      </c>
      <c r="J2">
        <f t="shared" ref="J2:J65" si="1">VLOOKUP($A2,instantc,4,FALSE)</f>
        <v>0.81</v>
      </c>
      <c r="K2">
        <f t="shared" ref="K2:K65" si="2">VLOOKUP($A2,instantc,5,FALSE)</f>
        <v>0</v>
      </c>
      <c r="L2">
        <f t="shared" ref="L2:L65" si="3">VLOOKUP($A2,instantc,6,FALSE)</f>
        <v>3</v>
      </c>
      <c r="M2">
        <f t="shared" ref="M2:M65" si="4">VLOOKUP($A2,instantc,7,FALSE)</f>
        <v>13</v>
      </c>
      <c r="N2" t="str">
        <f>IF(AND(C2&gt;=6,C2&lt;=18),"Day Shift","Night shift")</f>
        <v>Night shift</v>
      </c>
    </row>
    <row r="3" spans="1:25" x14ac:dyDescent="0.3">
      <c r="A3" s="3">
        <v>2</v>
      </c>
      <c r="B3" s="4">
        <v>40544</v>
      </c>
      <c r="C3" s="3">
        <v>1</v>
      </c>
      <c r="D3" s="3" t="b">
        <v>0</v>
      </c>
      <c r="E3" s="3">
        <v>6</v>
      </c>
      <c r="F3" s="3">
        <v>1</v>
      </c>
      <c r="G3" s="3">
        <v>0.22</v>
      </c>
      <c r="H3" t="str">
        <f t="shared" ref="H3:H66" si="5">TEXT(B3,"ddd")</f>
        <v>Sat</v>
      </c>
      <c r="I3">
        <f t="shared" si="0"/>
        <v>0.2727</v>
      </c>
      <c r="J3">
        <f t="shared" si="1"/>
        <v>0.8</v>
      </c>
      <c r="K3">
        <f t="shared" si="2"/>
        <v>0</v>
      </c>
      <c r="L3">
        <f t="shared" si="3"/>
        <v>8</v>
      </c>
      <c r="M3">
        <f t="shared" si="4"/>
        <v>32</v>
      </c>
      <c r="N3" t="str">
        <f>IF(AND(C3&gt;=6,C3&lt;=18),"Day Shift","Night shift")</f>
        <v>Night shift</v>
      </c>
      <c r="Q3" t="s">
        <v>17</v>
      </c>
      <c r="R3" t="s">
        <v>18</v>
      </c>
      <c r="S3" t="s">
        <v>27</v>
      </c>
      <c r="T3" t="s">
        <v>19</v>
      </c>
      <c r="V3" t="s">
        <v>17</v>
      </c>
      <c r="W3" t="s">
        <v>30</v>
      </c>
      <c r="X3" t="s">
        <v>29</v>
      </c>
      <c r="Y3" t="s">
        <v>31</v>
      </c>
    </row>
    <row r="4" spans="1:25" x14ac:dyDescent="0.3">
      <c r="A4" s="3">
        <v>3</v>
      </c>
      <c r="B4" s="4">
        <v>40544</v>
      </c>
      <c r="C4" s="3">
        <v>2</v>
      </c>
      <c r="D4" s="3" t="b">
        <v>0</v>
      </c>
      <c r="E4" s="3">
        <v>6</v>
      </c>
      <c r="F4" s="3">
        <v>1</v>
      </c>
      <c r="G4" s="3">
        <v>0.22</v>
      </c>
      <c r="H4" t="str">
        <f t="shared" si="5"/>
        <v>Sat</v>
      </c>
      <c r="I4">
        <f t="shared" si="0"/>
        <v>0.2727</v>
      </c>
      <c r="J4">
        <f t="shared" si="1"/>
        <v>0.8</v>
      </c>
      <c r="K4">
        <f t="shared" si="2"/>
        <v>0</v>
      </c>
      <c r="L4">
        <f t="shared" si="3"/>
        <v>5</v>
      </c>
      <c r="M4">
        <f t="shared" si="4"/>
        <v>27</v>
      </c>
      <c r="N4" t="str">
        <f>IF(AND(C4&gt;=6,C4&lt;=18),"Day Shift","Night shift")</f>
        <v>Night shift</v>
      </c>
      <c r="Q4" t="s">
        <v>20</v>
      </c>
      <c r="R4">
        <f t="shared" ref="R4:R10" si="6">SUMIF($H$2:$H$611,Q4,K2:K611)</f>
        <v>15.090000000000003</v>
      </c>
      <c r="S4">
        <f t="shared" ref="S4:S10" si="7">SUMIF($H$2:$H$611,Q4,L2:L611)</f>
        <v>482</v>
      </c>
      <c r="T4">
        <f t="shared" ref="T4:T10" si="8">SUM(R4,S4)</f>
        <v>497.09000000000003</v>
      </c>
      <c r="V4" t="s">
        <v>20</v>
      </c>
      <c r="W4">
        <f>COUNTIFS($N$2:$N$611,W$3,H2:$H$611,$V4)</f>
        <v>45</v>
      </c>
      <c r="X4">
        <f>COUNTIFS($N$2:$N$611,$X$3,$H$2:$H$611,V4)</f>
        <v>39</v>
      </c>
      <c r="Y4">
        <f>SUM(W4:X4)</f>
        <v>84</v>
      </c>
    </row>
    <row r="5" spans="1:25" x14ac:dyDescent="0.3">
      <c r="A5" s="3">
        <v>4</v>
      </c>
      <c r="B5" s="4">
        <v>40544</v>
      </c>
      <c r="C5" s="3">
        <v>3</v>
      </c>
      <c r="D5" s="3" t="b">
        <v>0</v>
      </c>
      <c r="E5" s="3">
        <v>6</v>
      </c>
      <c r="F5" s="3">
        <v>1</v>
      </c>
      <c r="G5" s="3">
        <v>0.24</v>
      </c>
      <c r="H5" t="str">
        <f t="shared" si="5"/>
        <v>Sat</v>
      </c>
      <c r="I5">
        <f t="shared" si="0"/>
        <v>0.28789999999999999</v>
      </c>
      <c r="J5">
        <f t="shared" si="1"/>
        <v>0.75</v>
      </c>
      <c r="K5">
        <f t="shared" si="2"/>
        <v>0</v>
      </c>
      <c r="L5">
        <f t="shared" si="3"/>
        <v>3</v>
      </c>
      <c r="M5">
        <f t="shared" si="4"/>
        <v>10</v>
      </c>
      <c r="N5" t="str">
        <f>IF(AND(C5&gt;=6,C5&lt;=18),"Day Shift","Night shift")</f>
        <v>Night shift</v>
      </c>
      <c r="Q5" t="s">
        <v>21</v>
      </c>
      <c r="R5">
        <f t="shared" si="6"/>
        <v>25.119700000000002</v>
      </c>
      <c r="S5">
        <f t="shared" si="7"/>
        <v>585</v>
      </c>
      <c r="T5">
        <f t="shared" si="8"/>
        <v>610.11969999999997</v>
      </c>
      <c r="V5" t="s">
        <v>21</v>
      </c>
      <c r="W5">
        <f>COUNTIFS($N$2:$N$611,$W$3,$H$2:$H$611,V5)</f>
        <v>53</v>
      </c>
      <c r="X5">
        <f>COUNTIFS($N$2:$N$611,$X$3,$H$2:$H$611,V5)</f>
        <v>42</v>
      </c>
      <c r="Y5">
        <f t="shared" ref="Y5:Y10" si="9">SUM(W5:X5)</f>
        <v>95</v>
      </c>
    </row>
    <row r="6" spans="1:25" x14ac:dyDescent="0.3">
      <c r="A6" s="3">
        <v>5</v>
      </c>
      <c r="B6" s="4">
        <v>40544</v>
      </c>
      <c r="C6" s="3">
        <v>4</v>
      </c>
      <c r="D6" s="3" t="b">
        <v>0</v>
      </c>
      <c r="E6" s="3">
        <v>6</v>
      </c>
      <c r="F6" s="3">
        <v>1</v>
      </c>
      <c r="G6" s="3">
        <v>0.24</v>
      </c>
      <c r="H6" t="str">
        <f t="shared" si="5"/>
        <v>Sat</v>
      </c>
      <c r="I6">
        <f t="shared" si="0"/>
        <v>0.28789999999999999</v>
      </c>
      <c r="J6">
        <f t="shared" si="1"/>
        <v>0.75</v>
      </c>
      <c r="K6">
        <f t="shared" si="2"/>
        <v>0</v>
      </c>
      <c r="L6">
        <f t="shared" si="3"/>
        <v>0</v>
      </c>
      <c r="M6">
        <f t="shared" si="4"/>
        <v>1</v>
      </c>
      <c r="N6" t="str">
        <f>IF(AND(C6&gt;=6,C6&lt;=18),"Day Shift","Night shift")</f>
        <v>Night shift</v>
      </c>
      <c r="Q6" t="s">
        <v>22</v>
      </c>
      <c r="R6">
        <f t="shared" si="6"/>
        <v>19</v>
      </c>
      <c r="S6">
        <f t="shared" si="7"/>
        <v>422</v>
      </c>
      <c r="T6">
        <f t="shared" si="8"/>
        <v>441</v>
      </c>
      <c r="V6" t="s">
        <v>22</v>
      </c>
      <c r="W6">
        <f>COUNTIFS($N$2:$N$611,$W$3,$H$2:$H$611,V6)</f>
        <v>54</v>
      </c>
      <c r="X6">
        <f>COUNTIFS($N$2:$N$611,$X$3,$H$2:$H$611,V6)</f>
        <v>41</v>
      </c>
      <c r="Y6">
        <f t="shared" si="9"/>
        <v>95</v>
      </c>
    </row>
    <row r="7" spans="1:25" x14ac:dyDescent="0.3">
      <c r="A7" s="3">
        <v>6</v>
      </c>
      <c r="B7" s="4">
        <v>40544</v>
      </c>
      <c r="C7" s="3">
        <v>5</v>
      </c>
      <c r="D7" s="3" t="b">
        <v>0</v>
      </c>
      <c r="E7" s="3">
        <v>6</v>
      </c>
      <c r="F7" s="3">
        <v>2</v>
      </c>
      <c r="G7" s="3">
        <v>0.24</v>
      </c>
      <c r="H7" t="str">
        <f t="shared" si="5"/>
        <v>Sat</v>
      </c>
      <c r="I7">
        <f t="shared" si="0"/>
        <v>0.2576</v>
      </c>
      <c r="J7">
        <f t="shared" si="1"/>
        <v>0.75</v>
      </c>
      <c r="K7">
        <f t="shared" si="2"/>
        <v>8.9599999999999999E-2</v>
      </c>
      <c r="L7">
        <f t="shared" si="3"/>
        <v>0</v>
      </c>
      <c r="M7">
        <f t="shared" si="4"/>
        <v>1</v>
      </c>
      <c r="N7" t="str">
        <f>IF(AND(C7&gt;=6,C7&lt;=18),"Day Shift","Night shift")</f>
        <v>Night shift</v>
      </c>
      <c r="Q7" t="s">
        <v>23</v>
      </c>
      <c r="R7">
        <f t="shared" si="6"/>
        <v>10.687299999999997</v>
      </c>
      <c r="S7">
        <f t="shared" si="7"/>
        <v>397</v>
      </c>
      <c r="T7">
        <f t="shared" si="8"/>
        <v>407.68729999999999</v>
      </c>
      <c r="V7" t="s">
        <v>23</v>
      </c>
      <c r="W7">
        <f>COUNTIFS($N$2:$N$611,$W$3,$H$2:$H$611,V7)</f>
        <v>47</v>
      </c>
      <c r="X7">
        <f>COUNTIFS($N$2:$N$611,$X$3,$H$2:$H$611,V7)</f>
        <v>35</v>
      </c>
      <c r="Y7">
        <f t="shared" si="9"/>
        <v>82</v>
      </c>
    </row>
    <row r="8" spans="1:25" x14ac:dyDescent="0.3">
      <c r="A8" s="3">
        <v>7</v>
      </c>
      <c r="B8" s="4">
        <v>40544</v>
      </c>
      <c r="C8" s="3">
        <v>6</v>
      </c>
      <c r="D8" s="3" t="b">
        <v>0</v>
      </c>
      <c r="E8" s="3">
        <v>6</v>
      </c>
      <c r="F8" s="3">
        <v>1</v>
      </c>
      <c r="G8" s="3">
        <v>0.22</v>
      </c>
      <c r="H8" t="str">
        <f t="shared" si="5"/>
        <v>Sat</v>
      </c>
      <c r="I8">
        <f t="shared" si="0"/>
        <v>0.2727</v>
      </c>
      <c r="J8">
        <f t="shared" si="1"/>
        <v>0.8</v>
      </c>
      <c r="K8">
        <f t="shared" si="2"/>
        <v>0</v>
      </c>
      <c r="L8">
        <f t="shared" si="3"/>
        <v>2</v>
      </c>
      <c r="M8">
        <f t="shared" si="4"/>
        <v>0</v>
      </c>
      <c r="N8" t="str">
        <f>IF(AND(C8&gt;=6,C8&lt;=18),"Day Shift","Night shift")</f>
        <v>Day Shift</v>
      </c>
      <c r="Q8" t="s">
        <v>24</v>
      </c>
      <c r="R8">
        <f t="shared" si="6"/>
        <v>21.404100000000003</v>
      </c>
      <c r="S8">
        <f t="shared" si="7"/>
        <v>247</v>
      </c>
      <c r="T8">
        <f t="shared" si="8"/>
        <v>268.40410000000003</v>
      </c>
      <c r="V8" t="s">
        <v>24</v>
      </c>
      <c r="W8">
        <f>COUNTIFS($N$2:$N$611,$W$3,$H$2:$H$611,V8)</f>
        <v>52</v>
      </c>
      <c r="X8">
        <f>COUNTIFS($N$2:$N$611,$X$3,$H$2:$H$611,V8)</f>
        <v>34</v>
      </c>
      <c r="Y8">
        <f t="shared" si="9"/>
        <v>86</v>
      </c>
    </row>
    <row r="9" spans="1:25" x14ac:dyDescent="0.3">
      <c r="A9" s="3">
        <v>8</v>
      </c>
      <c r="B9" s="4">
        <v>40544</v>
      </c>
      <c r="C9" s="3">
        <v>7</v>
      </c>
      <c r="D9" s="3" t="b">
        <v>0</v>
      </c>
      <c r="E9" s="3">
        <v>6</v>
      </c>
      <c r="F9" s="3">
        <v>1</v>
      </c>
      <c r="G9" s="3">
        <v>0.2</v>
      </c>
      <c r="H9" t="str">
        <f t="shared" si="5"/>
        <v>Sat</v>
      </c>
      <c r="I9">
        <f t="shared" si="0"/>
        <v>0.2576</v>
      </c>
      <c r="J9">
        <f t="shared" si="1"/>
        <v>0.86</v>
      </c>
      <c r="K9">
        <f t="shared" si="2"/>
        <v>0</v>
      </c>
      <c r="L9">
        <f t="shared" si="3"/>
        <v>1</v>
      </c>
      <c r="M9">
        <f t="shared" si="4"/>
        <v>2</v>
      </c>
      <c r="N9" t="str">
        <f>IF(AND(C9&gt;=6,C9&lt;=18),"Day Shift","Night shift")</f>
        <v>Day Shift</v>
      </c>
      <c r="Q9" t="s">
        <v>25</v>
      </c>
      <c r="R9">
        <f t="shared" si="6"/>
        <v>15.627400000000005</v>
      </c>
      <c r="S9">
        <f t="shared" si="7"/>
        <v>219</v>
      </c>
      <c r="T9">
        <f t="shared" si="8"/>
        <v>234.62739999999999</v>
      </c>
      <c r="V9" t="s">
        <v>25</v>
      </c>
      <c r="W9">
        <f>COUNTIFS($N$2:$N$611,$W$3,$H$2:$H$611,V9)</f>
        <v>43</v>
      </c>
      <c r="X9">
        <f>COUNTIFS($N$2:$N$611,$X$3,$H$2:$H$611,V9)</f>
        <v>38</v>
      </c>
      <c r="Y9">
        <f t="shared" si="9"/>
        <v>81</v>
      </c>
    </row>
    <row r="10" spans="1:25" x14ac:dyDescent="0.3">
      <c r="A10" s="3">
        <v>9</v>
      </c>
      <c r="B10" s="4">
        <v>40544</v>
      </c>
      <c r="C10" s="3">
        <v>8</v>
      </c>
      <c r="D10" s="3" t="b">
        <v>0</v>
      </c>
      <c r="E10" s="3">
        <v>6</v>
      </c>
      <c r="F10" s="3">
        <v>1</v>
      </c>
      <c r="G10" s="3">
        <v>0.24</v>
      </c>
      <c r="H10" t="str">
        <f t="shared" si="5"/>
        <v>Sat</v>
      </c>
      <c r="I10" t="str">
        <f t="shared" si="0"/>
        <v xml:space="preserve">N/d </v>
      </c>
      <c r="J10">
        <f t="shared" si="1"/>
        <v>0.75</v>
      </c>
      <c r="K10">
        <f t="shared" si="2"/>
        <v>0</v>
      </c>
      <c r="L10">
        <f t="shared" si="3"/>
        <v>1</v>
      </c>
      <c r="M10">
        <f t="shared" si="4"/>
        <v>7</v>
      </c>
      <c r="N10" t="str">
        <f>IF(AND(C10&gt;=6,C10&lt;=18),"Day Shift","Night shift")</f>
        <v>Day Shift</v>
      </c>
      <c r="Q10" t="s">
        <v>26</v>
      </c>
      <c r="R10">
        <f t="shared" si="6"/>
        <v>16.030700000000003</v>
      </c>
      <c r="S10">
        <f t="shared" si="7"/>
        <v>295</v>
      </c>
      <c r="T10">
        <f t="shared" si="8"/>
        <v>311.03070000000002</v>
      </c>
      <c r="V10" t="s">
        <v>26</v>
      </c>
      <c r="W10">
        <f>COUNTIFS($N$2:$N$611,$W$3,$H$2:$H$611,V10)</f>
        <v>50</v>
      </c>
      <c r="X10">
        <f>COUNTIFS($N$2:$N$611,$X$3,$H$2:$H$611,V10)</f>
        <v>37</v>
      </c>
      <c r="Y10">
        <f t="shared" si="9"/>
        <v>87</v>
      </c>
    </row>
    <row r="11" spans="1:25" x14ac:dyDescent="0.3">
      <c r="A11" s="3">
        <v>10</v>
      </c>
      <c r="B11" s="4">
        <v>40544</v>
      </c>
      <c r="C11" s="3">
        <v>9</v>
      </c>
      <c r="D11" s="3" t="b">
        <v>0</v>
      </c>
      <c r="E11" s="3">
        <v>6</v>
      </c>
      <c r="F11" s="3">
        <v>1</v>
      </c>
      <c r="G11" s="3">
        <v>0.32</v>
      </c>
      <c r="H11" t="str">
        <f t="shared" si="5"/>
        <v>Sat</v>
      </c>
      <c r="I11">
        <f t="shared" si="0"/>
        <v>0.34849999999999998</v>
      </c>
      <c r="J11">
        <f t="shared" si="1"/>
        <v>0.76</v>
      </c>
      <c r="K11">
        <f t="shared" si="2"/>
        <v>0</v>
      </c>
      <c r="L11">
        <f t="shared" si="3"/>
        <v>8</v>
      </c>
      <c r="M11">
        <f t="shared" si="4"/>
        <v>6</v>
      </c>
      <c r="N11" t="str">
        <f>IF(AND(C11&gt;=6,C11&lt;=18),"Day Shift","Night shift")</f>
        <v>Day Shift</v>
      </c>
      <c r="Q11" t="s">
        <v>19</v>
      </c>
      <c r="R11">
        <f>SUM(Table1[No. of casual])</f>
        <v>122.95920000000001</v>
      </c>
      <c r="S11">
        <f>SUM(Table1[No. of Registered])</f>
        <v>2647</v>
      </c>
      <c r="T11">
        <f>SUBTOTAL(109,Table1[Total])</f>
        <v>2769.9592000000002</v>
      </c>
      <c r="W11" s="3"/>
      <c r="X11" s="3"/>
    </row>
    <row r="12" spans="1:25" x14ac:dyDescent="0.3">
      <c r="A12" s="3">
        <v>11</v>
      </c>
      <c r="B12" s="4">
        <v>40544</v>
      </c>
      <c r="C12" s="3">
        <v>10</v>
      </c>
      <c r="D12" s="3" t="b">
        <v>0</v>
      </c>
      <c r="E12" s="3">
        <v>6</v>
      </c>
      <c r="F12" s="3">
        <v>1</v>
      </c>
      <c r="G12" s="3">
        <v>0.38</v>
      </c>
      <c r="H12" t="str">
        <f t="shared" si="5"/>
        <v>Sat</v>
      </c>
      <c r="I12">
        <f t="shared" si="0"/>
        <v>0.39389999999999997</v>
      </c>
      <c r="J12">
        <f t="shared" si="1"/>
        <v>0.76</v>
      </c>
      <c r="K12">
        <f t="shared" si="2"/>
        <v>0.25369999999999998</v>
      </c>
      <c r="L12">
        <f t="shared" si="3"/>
        <v>12</v>
      </c>
      <c r="M12">
        <f t="shared" si="4"/>
        <v>24</v>
      </c>
      <c r="N12" t="str">
        <f>IF(AND(C12&gt;=6,C12&lt;=18),"Day Shift","Night shift")</f>
        <v>Day Shift</v>
      </c>
    </row>
    <row r="13" spans="1:25" x14ac:dyDescent="0.3">
      <c r="A13" s="3">
        <v>12</v>
      </c>
      <c r="B13" s="4">
        <v>40532</v>
      </c>
      <c r="C13" s="3">
        <v>11</v>
      </c>
      <c r="D13" s="3" t="b">
        <v>0</v>
      </c>
      <c r="E13" s="3">
        <v>6</v>
      </c>
      <c r="F13" s="3">
        <v>1</v>
      </c>
      <c r="G13" s="3">
        <v>0.36</v>
      </c>
      <c r="H13" t="str">
        <f t="shared" si="5"/>
        <v>Mon</v>
      </c>
      <c r="I13">
        <f t="shared" si="0"/>
        <v>0.33329999999999999</v>
      </c>
      <c r="J13">
        <f t="shared" si="1"/>
        <v>0.81</v>
      </c>
      <c r="K13">
        <f t="shared" si="2"/>
        <v>0.28360000000000002</v>
      </c>
      <c r="L13">
        <f t="shared" si="3"/>
        <v>26</v>
      </c>
      <c r="M13">
        <f t="shared" si="4"/>
        <v>30</v>
      </c>
      <c r="N13" t="str">
        <f>IF(AND(C13&gt;=6,C13&lt;=18),"Day Shift","Night shift")</f>
        <v>Day Shift</v>
      </c>
    </row>
    <row r="14" spans="1:25" x14ac:dyDescent="0.3">
      <c r="A14" s="3">
        <v>13</v>
      </c>
      <c r="B14" s="4">
        <v>40533</v>
      </c>
      <c r="C14" s="3">
        <v>12</v>
      </c>
      <c r="D14" s="3" t="b">
        <v>0</v>
      </c>
      <c r="E14" s="3">
        <v>6</v>
      </c>
      <c r="F14" s="3">
        <v>1</v>
      </c>
      <c r="G14" s="3">
        <v>0.42</v>
      </c>
      <c r="H14" t="str">
        <f t="shared" si="5"/>
        <v>Tue</v>
      </c>
      <c r="I14">
        <f t="shared" si="0"/>
        <v>0.42420000000000002</v>
      </c>
      <c r="J14">
        <f t="shared" si="1"/>
        <v>0.77</v>
      </c>
      <c r="K14">
        <f t="shared" si="2"/>
        <v>0.28360000000000002</v>
      </c>
      <c r="L14">
        <f t="shared" si="3"/>
        <v>29</v>
      </c>
      <c r="M14">
        <f t="shared" si="4"/>
        <v>55</v>
      </c>
      <c r="N14" t="str">
        <f>IF(AND(C14&gt;=6,C14&lt;=18),"Day Shift","Night shift")</f>
        <v>Day Shift</v>
      </c>
    </row>
    <row r="15" spans="1:25" x14ac:dyDescent="0.3">
      <c r="A15" s="3">
        <v>14</v>
      </c>
      <c r="B15" s="4">
        <v>40534</v>
      </c>
      <c r="C15" s="3">
        <v>13</v>
      </c>
      <c r="D15" s="3" t="b">
        <v>0</v>
      </c>
      <c r="E15" s="3">
        <v>6</v>
      </c>
      <c r="F15" s="3">
        <v>2</v>
      </c>
      <c r="G15" s="3">
        <v>0.46</v>
      </c>
      <c r="H15" t="str">
        <f t="shared" si="5"/>
        <v>Wed</v>
      </c>
      <c r="I15">
        <f t="shared" si="0"/>
        <v>0.45450000000000002</v>
      </c>
      <c r="J15">
        <f t="shared" si="1"/>
        <v>0.72</v>
      </c>
      <c r="K15">
        <f t="shared" si="2"/>
        <v>0.29849999999999999</v>
      </c>
      <c r="L15">
        <f t="shared" si="3"/>
        <v>47</v>
      </c>
      <c r="M15">
        <f t="shared" si="4"/>
        <v>47</v>
      </c>
      <c r="N15" t="str">
        <f>IF(AND(C15&gt;=6,C15&lt;=18),"Day Shift","Night shift")</f>
        <v>Day Shift</v>
      </c>
    </row>
    <row r="16" spans="1:25" x14ac:dyDescent="0.3">
      <c r="A16" s="3">
        <v>15</v>
      </c>
      <c r="B16" s="4">
        <v>40535</v>
      </c>
      <c r="C16" s="3">
        <v>14</v>
      </c>
      <c r="D16" s="3" t="b">
        <v>0</v>
      </c>
      <c r="E16" s="3">
        <v>6</v>
      </c>
      <c r="F16" s="3">
        <v>2</v>
      </c>
      <c r="G16" s="3">
        <v>0.46</v>
      </c>
      <c r="H16" t="str">
        <f t="shared" si="5"/>
        <v>Thu</v>
      </c>
      <c r="I16">
        <f t="shared" si="0"/>
        <v>0.45450000000000002</v>
      </c>
      <c r="J16">
        <f t="shared" si="1"/>
        <v>0.72</v>
      </c>
      <c r="K16">
        <f t="shared" si="2"/>
        <v>0.28360000000000002</v>
      </c>
      <c r="L16">
        <f t="shared" si="3"/>
        <v>35</v>
      </c>
      <c r="M16">
        <f t="shared" si="4"/>
        <v>71</v>
      </c>
      <c r="N16" t="str">
        <f>IF(AND(C16&gt;=6,C16&lt;=18),"Day Shift","Night shift")</f>
        <v>Day Shift</v>
      </c>
    </row>
    <row r="17" spans="1:14" x14ac:dyDescent="0.3">
      <c r="A17" s="3">
        <v>16</v>
      </c>
      <c r="B17" s="4">
        <v>40536</v>
      </c>
      <c r="C17" s="3">
        <v>15</v>
      </c>
      <c r="D17" s="3" t="b">
        <v>0</v>
      </c>
      <c r="E17" s="3">
        <v>6</v>
      </c>
      <c r="F17" s="3">
        <v>2</v>
      </c>
      <c r="G17" s="3">
        <v>0.44</v>
      </c>
      <c r="H17" t="str">
        <f t="shared" si="5"/>
        <v>Fri</v>
      </c>
      <c r="I17">
        <f t="shared" si="0"/>
        <v>0.43940000000000001</v>
      </c>
      <c r="J17">
        <f t="shared" si="1"/>
        <v>0.77</v>
      </c>
      <c r="K17">
        <f t="shared" si="2"/>
        <v>0.29849999999999999</v>
      </c>
      <c r="L17">
        <f t="shared" si="3"/>
        <v>40</v>
      </c>
      <c r="M17">
        <f t="shared" si="4"/>
        <v>70</v>
      </c>
      <c r="N17" t="str">
        <f>IF(AND(C17&gt;=6,C17&lt;=18),"Day Shift","Night shift")</f>
        <v>Day Shift</v>
      </c>
    </row>
    <row r="18" spans="1:14" x14ac:dyDescent="0.3">
      <c r="A18" s="3">
        <v>17</v>
      </c>
      <c r="B18" s="4">
        <v>40537</v>
      </c>
      <c r="C18" s="3">
        <v>16</v>
      </c>
      <c r="D18" s="3" t="b">
        <v>0</v>
      </c>
      <c r="E18" s="3">
        <v>6</v>
      </c>
      <c r="F18" s="3">
        <v>2</v>
      </c>
      <c r="G18" s="3">
        <v>0.42</v>
      </c>
      <c r="H18" t="str">
        <f t="shared" si="5"/>
        <v>Sat</v>
      </c>
      <c r="I18">
        <f t="shared" si="0"/>
        <v>0.42420000000000002</v>
      </c>
      <c r="J18">
        <f t="shared" si="1"/>
        <v>0.82</v>
      </c>
      <c r="K18">
        <f t="shared" si="2"/>
        <v>0.29849999999999999</v>
      </c>
      <c r="L18">
        <f t="shared" si="3"/>
        <v>41</v>
      </c>
      <c r="M18">
        <f t="shared" si="4"/>
        <v>52</v>
      </c>
      <c r="N18" t="str">
        <f>IF(AND(C18&gt;=6,C18&lt;=18),"Day Shift","Night shift")</f>
        <v>Day Shift</v>
      </c>
    </row>
    <row r="19" spans="1:14" x14ac:dyDescent="0.3">
      <c r="A19" s="3">
        <v>18</v>
      </c>
      <c r="B19" s="4">
        <v>40538</v>
      </c>
      <c r="C19" s="3">
        <v>17</v>
      </c>
      <c r="D19" s="3" t="b">
        <v>0</v>
      </c>
      <c r="E19" s="3">
        <v>6</v>
      </c>
      <c r="F19" s="3">
        <v>2</v>
      </c>
      <c r="G19" s="3">
        <v>0.44</v>
      </c>
      <c r="H19" t="str">
        <f t="shared" si="5"/>
        <v>Sun</v>
      </c>
      <c r="I19" t="str">
        <f t="shared" si="0"/>
        <v xml:space="preserve">N/d </v>
      </c>
      <c r="J19">
        <f t="shared" si="1"/>
        <v>0.82</v>
      </c>
      <c r="K19">
        <f t="shared" si="2"/>
        <v>0.28360000000000002</v>
      </c>
      <c r="L19">
        <f t="shared" si="3"/>
        <v>15</v>
      </c>
      <c r="M19">
        <f t="shared" si="4"/>
        <v>52</v>
      </c>
      <c r="N19" t="str">
        <f>IF(AND(C19&gt;=6,C19&lt;=18),"Day Shift","Night shift")</f>
        <v>Day Shift</v>
      </c>
    </row>
    <row r="20" spans="1:14" x14ac:dyDescent="0.3">
      <c r="A20" s="3">
        <v>19</v>
      </c>
      <c r="B20" s="4">
        <v>40539</v>
      </c>
      <c r="C20" s="3">
        <v>18</v>
      </c>
      <c r="D20" s="3" t="b">
        <v>0</v>
      </c>
      <c r="E20" s="3">
        <v>6</v>
      </c>
      <c r="F20" s="3">
        <v>3</v>
      </c>
      <c r="G20" s="3">
        <v>0.42</v>
      </c>
      <c r="H20" t="str">
        <f t="shared" si="5"/>
        <v>Mon</v>
      </c>
      <c r="I20">
        <f t="shared" si="0"/>
        <v>0.42420000000000002</v>
      </c>
      <c r="J20">
        <f t="shared" si="1"/>
        <v>0.88</v>
      </c>
      <c r="K20">
        <f t="shared" si="2"/>
        <v>0.25369999999999998</v>
      </c>
      <c r="L20">
        <f t="shared" si="3"/>
        <v>9</v>
      </c>
      <c r="M20">
        <f t="shared" si="4"/>
        <v>26</v>
      </c>
      <c r="N20" t="str">
        <f>IF(AND(C20&gt;=6,C20&lt;=18),"Day Shift","Night shift")</f>
        <v>Day Shift</v>
      </c>
    </row>
    <row r="21" spans="1:14" x14ac:dyDescent="0.3">
      <c r="A21" s="3">
        <v>20</v>
      </c>
      <c r="B21" s="4">
        <v>40540</v>
      </c>
      <c r="C21" s="3">
        <v>19</v>
      </c>
      <c r="D21" s="3" t="b">
        <v>0</v>
      </c>
      <c r="E21" s="3">
        <v>6</v>
      </c>
      <c r="F21" s="3">
        <v>3</v>
      </c>
      <c r="G21" s="3">
        <v>0.42</v>
      </c>
      <c r="H21" t="str">
        <f t="shared" si="5"/>
        <v>Tue</v>
      </c>
      <c r="I21">
        <f t="shared" si="0"/>
        <v>0.42420000000000002</v>
      </c>
      <c r="J21">
        <f t="shared" si="1"/>
        <v>0.88</v>
      </c>
      <c r="K21">
        <f t="shared" si="2"/>
        <v>0.25369999999999998</v>
      </c>
      <c r="L21">
        <f t="shared" si="3"/>
        <v>6</v>
      </c>
      <c r="M21">
        <f t="shared" si="4"/>
        <v>31</v>
      </c>
      <c r="N21" t="str">
        <f>IF(AND(C21&gt;=6,C21&lt;=18),"Day Shift","Night shift")</f>
        <v>Night shift</v>
      </c>
    </row>
    <row r="22" spans="1:14" x14ac:dyDescent="0.3">
      <c r="A22" s="3">
        <v>21</v>
      </c>
      <c r="B22" s="4">
        <v>40541</v>
      </c>
      <c r="C22" s="3">
        <v>20</v>
      </c>
      <c r="D22" s="3" t="b">
        <v>0</v>
      </c>
      <c r="E22" s="3">
        <v>6</v>
      </c>
      <c r="F22" s="3">
        <v>2</v>
      </c>
      <c r="G22" s="3">
        <v>0.4</v>
      </c>
      <c r="H22" t="str">
        <f t="shared" si="5"/>
        <v>Wed</v>
      </c>
      <c r="I22">
        <f t="shared" si="0"/>
        <v>0.40910000000000002</v>
      </c>
      <c r="J22">
        <f t="shared" si="1"/>
        <v>0.87</v>
      </c>
      <c r="K22">
        <f t="shared" si="2"/>
        <v>0.25369999999999998</v>
      </c>
      <c r="L22">
        <f t="shared" si="3"/>
        <v>11</v>
      </c>
      <c r="M22">
        <f t="shared" si="4"/>
        <v>25</v>
      </c>
      <c r="N22" t="str">
        <f>IF(AND(C22&gt;=6,C22&lt;=18),"Day Shift","Night shift")</f>
        <v>Night shift</v>
      </c>
    </row>
    <row r="23" spans="1:14" x14ac:dyDescent="0.3">
      <c r="A23" s="3">
        <v>22</v>
      </c>
      <c r="B23" s="4">
        <v>40542</v>
      </c>
      <c r="C23" s="3">
        <v>21</v>
      </c>
      <c r="D23" s="3" t="b">
        <v>0</v>
      </c>
      <c r="E23" s="3">
        <v>6</v>
      </c>
      <c r="F23" s="3">
        <v>2</v>
      </c>
      <c r="G23" s="3">
        <v>0.4</v>
      </c>
      <c r="H23" t="str">
        <f t="shared" si="5"/>
        <v>Thu</v>
      </c>
      <c r="I23">
        <f t="shared" si="0"/>
        <v>0.40910000000000002</v>
      </c>
      <c r="J23">
        <f t="shared" si="1"/>
        <v>0.87</v>
      </c>
      <c r="K23">
        <f t="shared" si="2"/>
        <v>0.19400000000000001</v>
      </c>
      <c r="L23">
        <f t="shared" si="3"/>
        <v>3</v>
      </c>
      <c r="M23">
        <f t="shared" si="4"/>
        <v>31</v>
      </c>
      <c r="N23" t="str">
        <f>IF(AND(C23&gt;=6,C23&lt;=18),"Day Shift","Night shift")</f>
        <v>Night shift</v>
      </c>
    </row>
    <row r="24" spans="1:14" x14ac:dyDescent="0.3">
      <c r="A24" s="3">
        <v>23</v>
      </c>
      <c r="B24" s="4">
        <v>40543</v>
      </c>
      <c r="C24" s="3">
        <v>22</v>
      </c>
      <c r="D24" s="3" t="b">
        <v>0</v>
      </c>
      <c r="E24" s="3">
        <v>6</v>
      </c>
      <c r="F24" s="3">
        <v>2</v>
      </c>
      <c r="G24" s="3">
        <v>0.4</v>
      </c>
      <c r="H24" t="str">
        <f t="shared" si="5"/>
        <v>Fri</v>
      </c>
      <c r="I24">
        <f t="shared" si="0"/>
        <v>0.40910000000000002</v>
      </c>
      <c r="J24">
        <f t="shared" si="1"/>
        <v>0.94</v>
      </c>
      <c r="K24">
        <f t="shared" si="2"/>
        <v>0.22389999999999999</v>
      </c>
      <c r="L24">
        <f t="shared" si="3"/>
        <v>11</v>
      </c>
      <c r="M24">
        <f t="shared" si="4"/>
        <v>17</v>
      </c>
      <c r="N24" t="str">
        <f>IF(AND(C24&gt;=6,C24&lt;=18),"Day Shift","Night shift")</f>
        <v>Night shift</v>
      </c>
    </row>
    <row r="25" spans="1:14" x14ac:dyDescent="0.3">
      <c r="A25" s="3">
        <v>24</v>
      </c>
      <c r="B25" s="4">
        <v>40544</v>
      </c>
      <c r="C25" s="3">
        <v>23</v>
      </c>
      <c r="D25" s="3" t="b">
        <v>0</v>
      </c>
      <c r="E25" s="3">
        <v>6</v>
      </c>
      <c r="F25" s="3">
        <v>2</v>
      </c>
      <c r="G25" s="3">
        <v>0.46</v>
      </c>
      <c r="H25" t="str">
        <f t="shared" si="5"/>
        <v>Sat</v>
      </c>
      <c r="I25" t="str">
        <f t="shared" si="0"/>
        <v xml:space="preserve">N/d </v>
      </c>
      <c r="J25">
        <f t="shared" si="1"/>
        <v>0.88</v>
      </c>
      <c r="K25">
        <f t="shared" si="2"/>
        <v>0.29849999999999999</v>
      </c>
      <c r="L25">
        <f t="shared" si="3"/>
        <v>15</v>
      </c>
      <c r="M25">
        <f t="shared" si="4"/>
        <v>24</v>
      </c>
      <c r="N25" t="str">
        <f>IF(AND(C25&gt;=6,C25&lt;=18),"Day Shift","Night shift")</f>
        <v>Night shift</v>
      </c>
    </row>
    <row r="26" spans="1:14" x14ac:dyDescent="0.3">
      <c r="A26" s="3">
        <v>25</v>
      </c>
      <c r="B26" s="4">
        <v>40545</v>
      </c>
      <c r="C26" s="3">
        <v>0</v>
      </c>
      <c r="D26" s="3" t="b">
        <v>0</v>
      </c>
      <c r="E26" s="3">
        <v>0</v>
      </c>
      <c r="F26" s="3">
        <v>2</v>
      </c>
      <c r="G26" s="3">
        <v>0.46</v>
      </c>
      <c r="H26" t="str">
        <f t="shared" si="5"/>
        <v>Sun</v>
      </c>
      <c r="I26">
        <f t="shared" si="0"/>
        <v>0.45450000000000002</v>
      </c>
      <c r="J26">
        <f t="shared" si="1"/>
        <v>0.88</v>
      </c>
      <c r="K26">
        <f t="shared" si="2"/>
        <v>0.29849999999999999</v>
      </c>
      <c r="L26">
        <f t="shared" si="3"/>
        <v>4</v>
      </c>
      <c r="M26">
        <f t="shared" si="4"/>
        <v>13</v>
      </c>
      <c r="N26" t="str">
        <f>IF(AND(C26&gt;=6,C26&lt;=18),"Day Shift","Night shift")</f>
        <v>Night shift</v>
      </c>
    </row>
    <row r="27" spans="1:14" x14ac:dyDescent="0.3">
      <c r="A27" s="3">
        <v>26</v>
      </c>
      <c r="B27" s="4">
        <v>40545</v>
      </c>
      <c r="C27" s="3">
        <v>1</v>
      </c>
      <c r="D27" s="3" t="b">
        <v>0</v>
      </c>
      <c r="E27" s="3">
        <v>0</v>
      </c>
      <c r="F27" s="3">
        <v>2</v>
      </c>
      <c r="G27" s="3">
        <v>0.44</v>
      </c>
      <c r="H27" t="str">
        <f t="shared" si="5"/>
        <v>Sun</v>
      </c>
      <c r="I27">
        <f t="shared" si="0"/>
        <v>0.43940000000000001</v>
      </c>
      <c r="J27">
        <f t="shared" si="1"/>
        <v>0.94</v>
      </c>
      <c r="K27">
        <f t="shared" si="2"/>
        <v>0.25369999999999998</v>
      </c>
      <c r="L27">
        <f t="shared" si="3"/>
        <v>1</v>
      </c>
      <c r="M27">
        <f t="shared" si="4"/>
        <v>16</v>
      </c>
      <c r="N27" t="str">
        <f>IF(AND(C27&gt;=6,C27&lt;=18),"Day Shift","Night shift")</f>
        <v>Night shift</v>
      </c>
    </row>
    <row r="28" spans="1:14" x14ac:dyDescent="0.3">
      <c r="A28" s="3">
        <v>27</v>
      </c>
      <c r="B28" s="4">
        <v>40545</v>
      </c>
      <c r="C28" s="3">
        <v>2</v>
      </c>
      <c r="D28" s="3" t="b">
        <v>0</v>
      </c>
      <c r="E28" s="3">
        <v>0</v>
      </c>
      <c r="F28" s="3">
        <v>2</v>
      </c>
      <c r="G28" s="3">
        <v>0.42</v>
      </c>
      <c r="H28" t="str">
        <f t="shared" si="5"/>
        <v>Sun</v>
      </c>
      <c r="I28">
        <f t="shared" si="0"/>
        <v>0.42420000000000002</v>
      </c>
      <c r="J28">
        <f t="shared" si="1"/>
        <v>1</v>
      </c>
      <c r="K28">
        <f t="shared" si="2"/>
        <v>0.28360000000000002</v>
      </c>
      <c r="L28">
        <f t="shared" si="3"/>
        <v>1</v>
      </c>
      <c r="M28">
        <f t="shared" si="4"/>
        <v>8</v>
      </c>
      <c r="N28" t="str">
        <f>IF(AND(C28&gt;=6,C28&lt;=18),"Day Shift","Night shift")</f>
        <v>Night shift</v>
      </c>
    </row>
    <row r="29" spans="1:14" x14ac:dyDescent="0.3">
      <c r="A29" s="3">
        <v>28</v>
      </c>
      <c r="B29" s="4">
        <v>40545</v>
      </c>
      <c r="C29" s="3">
        <v>3</v>
      </c>
      <c r="D29" s="3" t="b">
        <v>0</v>
      </c>
      <c r="E29" s="3">
        <v>0</v>
      </c>
      <c r="F29" s="3">
        <v>2</v>
      </c>
      <c r="G29" s="3">
        <v>0.46</v>
      </c>
      <c r="H29" t="str">
        <f t="shared" si="5"/>
        <v>Sun</v>
      </c>
      <c r="I29">
        <f t="shared" si="0"/>
        <v>0.45450000000000002</v>
      </c>
      <c r="J29">
        <f t="shared" si="1"/>
        <v>0.94</v>
      </c>
      <c r="K29">
        <f t="shared" si="2"/>
        <v>0.19400000000000001</v>
      </c>
      <c r="L29">
        <f t="shared" si="3"/>
        <v>2</v>
      </c>
      <c r="M29">
        <f t="shared" si="4"/>
        <v>4</v>
      </c>
      <c r="N29" t="str">
        <f>IF(AND(C29&gt;=6,C29&lt;=18),"Day Shift","Night shift")</f>
        <v>Night shift</v>
      </c>
    </row>
    <row r="30" spans="1:14" x14ac:dyDescent="0.3">
      <c r="A30" s="3">
        <v>29</v>
      </c>
      <c r="B30" s="4">
        <v>40545</v>
      </c>
      <c r="C30" s="3">
        <v>4</v>
      </c>
      <c r="D30" s="3" t="b">
        <v>0</v>
      </c>
      <c r="E30" s="3">
        <v>0</v>
      </c>
      <c r="F30" s="3">
        <v>2</v>
      </c>
      <c r="G30" s="3">
        <v>0.46</v>
      </c>
      <c r="H30" t="str">
        <f t="shared" si="5"/>
        <v>Sun</v>
      </c>
      <c r="I30" t="str">
        <f t="shared" si="0"/>
        <v xml:space="preserve">N/d </v>
      </c>
      <c r="J30">
        <f t="shared" si="1"/>
        <v>0.94</v>
      </c>
      <c r="K30">
        <f t="shared" si="2"/>
        <v>0.19400000000000001</v>
      </c>
      <c r="L30">
        <f t="shared" si="3"/>
        <v>2</v>
      </c>
      <c r="M30">
        <f t="shared" si="4"/>
        <v>1</v>
      </c>
      <c r="N30" t="str">
        <f>IF(AND(C30&gt;=6,C30&lt;=18),"Day Shift","Night shift")</f>
        <v>Night shift</v>
      </c>
    </row>
    <row r="31" spans="1:14" x14ac:dyDescent="0.3">
      <c r="A31" s="3">
        <v>30</v>
      </c>
      <c r="B31" s="4">
        <v>40545</v>
      </c>
      <c r="C31" s="3">
        <v>6</v>
      </c>
      <c r="D31" s="3" t="b">
        <v>0</v>
      </c>
      <c r="E31" s="3">
        <v>0</v>
      </c>
      <c r="F31" s="3">
        <v>3</v>
      </c>
      <c r="G31" s="3">
        <v>0.42</v>
      </c>
      <c r="H31" t="str">
        <f t="shared" si="5"/>
        <v>Sun</v>
      </c>
      <c r="I31">
        <f t="shared" si="0"/>
        <v>0.42420000000000002</v>
      </c>
      <c r="J31">
        <f t="shared" si="1"/>
        <v>0.77</v>
      </c>
      <c r="K31">
        <f t="shared" si="2"/>
        <v>0.29849999999999999</v>
      </c>
      <c r="L31">
        <f t="shared" si="3"/>
        <v>0</v>
      </c>
      <c r="M31">
        <f t="shared" si="4"/>
        <v>2</v>
      </c>
      <c r="N31" t="str">
        <f>IF(AND(C31&gt;=6,C31&lt;=18),"Day Shift","Night shift")</f>
        <v>Day Shift</v>
      </c>
    </row>
    <row r="32" spans="1:14" x14ac:dyDescent="0.3">
      <c r="A32" s="3">
        <v>31</v>
      </c>
      <c r="B32" s="4">
        <v>40545</v>
      </c>
      <c r="C32" s="3">
        <v>7</v>
      </c>
      <c r="D32" s="3" t="b">
        <v>0</v>
      </c>
      <c r="E32" s="3">
        <v>0</v>
      </c>
      <c r="F32" s="3">
        <v>2</v>
      </c>
      <c r="G32" s="3">
        <v>0.4</v>
      </c>
      <c r="H32" t="str">
        <f t="shared" si="5"/>
        <v>Sun</v>
      </c>
      <c r="I32">
        <f t="shared" si="0"/>
        <v>0.40910000000000002</v>
      </c>
      <c r="J32">
        <f t="shared" si="1"/>
        <v>0.76</v>
      </c>
      <c r="K32">
        <f t="shared" si="2"/>
        <v>0.19400000000000001</v>
      </c>
      <c r="L32">
        <f t="shared" si="3"/>
        <v>0</v>
      </c>
      <c r="M32">
        <f t="shared" si="4"/>
        <v>1</v>
      </c>
      <c r="N32" t="str">
        <f>IF(AND(C32&gt;=6,C32&lt;=18),"Day Shift","Night shift")</f>
        <v>Day Shift</v>
      </c>
    </row>
    <row r="33" spans="1:14" x14ac:dyDescent="0.3">
      <c r="A33" s="3">
        <v>32</v>
      </c>
      <c r="B33" s="4">
        <v>40545</v>
      </c>
      <c r="C33" s="3">
        <v>8</v>
      </c>
      <c r="D33" s="3" t="b">
        <v>0</v>
      </c>
      <c r="E33" s="3">
        <v>0</v>
      </c>
      <c r="F33" s="3">
        <v>3</v>
      </c>
      <c r="G33" s="3">
        <v>0.4</v>
      </c>
      <c r="H33" t="str">
        <f t="shared" si="5"/>
        <v>Sun</v>
      </c>
      <c r="I33">
        <f t="shared" si="0"/>
        <v>0.40910000000000002</v>
      </c>
      <c r="J33">
        <f t="shared" si="1"/>
        <v>0.71</v>
      </c>
      <c r="K33">
        <f t="shared" si="2"/>
        <v>0.22389999999999999</v>
      </c>
      <c r="L33">
        <f t="shared" si="3"/>
        <v>0</v>
      </c>
      <c r="M33">
        <f t="shared" si="4"/>
        <v>8</v>
      </c>
      <c r="N33" t="str">
        <f>IF(AND(C33&gt;=6,C33&lt;=18),"Day Shift","Night shift")</f>
        <v>Day Shift</v>
      </c>
    </row>
    <row r="34" spans="1:14" x14ac:dyDescent="0.3">
      <c r="A34" s="3">
        <v>33</v>
      </c>
      <c r="B34" s="4">
        <v>40545</v>
      </c>
      <c r="C34" s="3">
        <v>9</v>
      </c>
      <c r="D34" s="3" t="b">
        <v>0</v>
      </c>
      <c r="E34" s="3">
        <v>0</v>
      </c>
      <c r="F34" s="3">
        <v>2</v>
      </c>
      <c r="G34" s="3">
        <v>0.38</v>
      </c>
      <c r="H34" t="str">
        <f t="shared" si="5"/>
        <v>Sun</v>
      </c>
      <c r="I34" t="str">
        <f t="shared" si="0"/>
        <v xml:space="preserve">N/d </v>
      </c>
      <c r="J34">
        <f t="shared" si="1"/>
        <v>0.76</v>
      </c>
      <c r="K34">
        <f t="shared" si="2"/>
        <v>0.22389999999999999</v>
      </c>
      <c r="L34">
        <f t="shared" si="3"/>
        <v>1</v>
      </c>
      <c r="M34">
        <f t="shared" si="4"/>
        <v>19</v>
      </c>
      <c r="N34" t="str">
        <f>IF(AND(C34&gt;=6,C34&lt;=18),"Day Shift","Night shift")</f>
        <v>Day Shift</v>
      </c>
    </row>
    <row r="35" spans="1:14" x14ac:dyDescent="0.3">
      <c r="A35" s="3">
        <v>34</v>
      </c>
      <c r="B35" s="4">
        <v>40545</v>
      </c>
      <c r="C35" s="3">
        <v>10</v>
      </c>
      <c r="D35" s="3" t="b">
        <v>0</v>
      </c>
      <c r="E35" s="3">
        <v>0</v>
      </c>
      <c r="F35" s="3">
        <v>2</v>
      </c>
      <c r="G35" s="3">
        <v>0.36</v>
      </c>
      <c r="H35" t="str">
        <f t="shared" si="5"/>
        <v>Sun</v>
      </c>
      <c r="I35">
        <f t="shared" si="0"/>
        <v>0.34849999999999998</v>
      </c>
      <c r="J35">
        <f t="shared" si="1"/>
        <v>0.81</v>
      </c>
      <c r="K35">
        <f t="shared" si="2"/>
        <v>0.22389999999999999</v>
      </c>
      <c r="L35">
        <f t="shared" si="3"/>
        <v>7</v>
      </c>
      <c r="M35">
        <f t="shared" si="4"/>
        <v>46</v>
      </c>
      <c r="N35" t="str">
        <f>IF(AND(C35&gt;=6,C35&lt;=18),"Day Shift","Night shift")</f>
        <v>Day Shift</v>
      </c>
    </row>
    <row r="36" spans="1:14" x14ac:dyDescent="0.3">
      <c r="A36" s="3">
        <v>35</v>
      </c>
      <c r="B36" s="4">
        <v>40545</v>
      </c>
      <c r="C36" s="3">
        <v>11</v>
      </c>
      <c r="D36" s="3" t="b">
        <v>0</v>
      </c>
      <c r="E36" s="3">
        <v>0</v>
      </c>
      <c r="F36" s="3">
        <v>2</v>
      </c>
      <c r="G36" s="3">
        <v>0.36</v>
      </c>
      <c r="H36" t="str">
        <f t="shared" si="5"/>
        <v>Sun</v>
      </c>
      <c r="I36">
        <f t="shared" si="0"/>
        <v>0.33329999999999999</v>
      </c>
      <c r="J36">
        <f t="shared" si="1"/>
        <v>0.71</v>
      </c>
      <c r="K36">
        <f t="shared" si="2"/>
        <v>0.25369999999999998</v>
      </c>
      <c r="L36">
        <f t="shared" si="3"/>
        <v>16</v>
      </c>
      <c r="M36">
        <f t="shared" si="4"/>
        <v>54</v>
      </c>
      <c r="N36" t="str">
        <f>IF(AND(C36&gt;=6,C36&lt;=18),"Day Shift","Night shift")</f>
        <v>Day Shift</v>
      </c>
    </row>
    <row r="37" spans="1:14" x14ac:dyDescent="0.3">
      <c r="A37" s="3">
        <v>36</v>
      </c>
      <c r="B37" s="4">
        <v>40545</v>
      </c>
      <c r="C37" s="3">
        <v>12</v>
      </c>
      <c r="D37" s="3" t="b">
        <v>0</v>
      </c>
      <c r="E37" s="3">
        <v>0</v>
      </c>
      <c r="F37" s="3">
        <v>2</v>
      </c>
      <c r="G37" s="3">
        <v>0.36</v>
      </c>
      <c r="H37" t="str">
        <f t="shared" si="5"/>
        <v>Sun</v>
      </c>
      <c r="I37">
        <f t="shared" si="0"/>
        <v>0.33329999999999999</v>
      </c>
      <c r="J37">
        <f t="shared" si="1"/>
        <v>0.66</v>
      </c>
      <c r="K37">
        <f t="shared" si="2"/>
        <v>0.29849999999999999</v>
      </c>
      <c r="L37">
        <f t="shared" si="3"/>
        <v>20</v>
      </c>
      <c r="M37">
        <f t="shared" si="4"/>
        <v>73</v>
      </c>
      <c r="N37" t="str">
        <f>IF(AND(C37&gt;=6,C37&lt;=18),"Day Shift","Night shift")</f>
        <v>Day Shift</v>
      </c>
    </row>
    <row r="38" spans="1:14" x14ac:dyDescent="0.3">
      <c r="A38" s="3">
        <v>37</v>
      </c>
      <c r="B38" s="4">
        <v>40545</v>
      </c>
      <c r="C38" s="3">
        <v>13</v>
      </c>
      <c r="D38" s="3" t="b">
        <v>0</v>
      </c>
      <c r="E38" s="3">
        <v>0</v>
      </c>
      <c r="F38" s="3">
        <v>2</v>
      </c>
      <c r="G38" s="3">
        <v>0.36</v>
      </c>
      <c r="H38" t="str">
        <f t="shared" si="5"/>
        <v>Sun</v>
      </c>
      <c r="I38">
        <f t="shared" si="0"/>
        <v>0.34849999999999998</v>
      </c>
      <c r="J38">
        <f t="shared" si="1"/>
        <v>0.66</v>
      </c>
      <c r="K38">
        <f t="shared" si="2"/>
        <v>0.1343</v>
      </c>
      <c r="L38">
        <f t="shared" si="3"/>
        <v>11</v>
      </c>
      <c r="M38">
        <f t="shared" si="4"/>
        <v>64</v>
      </c>
      <c r="N38" t="str">
        <f>IF(AND(C38&gt;=6,C38&lt;=18),"Day Shift","Night shift")</f>
        <v>Day Shift</v>
      </c>
    </row>
    <row r="39" spans="1:14" x14ac:dyDescent="0.3">
      <c r="A39" s="3">
        <v>38</v>
      </c>
      <c r="B39" s="4">
        <v>40545</v>
      </c>
      <c r="C39" s="3">
        <v>14</v>
      </c>
      <c r="D39" s="3" t="b">
        <v>0</v>
      </c>
      <c r="E39" s="3">
        <v>0</v>
      </c>
      <c r="F39" s="3">
        <v>3</v>
      </c>
      <c r="G39" s="3">
        <v>0.36</v>
      </c>
      <c r="H39" t="str">
        <f t="shared" si="5"/>
        <v>Sun</v>
      </c>
      <c r="I39" t="str">
        <f t="shared" si="0"/>
        <v xml:space="preserve">N/d </v>
      </c>
      <c r="J39">
        <f t="shared" si="1"/>
        <v>0.76</v>
      </c>
      <c r="K39">
        <f t="shared" si="2"/>
        <v>0.19400000000000001</v>
      </c>
      <c r="L39">
        <f t="shared" si="3"/>
        <v>4</v>
      </c>
      <c r="M39">
        <f t="shared" si="4"/>
        <v>55</v>
      </c>
      <c r="N39" t="str">
        <f>IF(AND(C39&gt;=6,C39&lt;=18),"Day Shift","Night shift")</f>
        <v>Day Shift</v>
      </c>
    </row>
    <row r="40" spans="1:14" x14ac:dyDescent="0.3">
      <c r="A40" s="3">
        <v>39</v>
      </c>
      <c r="B40" s="4">
        <v>40545</v>
      </c>
      <c r="C40" s="3">
        <v>15</v>
      </c>
      <c r="D40" s="3" t="b">
        <v>0</v>
      </c>
      <c r="E40" s="3">
        <v>0</v>
      </c>
      <c r="F40" s="3">
        <v>3</v>
      </c>
      <c r="G40" s="3">
        <v>0.34</v>
      </c>
      <c r="H40" t="str">
        <f t="shared" si="5"/>
        <v>Sun</v>
      </c>
      <c r="I40">
        <f t="shared" si="0"/>
        <v>0.33329999999999999</v>
      </c>
      <c r="J40">
        <f t="shared" si="1"/>
        <v>0.81</v>
      </c>
      <c r="K40">
        <f t="shared" si="2"/>
        <v>0.16420000000000001</v>
      </c>
      <c r="L40">
        <f t="shared" si="3"/>
        <v>19</v>
      </c>
      <c r="M40">
        <f t="shared" si="4"/>
        <v>55</v>
      </c>
      <c r="N40" t="str">
        <f>IF(AND(C40&gt;=6,C40&lt;=18),"Day Shift","Night shift")</f>
        <v>Day Shift</v>
      </c>
    </row>
    <row r="41" spans="1:14" x14ac:dyDescent="0.3">
      <c r="A41" s="3">
        <v>40</v>
      </c>
      <c r="B41" s="4">
        <v>40545</v>
      </c>
      <c r="C41" s="3">
        <v>16</v>
      </c>
      <c r="D41" s="3" t="b">
        <v>0</v>
      </c>
      <c r="E41" s="3">
        <v>0</v>
      </c>
      <c r="F41" s="3">
        <v>3</v>
      </c>
      <c r="G41" s="3">
        <v>0.34</v>
      </c>
      <c r="H41" t="str">
        <f t="shared" si="5"/>
        <v>Sun</v>
      </c>
      <c r="I41">
        <f t="shared" si="0"/>
        <v>0.33329999999999999</v>
      </c>
      <c r="J41">
        <f t="shared" si="1"/>
        <v>0.71</v>
      </c>
      <c r="K41">
        <f t="shared" si="2"/>
        <v>0.16420000000000001</v>
      </c>
      <c r="L41">
        <f t="shared" si="3"/>
        <v>9</v>
      </c>
      <c r="M41">
        <f t="shared" si="4"/>
        <v>67</v>
      </c>
      <c r="N41" t="str">
        <f>IF(AND(C41&gt;=6,C41&lt;=18),"Day Shift","Night shift")</f>
        <v>Day Shift</v>
      </c>
    </row>
    <row r="42" spans="1:14" x14ac:dyDescent="0.3">
      <c r="A42" s="3">
        <v>41</v>
      </c>
      <c r="B42" s="4">
        <v>40545</v>
      </c>
      <c r="C42" s="3">
        <v>17</v>
      </c>
      <c r="D42" s="3" t="b">
        <v>0</v>
      </c>
      <c r="E42" s="3">
        <v>0</v>
      </c>
      <c r="F42" s="3">
        <v>1</v>
      </c>
      <c r="G42" s="3">
        <v>0.34</v>
      </c>
      <c r="H42" t="str">
        <f t="shared" si="5"/>
        <v>Sun</v>
      </c>
      <c r="I42">
        <f t="shared" si="0"/>
        <v>0.33329999999999999</v>
      </c>
      <c r="J42">
        <f t="shared" si="1"/>
        <v>0.56999999999999995</v>
      </c>
      <c r="K42">
        <f t="shared" si="2"/>
        <v>0.19400000000000001</v>
      </c>
      <c r="L42">
        <f t="shared" si="3"/>
        <v>7</v>
      </c>
      <c r="M42">
        <f t="shared" si="4"/>
        <v>58</v>
      </c>
      <c r="N42" t="str">
        <f>IF(AND(C42&gt;=6,C42&lt;=18),"Day Shift","Night shift")</f>
        <v>Day Shift</v>
      </c>
    </row>
    <row r="43" spans="1:14" x14ac:dyDescent="0.3">
      <c r="A43" s="3">
        <v>42</v>
      </c>
      <c r="B43" s="4">
        <v>40545</v>
      </c>
      <c r="C43" s="3">
        <v>18</v>
      </c>
      <c r="D43" s="3" t="b">
        <v>0</v>
      </c>
      <c r="E43" s="3">
        <v>0</v>
      </c>
      <c r="F43" s="3">
        <v>2</v>
      </c>
      <c r="G43" s="3">
        <v>0.36</v>
      </c>
      <c r="H43" t="str">
        <f t="shared" si="5"/>
        <v>Sun</v>
      </c>
      <c r="I43">
        <f t="shared" si="0"/>
        <v>0.33329999999999999</v>
      </c>
      <c r="J43">
        <f t="shared" si="1"/>
        <v>0.46</v>
      </c>
      <c r="K43">
        <f t="shared" si="2"/>
        <v>0.32840000000000003</v>
      </c>
      <c r="L43">
        <f t="shared" si="3"/>
        <v>10</v>
      </c>
      <c r="M43">
        <f t="shared" si="4"/>
        <v>43</v>
      </c>
      <c r="N43" t="str">
        <f>IF(AND(C43&gt;=6,C43&lt;=18),"Day Shift","Night shift")</f>
        <v>Day Shift</v>
      </c>
    </row>
    <row r="44" spans="1:14" x14ac:dyDescent="0.3">
      <c r="A44" s="3">
        <v>43</v>
      </c>
      <c r="B44" s="4">
        <v>40545</v>
      </c>
      <c r="C44" s="3">
        <v>19</v>
      </c>
      <c r="D44" s="3" t="b">
        <v>0</v>
      </c>
      <c r="E44" s="3">
        <v>0</v>
      </c>
      <c r="F44" s="3">
        <v>1</v>
      </c>
      <c r="G44" s="3">
        <v>0.32</v>
      </c>
      <c r="H44" t="str">
        <f t="shared" si="5"/>
        <v>Sun</v>
      </c>
      <c r="I44">
        <f t="shared" si="0"/>
        <v>0.28789999999999999</v>
      </c>
      <c r="J44">
        <f t="shared" si="1"/>
        <v>0.42</v>
      </c>
      <c r="K44">
        <f t="shared" si="2"/>
        <v>0.44779999999999998</v>
      </c>
      <c r="L44">
        <f t="shared" si="3"/>
        <v>1</v>
      </c>
      <c r="M44">
        <f t="shared" si="4"/>
        <v>29</v>
      </c>
      <c r="N44" t="str">
        <f>IF(AND(C44&gt;=6,C44&lt;=18),"Day Shift","Night shift")</f>
        <v>Night shift</v>
      </c>
    </row>
    <row r="45" spans="1:14" x14ac:dyDescent="0.3">
      <c r="A45" s="3">
        <v>44</v>
      </c>
      <c r="B45" s="4">
        <v>40545</v>
      </c>
      <c r="C45" s="3">
        <v>20</v>
      </c>
      <c r="D45" s="3" t="b">
        <v>0</v>
      </c>
      <c r="E45" s="3">
        <v>0</v>
      </c>
      <c r="F45" s="3">
        <v>1</v>
      </c>
      <c r="G45" s="3">
        <v>0.3</v>
      </c>
      <c r="H45" t="str">
        <f t="shared" si="5"/>
        <v>Sun</v>
      </c>
      <c r="I45" t="str">
        <f t="shared" si="0"/>
        <v xml:space="preserve">N/d </v>
      </c>
      <c r="J45">
        <f t="shared" si="1"/>
        <v>0.39</v>
      </c>
      <c r="K45">
        <f t="shared" si="2"/>
        <v>0.35820000000000002</v>
      </c>
      <c r="L45">
        <f t="shared" si="3"/>
        <v>5</v>
      </c>
      <c r="M45">
        <f t="shared" si="4"/>
        <v>17</v>
      </c>
      <c r="N45" t="str">
        <f>IF(AND(C45&gt;=6,C45&lt;=18),"Day Shift","Night shift")</f>
        <v>Night shift</v>
      </c>
    </row>
    <row r="46" spans="1:14" x14ac:dyDescent="0.3">
      <c r="A46" s="3">
        <v>45</v>
      </c>
      <c r="B46" s="4">
        <v>40545</v>
      </c>
      <c r="C46" s="3">
        <v>21</v>
      </c>
      <c r="D46" s="3" t="b">
        <v>0</v>
      </c>
      <c r="E46" s="3">
        <v>0</v>
      </c>
      <c r="F46" s="3">
        <v>1</v>
      </c>
      <c r="G46" s="3">
        <v>0.26</v>
      </c>
      <c r="H46" t="str">
        <f t="shared" si="5"/>
        <v>Sun</v>
      </c>
      <c r="I46">
        <f t="shared" si="0"/>
        <v>0.2273</v>
      </c>
      <c r="J46">
        <f t="shared" si="1"/>
        <v>0.44</v>
      </c>
      <c r="K46">
        <f t="shared" si="2"/>
        <v>0.32840000000000003</v>
      </c>
      <c r="L46">
        <f t="shared" si="3"/>
        <v>11</v>
      </c>
      <c r="M46">
        <f t="shared" si="4"/>
        <v>20</v>
      </c>
      <c r="N46" t="str">
        <f>IF(AND(C46&gt;=6,C46&lt;=18),"Day Shift","Night shift")</f>
        <v>Night shift</v>
      </c>
    </row>
    <row r="47" spans="1:14" x14ac:dyDescent="0.3">
      <c r="A47" s="3">
        <v>46</v>
      </c>
      <c r="B47" s="4">
        <v>40545</v>
      </c>
      <c r="C47" s="3">
        <v>22</v>
      </c>
      <c r="D47" s="3" t="b">
        <v>0</v>
      </c>
      <c r="E47" s="3">
        <v>0</v>
      </c>
      <c r="F47" s="3">
        <v>1</v>
      </c>
      <c r="G47" s="3">
        <v>0.24</v>
      </c>
      <c r="H47" t="str">
        <f t="shared" si="5"/>
        <v>Sun</v>
      </c>
      <c r="I47">
        <f t="shared" si="0"/>
        <v>0.21210000000000001</v>
      </c>
      <c r="J47">
        <f t="shared" si="1"/>
        <v>0.44</v>
      </c>
      <c r="K47">
        <f t="shared" si="2"/>
        <v>0.29849999999999999</v>
      </c>
      <c r="L47">
        <f t="shared" si="3"/>
        <v>0</v>
      </c>
      <c r="M47">
        <f t="shared" si="4"/>
        <v>9</v>
      </c>
      <c r="N47" t="str">
        <f>IF(AND(C47&gt;=6,C47&lt;=18),"Day Shift","Night shift")</f>
        <v>Night shift</v>
      </c>
    </row>
    <row r="48" spans="1:14" x14ac:dyDescent="0.3">
      <c r="A48" s="3">
        <v>47</v>
      </c>
      <c r="B48" s="4">
        <v>40545</v>
      </c>
      <c r="C48" s="3">
        <v>23</v>
      </c>
      <c r="D48" s="3" t="b">
        <v>0</v>
      </c>
      <c r="E48" s="3">
        <v>0</v>
      </c>
      <c r="F48" s="3">
        <v>1</v>
      </c>
      <c r="G48" s="3">
        <v>0.22</v>
      </c>
      <c r="H48" t="str">
        <f t="shared" si="5"/>
        <v>Sun</v>
      </c>
      <c r="I48">
        <f t="shared" si="0"/>
        <v>0.2273</v>
      </c>
      <c r="J48">
        <f t="shared" si="1"/>
        <v>0.47</v>
      </c>
      <c r="K48">
        <f t="shared" si="2"/>
        <v>0.16420000000000001</v>
      </c>
      <c r="L48">
        <f t="shared" si="3"/>
        <v>0</v>
      </c>
      <c r="M48">
        <f t="shared" si="4"/>
        <v>8</v>
      </c>
      <c r="N48" t="str">
        <f>IF(AND(C48&gt;=6,C48&lt;=18),"Day Shift","Night shift")</f>
        <v>Night shift</v>
      </c>
    </row>
    <row r="49" spans="1:14" x14ac:dyDescent="0.3">
      <c r="A49" s="3">
        <v>48</v>
      </c>
      <c r="B49" s="4">
        <v>40546</v>
      </c>
      <c r="C49" s="3">
        <v>0</v>
      </c>
      <c r="D49" s="3" t="b">
        <v>0</v>
      </c>
      <c r="E49" s="3">
        <v>1</v>
      </c>
      <c r="F49" s="3">
        <v>1</v>
      </c>
      <c r="G49" s="3">
        <v>0.22</v>
      </c>
      <c r="H49" t="str">
        <f t="shared" si="5"/>
        <v>Mon</v>
      </c>
      <c r="I49">
        <f t="shared" si="0"/>
        <v>0.19700000000000001</v>
      </c>
      <c r="J49">
        <f t="shared" si="1"/>
        <v>0.44</v>
      </c>
      <c r="K49">
        <f t="shared" si="2"/>
        <v>0.35820000000000002</v>
      </c>
      <c r="L49">
        <f t="shared" si="3"/>
        <v>0</v>
      </c>
      <c r="M49">
        <f t="shared" si="4"/>
        <v>5</v>
      </c>
      <c r="N49" t="str">
        <f>IF(AND(C49&gt;=6,C49&lt;=18),"Day Shift","Night shift")</f>
        <v>Night shift</v>
      </c>
    </row>
    <row r="50" spans="1:14" x14ac:dyDescent="0.3">
      <c r="A50" s="3">
        <v>49</v>
      </c>
      <c r="B50" s="4">
        <v>40546</v>
      </c>
      <c r="C50" s="3">
        <v>1</v>
      </c>
      <c r="D50" s="3" t="b">
        <v>0</v>
      </c>
      <c r="E50" s="3">
        <v>1</v>
      </c>
      <c r="F50" s="3">
        <v>1</v>
      </c>
      <c r="G50" s="3">
        <v>0.2</v>
      </c>
      <c r="H50" t="str">
        <f t="shared" si="5"/>
        <v>Mon</v>
      </c>
      <c r="I50" t="str">
        <f t="shared" si="0"/>
        <v xml:space="preserve">N/d </v>
      </c>
      <c r="J50">
        <f t="shared" si="1"/>
        <v>0.44</v>
      </c>
      <c r="K50">
        <f t="shared" si="2"/>
        <v>0.41789999999999999</v>
      </c>
      <c r="L50">
        <f t="shared" si="3"/>
        <v>0</v>
      </c>
      <c r="M50">
        <f t="shared" si="4"/>
        <v>2</v>
      </c>
      <c r="N50" t="str">
        <f>IF(AND(C50&gt;=6,C50&lt;=18),"Day Shift","Night shift")</f>
        <v>Night shift</v>
      </c>
    </row>
    <row r="51" spans="1:14" x14ac:dyDescent="0.3">
      <c r="A51" s="3">
        <v>50</v>
      </c>
      <c r="B51" s="4">
        <v>40546</v>
      </c>
      <c r="C51" s="3">
        <v>4</v>
      </c>
      <c r="D51" s="3" t="b">
        <v>0</v>
      </c>
      <c r="E51" s="3">
        <v>1</v>
      </c>
      <c r="F51" s="3">
        <v>1</v>
      </c>
      <c r="G51" s="3">
        <v>0.16</v>
      </c>
      <c r="H51" t="str">
        <f t="shared" si="5"/>
        <v>Mon</v>
      </c>
      <c r="I51">
        <f t="shared" si="0"/>
        <v>0.13639999999999999</v>
      </c>
      <c r="J51">
        <f t="shared" si="1"/>
        <v>0.47</v>
      </c>
      <c r="K51">
        <f t="shared" si="2"/>
        <v>0.3881</v>
      </c>
      <c r="L51">
        <f t="shared" si="3"/>
        <v>0</v>
      </c>
      <c r="M51">
        <f t="shared" si="4"/>
        <v>1</v>
      </c>
      <c r="N51" t="str">
        <f>IF(AND(C51&gt;=6,C51&lt;=18),"Day Shift","Night shift")</f>
        <v>Night shift</v>
      </c>
    </row>
    <row r="52" spans="1:14" x14ac:dyDescent="0.3">
      <c r="A52" s="3">
        <v>51</v>
      </c>
      <c r="B52" s="4">
        <v>40546</v>
      </c>
      <c r="C52" s="3">
        <v>5</v>
      </c>
      <c r="D52" s="3" t="b">
        <v>0</v>
      </c>
      <c r="E52" s="3">
        <v>1</v>
      </c>
      <c r="F52" s="3">
        <v>1</v>
      </c>
      <c r="G52" s="3">
        <v>0.16</v>
      </c>
      <c r="H52" t="str">
        <f t="shared" si="5"/>
        <v>Mon</v>
      </c>
      <c r="I52">
        <f t="shared" si="0"/>
        <v>0.13639999999999999</v>
      </c>
      <c r="J52">
        <f t="shared" si="1"/>
        <v>0.47</v>
      </c>
      <c r="K52">
        <f t="shared" si="2"/>
        <v>0.28360000000000002</v>
      </c>
      <c r="L52">
        <f t="shared" si="3"/>
        <v>0</v>
      </c>
      <c r="M52">
        <f t="shared" si="4"/>
        <v>3</v>
      </c>
      <c r="N52" t="str">
        <f>IF(AND(C52&gt;=6,C52&lt;=18),"Day Shift","Night shift")</f>
        <v>Night shift</v>
      </c>
    </row>
    <row r="53" spans="1:14" x14ac:dyDescent="0.3">
      <c r="A53" s="3">
        <v>52</v>
      </c>
      <c r="B53" s="4">
        <v>40546</v>
      </c>
      <c r="C53" s="3">
        <v>6</v>
      </c>
      <c r="D53" s="3" t="b">
        <v>0</v>
      </c>
      <c r="E53" s="3">
        <v>1</v>
      </c>
      <c r="F53" s="3">
        <v>1</v>
      </c>
      <c r="G53" s="3">
        <v>0.14000000000000001</v>
      </c>
      <c r="H53" t="str">
        <f t="shared" si="5"/>
        <v>Mon</v>
      </c>
      <c r="I53">
        <f t="shared" si="0"/>
        <v>0.1061</v>
      </c>
      <c r="J53">
        <f t="shared" si="1"/>
        <v>0.5</v>
      </c>
      <c r="K53">
        <f t="shared" si="2"/>
        <v>0.3881</v>
      </c>
      <c r="L53">
        <f t="shared" si="3"/>
        <v>0</v>
      </c>
      <c r="M53">
        <f t="shared" si="4"/>
        <v>30</v>
      </c>
      <c r="N53" t="str">
        <f>IF(AND(C53&gt;=6,C53&lt;=18),"Day Shift","Night shift")</f>
        <v>Day Shift</v>
      </c>
    </row>
    <row r="54" spans="1:14" x14ac:dyDescent="0.3">
      <c r="A54" s="3">
        <v>53</v>
      </c>
      <c r="B54" s="4">
        <v>40546</v>
      </c>
      <c r="C54" s="3">
        <v>7</v>
      </c>
      <c r="D54" s="3" t="b">
        <v>0</v>
      </c>
      <c r="E54" s="3">
        <v>1</v>
      </c>
      <c r="F54" s="3">
        <v>1</v>
      </c>
      <c r="G54" s="3">
        <v>0.14000000000000001</v>
      </c>
      <c r="H54" t="str">
        <f t="shared" si="5"/>
        <v>Mon</v>
      </c>
      <c r="I54">
        <f t="shared" si="0"/>
        <v>0.13639999999999999</v>
      </c>
      <c r="J54">
        <f t="shared" si="1"/>
        <v>0.5</v>
      </c>
      <c r="K54">
        <f t="shared" si="2"/>
        <v>0.19400000000000001</v>
      </c>
      <c r="L54">
        <f t="shared" si="3"/>
        <v>1</v>
      </c>
      <c r="M54">
        <f t="shared" si="4"/>
        <v>63</v>
      </c>
      <c r="N54" t="str">
        <f>IF(AND(C54&gt;=6,C54&lt;=18),"Day Shift","Night shift")</f>
        <v>Day Shift</v>
      </c>
    </row>
    <row r="55" spans="1:14" x14ac:dyDescent="0.3">
      <c r="A55" s="3">
        <v>54</v>
      </c>
      <c r="B55" s="4">
        <v>40546</v>
      </c>
      <c r="C55" s="3">
        <v>8</v>
      </c>
      <c r="D55" s="3" t="b">
        <v>0</v>
      </c>
      <c r="E55" s="3">
        <v>1</v>
      </c>
      <c r="F55" s="3">
        <v>1</v>
      </c>
      <c r="G55" s="3">
        <v>0.14000000000000001</v>
      </c>
      <c r="H55" t="str">
        <f t="shared" si="5"/>
        <v>Mon</v>
      </c>
      <c r="I55">
        <f t="shared" si="0"/>
        <v>0.1212</v>
      </c>
      <c r="J55">
        <f t="shared" si="1"/>
        <v>0.5</v>
      </c>
      <c r="K55">
        <f t="shared" si="2"/>
        <v>0.28360000000000002</v>
      </c>
      <c r="L55">
        <f t="shared" si="3"/>
        <v>1</v>
      </c>
      <c r="M55">
        <f t="shared" si="4"/>
        <v>153</v>
      </c>
      <c r="N55" t="str">
        <f>IF(AND(C55&gt;=6,C55&lt;=18),"Day Shift","Night shift")</f>
        <v>Day Shift</v>
      </c>
    </row>
    <row r="56" spans="1:14" x14ac:dyDescent="0.3">
      <c r="A56" s="3">
        <v>55</v>
      </c>
      <c r="B56" s="4">
        <v>40546</v>
      </c>
      <c r="C56" s="3">
        <v>9</v>
      </c>
      <c r="D56" s="3" t="b">
        <v>0</v>
      </c>
      <c r="E56" s="3">
        <v>1</v>
      </c>
      <c r="F56" s="3">
        <v>1</v>
      </c>
      <c r="G56" s="3">
        <v>0.16</v>
      </c>
      <c r="H56" t="str">
        <f t="shared" si="5"/>
        <v>Mon</v>
      </c>
      <c r="I56">
        <f t="shared" si="0"/>
        <v>0.13639999999999999</v>
      </c>
      <c r="J56">
        <f t="shared" si="1"/>
        <v>0.43</v>
      </c>
      <c r="K56">
        <f t="shared" si="2"/>
        <v>0.3881</v>
      </c>
      <c r="L56">
        <f t="shared" si="3"/>
        <v>7</v>
      </c>
      <c r="M56">
        <f t="shared" si="4"/>
        <v>81</v>
      </c>
      <c r="N56" t="str">
        <f>IF(AND(C56&gt;=6,C56&lt;=18),"Day Shift","Night shift")</f>
        <v>Day Shift</v>
      </c>
    </row>
    <row r="57" spans="1:14" x14ac:dyDescent="0.3">
      <c r="A57" s="3">
        <v>56</v>
      </c>
      <c r="B57" s="4">
        <v>40546</v>
      </c>
      <c r="C57" s="3">
        <v>10</v>
      </c>
      <c r="D57" s="3" t="b">
        <v>0</v>
      </c>
      <c r="E57" s="3">
        <v>1</v>
      </c>
      <c r="F57" s="3">
        <v>1</v>
      </c>
      <c r="G57" s="3">
        <v>0.18</v>
      </c>
      <c r="H57" t="str">
        <f t="shared" si="5"/>
        <v>Mon</v>
      </c>
      <c r="I57">
        <f t="shared" si="0"/>
        <v>0.16669999999999999</v>
      </c>
      <c r="J57">
        <f t="shared" si="1"/>
        <v>0.43</v>
      </c>
      <c r="K57">
        <f t="shared" si="2"/>
        <v>0.25369999999999998</v>
      </c>
      <c r="L57">
        <f t="shared" si="3"/>
        <v>11</v>
      </c>
      <c r="M57">
        <f t="shared" si="4"/>
        <v>33</v>
      </c>
      <c r="N57" t="str">
        <f>IF(AND(C57&gt;=6,C57&lt;=18),"Day Shift","Night shift")</f>
        <v>Day Shift</v>
      </c>
    </row>
    <row r="58" spans="1:14" x14ac:dyDescent="0.3">
      <c r="A58" s="3">
        <v>57</v>
      </c>
      <c r="B58" s="4">
        <v>40546</v>
      </c>
      <c r="C58" s="3">
        <v>11</v>
      </c>
      <c r="D58" s="3" t="b">
        <v>0</v>
      </c>
      <c r="E58" s="3">
        <v>1</v>
      </c>
      <c r="F58" s="3">
        <v>1</v>
      </c>
      <c r="G58" s="3">
        <v>0.2</v>
      </c>
      <c r="H58" t="str">
        <f t="shared" si="5"/>
        <v>Mon</v>
      </c>
      <c r="I58">
        <f t="shared" si="0"/>
        <v>0.18179999999999999</v>
      </c>
      <c r="J58">
        <f t="shared" si="1"/>
        <v>0.4</v>
      </c>
      <c r="K58">
        <f t="shared" si="2"/>
        <v>0.32840000000000003</v>
      </c>
      <c r="L58">
        <f t="shared" si="3"/>
        <v>10</v>
      </c>
      <c r="M58">
        <f t="shared" si="4"/>
        <v>41</v>
      </c>
      <c r="N58" t="str">
        <f>IF(AND(C58&gt;=6,C58&lt;=18),"Day Shift","Night shift")</f>
        <v>Day Shift</v>
      </c>
    </row>
    <row r="59" spans="1:14" x14ac:dyDescent="0.3">
      <c r="A59" s="3">
        <v>58</v>
      </c>
      <c r="B59" s="4">
        <v>40546</v>
      </c>
      <c r="C59" s="3">
        <v>12</v>
      </c>
      <c r="D59" s="3" t="b">
        <v>0</v>
      </c>
      <c r="E59" s="3">
        <v>1</v>
      </c>
      <c r="F59" s="3">
        <v>1</v>
      </c>
      <c r="G59" s="3">
        <v>0.22</v>
      </c>
      <c r="H59" t="str">
        <f t="shared" si="5"/>
        <v>Mon</v>
      </c>
      <c r="I59">
        <f t="shared" si="0"/>
        <v>0.21210000000000001</v>
      </c>
      <c r="J59">
        <f t="shared" si="1"/>
        <v>0.35</v>
      </c>
      <c r="K59">
        <f t="shared" si="2"/>
        <v>0.29849999999999999</v>
      </c>
      <c r="L59">
        <f t="shared" si="3"/>
        <v>13</v>
      </c>
      <c r="M59">
        <f t="shared" si="4"/>
        <v>48</v>
      </c>
      <c r="N59" t="str">
        <f>IF(AND(C59&gt;=6,C59&lt;=18),"Day Shift","Night shift")</f>
        <v>Day Shift</v>
      </c>
    </row>
    <row r="60" spans="1:14" x14ac:dyDescent="0.3">
      <c r="A60" s="3">
        <v>59</v>
      </c>
      <c r="B60" s="4">
        <v>40546</v>
      </c>
      <c r="C60" s="3">
        <v>13</v>
      </c>
      <c r="D60" s="3" t="b">
        <v>0</v>
      </c>
      <c r="E60" s="3">
        <v>1</v>
      </c>
      <c r="F60" s="3">
        <v>1</v>
      </c>
      <c r="G60" s="3">
        <v>0.24</v>
      </c>
      <c r="H60" t="str">
        <f t="shared" si="5"/>
        <v>Mon</v>
      </c>
      <c r="I60" t="str">
        <f t="shared" si="0"/>
        <v xml:space="preserve">N/d </v>
      </c>
      <c r="J60">
        <f t="shared" si="1"/>
        <v>0.35</v>
      </c>
      <c r="K60">
        <f t="shared" si="2"/>
        <v>0.28360000000000002</v>
      </c>
      <c r="L60">
        <f t="shared" si="3"/>
        <v>8</v>
      </c>
      <c r="M60">
        <f t="shared" si="4"/>
        <v>53</v>
      </c>
      <c r="N60" t="str">
        <f>IF(AND(C60&gt;=6,C60&lt;=18),"Day Shift","Night shift")</f>
        <v>Day Shift</v>
      </c>
    </row>
    <row r="61" spans="1:14" x14ac:dyDescent="0.3">
      <c r="A61" s="3">
        <v>60</v>
      </c>
      <c r="B61" s="4">
        <v>40546</v>
      </c>
      <c r="C61" s="3">
        <v>14</v>
      </c>
      <c r="D61" s="3" t="b">
        <v>0</v>
      </c>
      <c r="E61" s="3">
        <v>1</v>
      </c>
      <c r="F61" s="3">
        <v>1</v>
      </c>
      <c r="G61" s="3">
        <v>0.26</v>
      </c>
      <c r="H61" t="str">
        <f t="shared" si="5"/>
        <v>Mon</v>
      </c>
      <c r="I61">
        <f t="shared" si="0"/>
        <v>0.2424</v>
      </c>
      <c r="J61">
        <f t="shared" si="1"/>
        <v>0.3</v>
      </c>
      <c r="K61">
        <f t="shared" si="2"/>
        <v>0.28360000000000002</v>
      </c>
      <c r="L61">
        <f t="shared" si="3"/>
        <v>11</v>
      </c>
      <c r="M61">
        <f t="shared" si="4"/>
        <v>66</v>
      </c>
      <c r="N61" t="str">
        <f>IF(AND(C61&gt;=6,C61&lt;=18),"Day Shift","Night shift")</f>
        <v>Day Shift</v>
      </c>
    </row>
    <row r="62" spans="1:14" x14ac:dyDescent="0.3">
      <c r="A62" s="3">
        <v>61</v>
      </c>
      <c r="B62" s="4">
        <v>40546</v>
      </c>
      <c r="C62" s="3">
        <v>15</v>
      </c>
      <c r="D62" s="3" t="b">
        <v>0</v>
      </c>
      <c r="E62" s="3">
        <v>1</v>
      </c>
      <c r="F62" s="3">
        <v>1</v>
      </c>
      <c r="G62" s="3">
        <v>0.26</v>
      </c>
      <c r="H62" t="str">
        <f t="shared" si="5"/>
        <v>Mon</v>
      </c>
      <c r="I62">
        <f t="shared" si="0"/>
        <v>0.2424</v>
      </c>
      <c r="J62">
        <f t="shared" si="1"/>
        <v>0.3</v>
      </c>
      <c r="K62">
        <f t="shared" si="2"/>
        <v>0.25369999999999998</v>
      </c>
      <c r="L62">
        <f t="shared" si="3"/>
        <v>14</v>
      </c>
      <c r="M62">
        <f t="shared" si="4"/>
        <v>58</v>
      </c>
      <c r="N62" t="str">
        <f>IF(AND(C62&gt;=6,C62&lt;=18),"Day Shift","Night shift")</f>
        <v>Day Shift</v>
      </c>
    </row>
    <row r="63" spans="1:14" x14ac:dyDescent="0.3">
      <c r="A63" s="3">
        <v>62</v>
      </c>
      <c r="B63" s="4">
        <v>40546</v>
      </c>
      <c r="C63" s="3">
        <v>16</v>
      </c>
      <c r="D63" s="3" t="b">
        <v>0</v>
      </c>
      <c r="E63" s="3">
        <v>1</v>
      </c>
      <c r="F63" s="3">
        <v>1</v>
      </c>
      <c r="G63" s="3">
        <v>0.26</v>
      </c>
      <c r="H63" t="str">
        <f t="shared" si="5"/>
        <v>Mon</v>
      </c>
      <c r="I63">
        <f t="shared" si="0"/>
        <v>0.2424</v>
      </c>
      <c r="J63">
        <f t="shared" si="1"/>
        <v>0.3</v>
      </c>
      <c r="K63">
        <f t="shared" si="2"/>
        <v>0.25369999999999998</v>
      </c>
      <c r="L63">
        <f t="shared" si="3"/>
        <v>9</v>
      </c>
      <c r="M63">
        <f t="shared" si="4"/>
        <v>67</v>
      </c>
      <c r="N63" t="str">
        <f>IF(AND(C63&gt;=6,C63&lt;=18),"Day Shift","Night shift")</f>
        <v>Day Shift</v>
      </c>
    </row>
    <row r="64" spans="1:14" x14ac:dyDescent="0.3">
      <c r="A64" s="3">
        <v>63</v>
      </c>
      <c r="B64" s="4">
        <v>40546</v>
      </c>
      <c r="C64" s="3">
        <v>17</v>
      </c>
      <c r="D64" s="3" t="b">
        <v>0</v>
      </c>
      <c r="E64" s="3">
        <v>1</v>
      </c>
      <c r="F64" s="3">
        <v>1</v>
      </c>
      <c r="G64" s="3">
        <v>0.24</v>
      </c>
      <c r="H64" t="str">
        <f t="shared" si="5"/>
        <v>Mon</v>
      </c>
      <c r="I64">
        <f t="shared" si="0"/>
        <v>0.2273</v>
      </c>
      <c r="J64">
        <f t="shared" si="1"/>
        <v>0.3</v>
      </c>
      <c r="K64">
        <f t="shared" si="2"/>
        <v>0.22389999999999999</v>
      </c>
      <c r="L64">
        <f t="shared" si="3"/>
        <v>11</v>
      </c>
      <c r="M64">
        <f t="shared" si="4"/>
        <v>146</v>
      </c>
      <c r="N64" t="str">
        <f>IF(AND(C64&gt;=6,C64&lt;=18),"Day Shift","Night shift")</f>
        <v>Day Shift</v>
      </c>
    </row>
    <row r="65" spans="1:14" x14ac:dyDescent="0.3">
      <c r="A65" s="3">
        <v>64</v>
      </c>
      <c r="B65" s="4">
        <v>40546</v>
      </c>
      <c r="C65" s="3">
        <v>18</v>
      </c>
      <c r="D65" s="3" t="b">
        <v>0</v>
      </c>
      <c r="E65" s="3">
        <v>1</v>
      </c>
      <c r="F65" s="3">
        <v>1</v>
      </c>
      <c r="G65" s="3">
        <v>0.24</v>
      </c>
      <c r="H65" t="str">
        <f t="shared" si="5"/>
        <v>Mon</v>
      </c>
      <c r="I65">
        <f t="shared" si="0"/>
        <v>0.2576</v>
      </c>
      <c r="J65">
        <f t="shared" si="1"/>
        <v>0.32</v>
      </c>
      <c r="K65">
        <f t="shared" si="2"/>
        <v>0.1045</v>
      </c>
      <c r="L65">
        <f t="shared" si="3"/>
        <v>9</v>
      </c>
      <c r="M65">
        <f t="shared" si="4"/>
        <v>148</v>
      </c>
      <c r="N65" t="str">
        <f>IF(AND(C65&gt;=6,C65&lt;=18),"Day Shift","Night shift")</f>
        <v>Day Shift</v>
      </c>
    </row>
    <row r="66" spans="1:14" x14ac:dyDescent="0.3">
      <c r="A66" s="3">
        <v>65</v>
      </c>
      <c r="B66" s="4">
        <v>40546</v>
      </c>
      <c r="C66" s="3">
        <v>19</v>
      </c>
      <c r="D66" s="3" t="b">
        <v>0</v>
      </c>
      <c r="E66" s="3">
        <v>1</v>
      </c>
      <c r="F66" s="3">
        <v>1</v>
      </c>
      <c r="G66" s="3">
        <v>0.2</v>
      </c>
      <c r="H66" t="str">
        <f t="shared" si="5"/>
        <v>Mon</v>
      </c>
      <c r="I66">
        <f t="shared" ref="I66:I129" si="10">VLOOKUP($A66,instantc,3,FALSE)</f>
        <v>0.2576</v>
      </c>
      <c r="J66">
        <f t="shared" ref="J66:J129" si="11">VLOOKUP($A66,instantc,4,FALSE)</f>
        <v>0.47</v>
      </c>
      <c r="K66">
        <f t="shared" ref="K66:K129" si="12">VLOOKUP($A66,instantc,5,FALSE)</f>
        <v>0</v>
      </c>
      <c r="L66">
        <f t="shared" ref="L66:L129" si="13">VLOOKUP($A66,instantc,6,FALSE)</f>
        <v>8</v>
      </c>
      <c r="M66">
        <f t="shared" ref="M66:M129" si="14">VLOOKUP($A66,instantc,7,FALSE)</f>
        <v>102</v>
      </c>
      <c r="N66" t="str">
        <f>IF(AND(C66&gt;=6,C66&lt;=18),"Day Shift","Night shift")</f>
        <v>Night shift</v>
      </c>
    </row>
    <row r="67" spans="1:14" x14ac:dyDescent="0.3">
      <c r="A67" s="3">
        <v>66</v>
      </c>
      <c r="B67" s="4">
        <v>40546</v>
      </c>
      <c r="C67" s="3">
        <v>20</v>
      </c>
      <c r="D67" s="3" t="b">
        <v>0</v>
      </c>
      <c r="E67" s="3">
        <v>1</v>
      </c>
      <c r="F67" s="3">
        <v>1</v>
      </c>
      <c r="G67" s="3">
        <v>0.2</v>
      </c>
      <c r="H67" t="str">
        <f t="shared" ref="H67:H130" si="15">TEXT(B67,"ddd")</f>
        <v>Mon</v>
      </c>
      <c r="I67" t="str">
        <f t="shared" si="10"/>
        <v xml:space="preserve">N/d </v>
      </c>
      <c r="J67">
        <f t="shared" si="11"/>
        <v>0.47</v>
      </c>
      <c r="K67">
        <f t="shared" si="12"/>
        <v>0.1045</v>
      </c>
      <c r="L67">
        <f t="shared" si="13"/>
        <v>3</v>
      </c>
      <c r="M67">
        <f t="shared" si="14"/>
        <v>49</v>
      </c>
      <c r="N67" t="str">
        <f t="shared" ref="N67:N130" si="16">IF(AND(C67&gt;=6,C67&lt;=18),"Day Shift","Night shift")</f>
        <v>Night shift</v>
      </c>
    </row>
    <row r="68" spans="1:14" x14ac:dyDescent="0.3">
      <c r="A68" s="3">
        <v>67</v>
      </c>
      <c r="B68" s="4">
        <v>40546</v>
      </c>
      <c r="C68" s="3">
        <v>21</v>
      </c>
      <c r="D68" s="3" t="b">
        <v>0</v>
      </c>
      <c r="E68" s="3">
        <v>1</v>
      </c>
      <c r="F68" s="3">
        <v>1</v>
      </c>
      <c r="G68" s="3">
        <v>0.18</v>
      </c>
      <c r="H68" t="str">
        <f t="shared" si="15"/>
        <v>Mon</v>
      </c>
      <c r="I68">
        <f t="shared" si="10"/>
        <v>0.19700000000000001</v>
      </c>
      <c r="J68">
        <f t="shared" si="11"/>
        <v>0.64</v>
      </c>
      <c r="K68">
        <f t="shared" si="12"/>
        <v>0.1343</v>
      </c>
      <c r="L68">
        <f t="shared" si="13"/>
        <v>3</v>
      </c>
      <c r="M68">
        <f t="shared" si="14"/>
        <v>49</v>
      </c>
      <c r="N68" t="str">
        <f t="shared" si="16"/>
        <v>Night shift</v>
      </c>
    </row>
    <row r="69" spans="1:14" x14ac:dyDescent="0.3">
      <c r="A69" s="3">
        <v>68</v>
      </c>
      <c r="B69" s="4">
        <v>40546</v>
      </c>
      <c r="C69" s="3">
        <v>22</v>
      </c>
      <c r="D69" s="3" t="b">
        <v>0</v>
      </c>
      <c r="E69" s="3">
        <v>1</v>
      </c>
      <c r="F69" s="3">
        <v>1</v>
      </c>
      <c r="G69" s="3">
        <v>0.14000000000000001</v>
      </c>
      <c r="H69" t="str">
        <f t="shared" si="15"/>
        <v>Mon</v>
      </c>
      <c r="I69">
        <f t="shared" si="10"/>
        <v>0.1515</v>
      </c>
      <c r="J69">
        <f t="shared" si="11"/>
        <v>0.69</v>
      </c>
      <c r="K69">
        <f t="shared" si="12"/>
        <v>0.1343</v>
      </c>
      <c r="L69">
        <f t="shared" si="13"/>
        <v>0</v>
      </c>
      <c r="M69">
        <f t="shared" si="14"/>
        <v>20</v>
      </c>
      <c r="N69" t="str">
        <f t="shared" si="16"/>
        <v>Night shift</v>
      </c>
    </row>
    <row r="70" spans="1:14" x14ac:dyDescent="0.3">
      <c r="A70" s="3">
        <v>69</v>
      </c>
      <c r="B70" s="4">
        <v>40546</v>
      </c>
      <c r="C70" s="3">
        <v>23</v>
      </c>
      <c r="D70" s="3" t="b">
        <v>0</v>
      </c>
      <c r="E70" s="3">
        <v>1</v>
      </c>
      <c r="F70" s="3">
        <v>1</v>
      </c>
      <c r="G70" s="3">
        <v>0.18</v>
      </c>
      <c r="H70" t="str">
        <f t="shared" si="15"/>
        <v>Mon</v>
      </c>
      <c r="I70">
        <f t="shared" si="10"/>
        <v>0.21210000000000001</v>
      </c>
      <c r="J70">
        <f t="shared" si="11"/>
        <v>0.55000000000000004</v>
      </c>
      <c r="K70">
        <f t="shared" si="12"/>
        <v>0.1045</v>
      </c>
      <c r="L70">
        <f t="shared" si="13"/>
        <v>1</v>
      </c>
      <c r="M70">
        <f t="shared" si="14"/>
        <v>11</v>
      </c>
      <c r="N70" t="str">
        <f t="shared" si="16"/>
        <v>Night shift</v>
      </c>
    </row>
    <row r="71" spans="1:14" x14ac:dyDescent="0.3">
      <c r="A71" s="3">
        <v>70</v>
      </c>
      <c r="B71" s="4">
        <v>40547</v>
      </c>
      <c r="C71" s="3">
        <v>0</v>
      </c>
      <c r="D71" s="3" t="b">
        <v>0</v>
      </c>
      <c r="E71" s="3">
        <v>2</v>
      </c>
      <c r="F71" s="3">
        <v>1</v>
      </c>
      <c r="G71" s="3">
        <v>0.16</v>
      </c>
      <c r="H71" t="str">
        <f t="shared" si="15"/>
        <v>Tue</v>
      </c>
      <c r="I71" t="str">
        <f t="shared" si="10"/>
        <v xml:space="preserve">N/d </v>
      </c>
      <c r="J71">
        <f t="shared" si="11"/>
        <v>0.55000000000000004</v>
      </c>
      <c r="K71">
        <f t="shared" si="12"/>
        <v>0.1045</v>
      </c>
      <c r="L71">
        <f t="shared" si="13"/>
        <v>0</v>
      </c>
      <c r="M71">
        <f t="shared" si="14"/>
        <v>5</v>
      </c>
      <c r="N71" t="str">
        <f t="shared" si="16"/>
        <v>Night shift</v>
      </c>
    </row>
    <row r="72" spans="1:14" x14ac:dyDescent="0.3">
      <c r="A72" s="3">
        <v>71</v>
      </c>
      <c r="B72" s="4">
        <v>40547</v>
      </c>
      <c r="C72" s="3">
        <v>1</v>
      </c>
      <c r="D72" s="3" t="b">
        <v>0</v>
      </c>
      <c r="E72" s="3">
        <v>2</v>
      </c>
      <c r="F72" s="3">
        <v>1</v>
      </c>
      <c r="G72" s="3">
        <v>0.16</v>
      </c>
      <c r="H72" t="str">
        <f t="shared" si="15"/>
        <v>Tue</v>
      </c>
      <c r="I72">
        <f t="shared" si="10"/>
        <v>0.18179999999999999</v>
      </c>
      <c r="J72">
        <f t="shared" si="11"/>
        <v>0.59</v>
      </c>
      <c r="K72">
        <f t="shared" si="12"/>
        <v>0.1045</v>
      </c>
      <c r="L72">
        <f t="shared" si="13"/>
        <v>0</v>
      </c>
      <c r="M72">
        <f t="shared" si="14"/>
        <v>2</v>
      </c>
      <c r="N72" t="str">
        <f t="shared" si="16"/>
        <v>Night shift</v>
      </c>
    </row>
    <row r="73" spans="1:14" x14ac:dyDescent="0.3">
      <c r="A73" s="3">
        <v>72</v>
      </c>
      <c r="B73" s="4">
        <v>40547</v>
      </c>
      <c r="C73" s="3">
        <v>2</v>
      </c>
      <c r="D73" s="3" t="b">
        <v>0</v>
      </c>
      <c r="E73" s="3">
        <v>2</v>
      </c>
      <c r="F73" s="3">
        <v>1</v>
      </c>
      <c r="G73" s="3">
        <v>0.14000000000000001</v>
      </c>
      <c r="H73" t="str">
        <f t="shared" si="15"/>
        <v>Tue</v>
      </c>
      <c r="I73">
        <f t="shared" si="10"/>
        <v>0.1515</v>
      </c>
      <c r="J73">
        <f t="shared" si="11"/>
        <v>0.63</v>
      </c>
      <c r="K73">
        <f t="shared" si="12"/>
        <v>0.1343</v>
      </c>
      <c r="L73">
        <f t="shared" si="13"/>
        <v>0</v>
      </c>
      <c r="M73">
        <f t="shared" si="14"/>
        <v>1</v>
      </c>
      <c r="N73" t="str">
        <f t="shared" si="16"/>
        <v>Night shift</v>
      </c>
    </row>
    <row r="74" spans="1:14" x14ac:dyDescent="0.3">
      <c r="A74" s="3">
        <v>73</v>
      </c>
      <c r="B74" s="4">
        <v>40547</v>
      </c>
      <c r="C74" s="3">
        <v>4</v>
      </c>
      <c r="D74" s="3" t="b">
        <v>0</v>
      </c>
      <c r="E74" s="3">
        <v>2</v>
      </c>
      <c r="F74" s="3">
        <v>1</v>
      </c>
      <c r="G74" s="3">
        <v>0.14000000000000001</v>
      </c>
      <c r="H74" t="str">
        <f t="shared" si="15"/>
        <v>Tue</v>
      </c>
      <c r="I74">
        <f t="shared" si="10"/>
        <v>0.18179999999999999</v>
      </c>
      <c r="J74">
        <f t="shared" si="11"/>
        <v>0.63</v>
      </c>
      <c r="K74">
        <f t="shared" si="12"/>
        <v>8.9599999999999999E-2</v>
      </c>
      <c r="L74">
        <f t="shared" si="13"/>
        <v>0</v>
      </c>
      <c r="M74">
        <f t="shared" si="14"/>
        <v>2</v>
      </c>
      <c r="N74" t="str">
        <f t="shared" si="16"/>
        <v>Night shift</v>
      </c>
    </row>
    <row r="75" spans="1:14" x14ac:dyDescent="0.3">
      <c r="A75" s="3">
        <v>74</v>
      </c>
      <c r="B75" s="4">
        <v>40547</v>
      </c>
      <c r="C75" s="3">
        <v>5</v>
      </c>
      <c r="D75" s="3" t="b">
        <v>0</v>
      </c>
      <c r="E75" s="3">
        <v>2</v>
      </c>
      <c r="F75" s="3">
        <v>1</v>
      </c>
      <c r="G75" s="3">
        <v>0.12</v>
      </c>
      <c r="H75" t="str">
        <f t="shared" si="15"/>
        <v>Tue</v>
      </c>
      <c r="I75">
        <f t="shared" si="10"/>
        <v>0.1515</v>
      </c>
      <c r="J75">
        <f t="shared" si="11"/>
        <v>0.68</v>
      </c>
      <c r="K75">
        <f t="shared" si="12"/>
        <v>0.1045</v>
      </c>
      <c r="L75">
        <f t="shared" si="13"/>
        <v>0</v>
      </c>
      <c r="M75">
        <f t="shared" si="14"/>
        <v>4</v>
      </c>
      <c r="N75" t="str">
        <f t="shared" si="16"/>
        <v>Night shift</v>
      </c>
    </row>
    <row r="76" spans="1:14" x14ac:dyDescent="0.3">
      <c r="A76" s="3">
        <v>75</v>
      </c>
      <c r="B76" s="4">
        <v>40547</v>
      </c>
      <c r="C76" s="3">
        <v>6</v>
      </c>
      <c r="D76" s="3" t="b">
        <v>0</v>
      </c>
      <c r="E76" s="3">
        <v>2</v>
      </c>
      <c r="F76" s="3">
        <v>1</v>
      </c>
      <c r="G76" s="3">
        <v>0.12</v>
      </c>
      <c r="H76" t="str">
        <f t="shared" si="15"/>
        <v>Tue</v>
      </c>
      <c r="I76">
        <f t="shared" si="10"/>
        <v>0.1515</v>
      </c>
      <c r="J76">
        <f t="shared" si="11"/>
        <v>0.74</v>
      </c>
      <c r="K76">
        <f t="shared" si="12"/>
        <v>0.1045</v>
      </c>
      <c r="L76">
        <f t="shared" si="13"/>
        <v>0</v>
      </c>
      <c r="M76">
        <f t="shared" si="14"/>
        <v>36</v>
      </c>
      <c r="N76" t="str">
        <f t="shared" si="16"/>
        <v>Day Shift</v>
      </c>
    </row>
    <row r="77" spans="1:14" x14ac:dyDescent="0.3">
      <c r="A77" s="3">
        <v>76</v>
      </c>
      <c r="B77" s="4">
        <v>40547</v>
      </c>
      <c r="C77" s="3">
        <v>7</v>
      </c>
      <c r="D77" s="3" t="b">
        <v>0</v>
      </c>
      <c r="E77" s="3">
        <v>2</v>
      </c>
      <c r="F77" s="3">
        <v>1</v>
      </c>
      <c r="G77" s="3">
        <v>0.12</v>
      </c>
      <c r="H77" t="str">
        <f t="shared" si="15"/>
        <v>Tue</v>
      </c>
      <c r="I77">
        <f t="shared" si="10"/>
        <v>0.1515</v>
      </c>
      <c r="J77">
        <f t="shared" si="11"/>
        <v>0.74</v>
      </c>
      <c r="K77">
        <f t="shared" si="12"/>
        <v>0.1343</v>
      </c>
      <c r="L77">
        <f t="shared" si="13"/>
        <v>2</v>
      </c>
      <c r="M77">
        <f t="shared" si="14"/>
        <v>92</v>
      </c>
      <c r="N77" t="str">
        <f t="shared" si="16"/>
        <v>Day Shift</v>
      </c>
    </row>
    <row r="78" spans="1:14" x14ac:dyDescent="0.3">
      <c r="A78" s="3">
        <v>77</v>
      </c>
      <c r="B78" s="4">
        <v>40547</v>
      </c>
      <c r="C78" s="3">
        <v>8</v>
      </c>
      <c r="D78" s="3" t="b">
        <v>0</v>
      </c>
      <c r="E78" s="3">
        <v>2</v>
      </c>
      <c r="F78" s="3">
        <v>1</v>
      </c>
      <c r="G78" s="3">
        <v>0.14000000000000001</v>
      </c>
      <c r="H78" t="str">
        <f t="shared" si="15"/>
        <v>Tue</v>
      </c>
      <c r="I78">
        <f t="shared" si="10"/>
        <v>0.1515</v>
      </c>
      <c r="J78">
        <f t="shared" si="11"/>
        <v>0.69</v>
      </c>
      <c r="K78">
        <f t="shared" si="12"/>
        <v>0.16420000000000001</v>
      </c>
      <c r="L78">
        <f t="shared" si="13"/>
        <v>2</v>
      </c>
      <c r="M78">
        <f t="shared" si="14"/>
        <v>177</v>
      </c>
      <c r="N78" t="str">
        <f t="shared" si="16"/>
        <v>Day Shift</v>
      </c>
    </row>
    <row r="79" spans="1:14" x14ac:dyDescent="0.3">
      <c r="A79" s="3">
        <v>78</v>
      </c>
      <c r="B79" s="4">
        <v>40547</v>
      </c>
      <c r="C79" s="3">
        <v>9</v>
      </c>
      <c r="D79" s="3" t="b">
        <v>0</v>
      </c>
      <c r="E79" s="3">
        <v>2</v>
      </c>
      <c r="F79" s="3">
        <v>1</v>
      </c>
      <c r="G79" s="3">
        <v>0.16</v>
      </c>
      <c r="H79" t="str">
        <f t="shared" si="15"/>
        <v>Tue</v>
      </c>
      <c r="I79">
        <f t="shared" si="10"/>
        <v>0.1515</v>
      </c>
      <c r="J79">
        <f t="shared" si="11"/>
        <v>0.64</v>
      </c>
      <c r="K79">
        <f t="shared" si="12"/>
        <v>0.22389999999999999</v>
      </c>
      <c r="L79">
        <f t="shared" si="13"/>
        <v>2</v>
      </c>
      <c r="M79">
        <f t="shared" si="14"/>
        <v>98</v>
      </c>
      <c r="N79" t="str">
        <f t="shared" si="16"/>
        <v>Day Shift</v>
      </c>
    </row>
    <row r="80" spans="1:14" x14ac:dyDescent="0.3">
      <c r="A80" s="3">
        <v>79</v>
      </c>
      <c r="B80" s="4">
        <v>40547</v>
      </c>
      <c r="C80" s="3">
        <v>10</v>
      </c>
      <c r="D80" s="3" t="b">
        <v>0</v>
      </c>
      <c r="E80" s="3">
        <v>2</v>
      </c>
      <c r="F80" s="3">
        <v>2</v>
      </c>
      <c r="G80" s="3">
        <v>0.16</v>
      </c>
      <c r="H80" t="str">
        <f t="shared" si="15"/>
        <v>Tue</v>
      </c>
      <c r="I80">
        <f t="shared" si="10"/>
        <v>0.13639999999999999</v>
      </c>
      <c r="J80">
        <f t="shared" si="11"/>
        <v>0.69</v>
      </c>
      <c r="K80">
        <f t="shared" si="12"/>
        <v>0.32840000000000003</v>
      </c>
      <c r="L80">
        <f t="shared" si="13"/>
        <v>5</v>
      </c>
      <c r="M80">
        <f t="shared" si="14"/>
        <v>37</v>
      </c>
      <c r="N80" t="str">
        <f t="shared" si="16"/>
        <v>Day Shift</v>
      </c>
    </row>
    <row r="81" spans="1:14" x14ac:dyDescent="0.3">
      <c r="A81" s="3">
        <v>80</v>
      </c>
      <c r="B81" s="4">
        <v>40547</v>
      </c>
      <c r="C81" s="3">
        <v>11</v>
      </c>
      <c r="D81" s="3" t="b">
        <v>0</v>
      </c>
      <c r="E81" s="3">
        <v>2</v>
      </c>
      <c r="F81" s="3">
        <v>1</v>
      </c>
      <c r="G81" s="3">
        <v>0.22</v>
      </c>
      <c r="H81" t="str">
        <f t="shared" si="15"/>
        <v>Tue</v>
      </c>
      <c r="I81">
        <f t="shared" si="10"/>
        <v>0.21210000000000001</v>
      </c>
      <c r="J81">
        <f t="shared" si="11"/>
        <v>0.51</v>
      </c>
      <c r="K81">
        <f t="shared" si="12"/>
        <v>0.29849999999999999</v>
      </c>
      <c r="L81">
        <f t="shared" si="13"/>
        <v>7</v>
      </c>
      <c r="M81">
        <f t="shared" si="14"/>
        <v>50</v>
      </c>
      <c r="N81" t="str">
        <f t="shared" si="16"/>
        <v>Day Shift</v>
      </c>
    </row>
    <row r="82" spans="1:14" x14ac:dyDescent="0.3">
      <c r="A82" s="3">
        <v>81</v>
      </c>
      <c r="B82" s="4">
        <v>40547</v>
      </c>
      <c r="C82" s="3">
        <v>12</v>
      </c>
      <c r="D82" s="3" t="b">
        <v>0</v>
      </c>
      <c r="E82" s="3">
        <v>2</v>
      </c>
      <c r="F82" s="3">
        <v>1</v>
      </c>
      <c r="G82" s="3">
        <v>0.22</v>
      </c>
      <c r="H82" t="str">
        <f t="shared" si="15"/>
        <v>Tue</v>
      </c>
      <c r="I82">
        <f t="shared" si="10"/>
        <v>0.2273</v>
      </c>
      <c r="J82">
        <f t="shared" si="11"/>
        <v>0.51</v>
      </c>
      <c r="K82">
        <f t="shared" si="12"/>
        <v>0.16420000000000001</v>
      </c>
      <c r="L82">
        <f t="shared" si="13"/>
        <v>12</v>
      </c>
      <c r="M82">
        <f t="shared" si="14"/>
        <v>66</v>
      </c>
      <c r="N82" t="str">
        <f t="shared" si="16"/>
        <v>Day Shift</v>
      </c>
    </row>
    <row r="83" spans="1:14" x14ac:dyDescent="0.3">
      <c r="A83" s="3">
        <v>82</v>
      </c>
      <c r="B83" s="4">
        <v>40547</v>
      </c>
      <c r="C83" s="3">
        <v>13</v>
      </c>
      <c r="D83" s="3" t="b">
        <v>0</v>
      </c>
      <c r="E83" s="3">
        <v>2</v>
      </c>
      <c r="F83" s="3">
        <v>1</v>
      </c>
      <c r="G83" s="3">
        <v>0.24</v>
      </c>
      <c r="H83" t="str">
        <f t="shared" si="15"/>
        <v>Tue</v>
      </c>
      <c r="I83">
        <f t="shared" si="10"/>
        <v>0.2273</v>
      </c>
      <c r="J83">
        <f t="shared" si="11"/>
        <v>0.56000000000000005</v>
      </c>
      <c r="K83">
        <f t="shared" si="12"/>
        <v>0.19400000000000001</v>
      </c>
      <c r="L83">
        <f t="shared" si="13"/>
        <v>18</v>
      </c>
      <c r="M83">
        <f t="shared" si="14"/>
        <v>79</v>
      </c>
      <c r="N83" t="str">
        <f t="shared" si="16"/>
        <v>Day Shift</v>
      </c>
    </row>
    <row r="84" spans="1:14" x14ac:dyDescent="0.3">
      <c r="A84" s="3">
        <v>83</v>
      </c>
      <c r="B84" s="4">
        <v>40547</v>
      </c>
      <c r="C84" s="3">
        <v>14</v>
      </c>
      <c r="D84" s="3" t="b">
        <v>0</v>
      </c>
      <c r="E84" s="3">
        <v>2</v>
      </c>
      <c r="F84" s="3">
        <v>1</v>
      </c>
      <c r="G84" s="3">
        <v>0.26</v>
      </c>
      <c r="H84" t="str">
        <f t="shared" si="15"/>
        <v>Tue</v>
      </c>
      <c r="I84">
        <f t="shared" si="10"/>
        <v>0.2576</v>
      </c>
      <c r="J84">
        <f t="shared" si="11"/>
        <v>0.52</v>
      </c>
      <c r="K84">
        <f t="shared" si="12"/>
        <v>0.22389999999999999</v>
      </c>
      <c r="L84">
        <f t="shared" si="13"/>
        <v>9</v>
      </c>
      <c r="M84">
        <f t="shared" si="14"/>
        <v>54</v>
      </c>
      <c r="N84" t="str">
        <f t="shared" si="16"/>
        <v>Day Shift</v>
      </c>
    </row>
    <row r="85" spans="1:14" x14ac:dyDescent="0.3">
      <c r="A85" s="3">
        <v>84</v>
      </c>
      <c r="B85" s="4">
        <v>40547</v>
      </c>
      <c r="C85" s="3">
        <v>15</v>
      </c>
      <c r="D85" s="3" t="b">
        <v>0</v>
      </c>
      <c r="E85" s="3">
        <v>2</v>
      </c>
      <c r="F85" s="3">
        <v>1</v>
      </c>
      <c r="G85" s="3">
        <v>0.28000000000000003</v>
      </c>
      <c r="H85" t="str">
        <f t="shared" si="15"/>
        <v>Tue</v>
      </c>
      <c r="I85">
        <f t="shared" si="10"/>
        <v>0.2727</v>
      </c>
      <c r="J85">
        <f t="shared" si="11"/>
        <v>0.52</v>
      </c>
      <c r="K85">
        <f t="shared" si="12"/>
        <v>0.25369999999999998</v>
      </c>
      <c r="L85">
        <f t="shared" si="13"/>
        <v>17</v>
      </c>
      <c r="M85">
        <f t="shared" si="14"/>
        <v>48</v>
      </c>
      <c r="N85" t="str">
        <f t="shared" si="16"/>
        <v>Day Shift</v>
      </c>
    </row>
    <row r="86" spans="1:14" x14ac:dyDescent="0.3">
      <c r="A86" s="3">
        <v>85</v>
      </c>
      <c r="B86" s="4">
        <v>40547</v>
      </c>
      <c r="C86" s="3">
        <v>16</v>
      </c>
      <c r="D86" s="3" t="b">
        <v>0</v>
      </c>
      <c r="E86" s="3">
        <v>2</v>
      </c>
      <c r="F86" s="3">
        <v>1</v>
      </c>
      <c r="G86" s="3">
        <v>0.3</v>
      </c>
      <c r="H86" t="str">
        <f t="shared" si="15"/>
        <v>Tue</v>
      </c>
      <c r="I86">
        <f t="shared" si="10"/>
        <v>0.28789999999999999</v>
      </c>
      <c r="J86">
        <f t="shared" si="11"/>
        <v>0.49</v>
      </c>
      <c r="K86">
        <f t="shared" si="12"/>
        <v>0.25369999999999998</v>
      </c>
      <c r="L86">
        <f t="shared" si="13"/>
        <v>15</v>
      </c>
      <c r="M86">
        <f t="shared" si="14"/>
        <v>68</v>
      </c>
      <c r="N86" t="str">
        <f t="shared" si="16"/>
        <v>Day Shift</v>
      </c>
    </row>
    <row r="87" spans="1:14" x14ac:dyDescent="0.3">
      <c r="A87" s="3">
        <v>86</v>
      </c>
      <c r="B87" s="4">
        <v>40547</v>
      </c>
      <c r="C87" s="3">
        <v>17</v>
      </c>
      <c r="D87" s="3" t="b">
        <v>0</v>
      </c>
      <c r="E87" s="3">
        <v>2</v>
      </c>
      <c r="F87" s="3">
        <v>1</v>
      </c>
      <c r="G87" s="3">
        <v>0.28000000000000003</v>
      </c>
      <c r="H87" t="str">
        <f t="shared" si="15"/>
        <v>Tue</v>
      </c>
      <c r="I87">
        <f t="shared" si="10"/>
        <v>0.2727</v>
      </c>
      <c r="J87">
        <f t="shared" si="11"/>
        <v>0.48</v>
      </c>
      <c r="K87">
        <f t="shared" si="12"/>
        <v>0.22389999999999999</v>
      </c>
      <c r="L87">
        <f t="shared" si="13"/>
        <v>10</v>
      </c>
      <c r="M87">
        <f t="shared" si="14"/>
        <v>202</v>
      </c>
      <c r="N87" t="str">
        <f t="shared" si="16"/>
        <v>Day Shift</v>
      </c>
    </row>
    <row r="88" spans="1:14" x14ac:dyDescent="0.3">
      <c r="A88" s="3">
        <v>87</v>
      </c>
      <c r="B88" s="4">
        <v>40547</v>
      </c>
      <c r="C88" s="3">
        <v>18</v>
      </c>
      <c r="D88" s="3" t="b">
        <v>0</v>
      </c>
      <c r="E88" s="3">
        <v>2</v>
      </c>
      <c r="F88" s="3">
        <v>1</v>
      </c>
      <c r="G88" s="3">
        <v>0.26</v>
      </c>
      <c r="H88" t="str">
        <f t="shared" si="15"/>
        <v>Tue</v>
      </c>
      <c r="I88">
        <f t="shared" si="10"/>
        <v>0.2576</v>
      </c>
      <c r="J88">
        <f t="shared" si="11"/>
        <v>0.48</v>
      </c>
      <c r="K88">
        <f t="shared" si="12"/>
        <v>0.19400000000000001</v>
      </c>
      <c r="L88">
        <f t="shared" si="13"/>
        <v>3</v>
      </c>
      <c r="M88">
        <f t="shared" si="14"/>
        <v>179</v>
      </c>
      <c r="N88" t="str">
        <f t="shared" si="16"/>
        <v>Day Shift</v>
      </c>
    </row>
    <row r="89" spans="1:14" x14ac:dyDescent="0.3">
      <c r="A89" s="3">
        <v>88</v>
      </c>
      <c r="B89" s="4">
        <v>40547</v>
      </c>
      <c r="C89" s="3">
        <v>19</v>
      </c>
      <c r="D89" s="3" t="b">
        <v>0</v>
      </c>
      <c r="E89" s="3">
        <v>2</v>
      </c>
      <c r="F89" s="3">
        <v>1</v>
      </c>
      <c r="G89" s="3">
        <v>0.24</v>
      </c>
      <c r="H89" t="str">
        <f t="shared" si="15"/>
        <v>Tue</v>
      </c>
      <c r="I89">
        <f t="shared" si="10"/>
        <v>0.2576</v>
      </c>
      <c r="J89">
        <f t="shared" si="11"/>
        <v>0.48</v>
      </c>
      <c r="K89">
        <f t="shared" si="12"/>
        <v>0.1045</v>
      </c>
      <c r="L89">
        <f t="shared" si="13"/>
        <v>2</v>
      </c>
      <c r="M89">
        <f t="shared" si="14"/>
        <v>110</v>
      </c>
      <c r="N89" t="str">
        <f t="shared" si="16"/>
        <v>Night shift</v>
      </c>
    </row>
    <row r="90" spans="1:14" x14ac:dyDescent="0.3">
      <c r="A90" s="3">
        <v>89</v>
      </c>
      <c r="B90" s="4">
        <v>40547</v>
      </c>
      <c r="C90" s="3">
        <v>20</v>
      </c>
      <c r="D90" s="3" t="b">
        <v>0</v>
      </c>
      <c r="E90" s="3">
        <v>2</v>
      </c>
      <c r="F90" s="3">
        <v>1</v>
      </c>
      <c r="G90" s="3">
        <v>0.24</v>
      </c>
      <c r="H90" t="str">
        <f t="shared" si="15"/>
        <v>Tue</v>
      </c>
      <c r="I90">
        <f t="shared" si="10"/>
        <v>0.2576</v>
      </c>
      <c r="J90">
        <f t="shared" si="11"/>
        <v>0.48</v>
      </c>
      <c r="K90">
        <f t="shared" si="12"/>
        <v>0.1045</v>
      </c>
      <c r="L90">
        <f t="shared" si="13"/>
        <v>1</v>
      </c>
      <c r="M90">
        <f t="shared" si="14"/>
        <v>53</v>
      </c>
      <c r="N90" t="str">
        <f t="shared" si="16"/>
        <v>Night shift</v>
      </c>
    </row>
    <row r="91" spans="1:14" x14ac:dyDescent="0.3">
      <c r="A91" s="3">
        <v>90</v>
      </c>
      <c r="B91" s="4">
        <v>40547</v>
      </c>
      <c r="C91" s="3">
        <v>21</v>
      </c>
      <c r="D91" s="3" t="b">
        <v>0</v>
      </c>
      <c r="E91" s="3">
        <v>2</v>
      </c>
      <c r="F91" s="3">
        <v>1</v>
      </c>
      <c r="G91" s="3">
        <v>0.22</v>
      </c>
      <c r="H91" t="str">
        <f t="shared" si="15"/>
        <v>Tue</v>
      </c>
      <c r="I91">
        <f t="shared" si="10"/>
        <v>0.2727</v>
      </c>
      <c r="J91">
        <f t="shared" si="11"/>
        <v>0.64</v>
      </c>
      <c r="K91">
        <f t="shared" si="12"/>
        <v>0</v>
      </c>
      <c r="L91">
        <f t="shared" si="13"/>
        <v>0</v>
      </c>
      <c r="M91">
        <f t="shared" si="14"/>
        <v>48</v>
      </c>
      <c r="N91" t="str">
        <f t="shared" si="16"/>
        <v>Night shift</v>
      </c>
    </row>
    <row r="92" spans="1:14" x14ac:dyDescent="0.3">
      <c r="A92" s="3">
        <v>91</v>
      </c>
      <c r="B92" s="4">
        <v>40547</v>
      </c>
      <c r="C92" s="3">
        <v>22</v>
      </c>
      <c r="D92" s="3" t="b">
        <v>0</v>
      </c>
      <c r="E92" s="3">
        <v>2</v>
      </c>
      <c r="F92" s="3">
        <v>1</v>
      </c>
      <c r="G92" s="3">
        <v>0.22</v>
      </c>
      <c r="H92" t="str">
        <f t="shared" si="15"/>
        <v>Tue</v>
      </c>
      <c r="I92">
        <f t="shared" si="10"/>
        <v>0.2576</v>
      </c>
      <c r="J92">
        <f t="shared" si="11"/>
        <v>0.64</v>
      </c>
      <c r="K92">
        <f t="shared" si="12"/>
        <v>8.9599999999999999E-2</v>
      </c>
      <c r="L92">
        <f t="shared" si="13"/>
        <v>1</v>
      </c>
      <c r="M92">
        <f t="shared" si="14"/>
        <v>34</v>
      </c>
      <c r="N92" t="str">
        <f t="shared" si="16"/>
        <v>Night shift</v>
      </c>
    </row>
    <row r="93" spans="1:14" x14ac:dyDescent="0.3">
      <c r="A93" s="3">
        <v>92</v>
      </c>
      <c r="B93" s="4">
        <v>40547</v>
      </c>
      <c r="C93" s="3">
        <v>23</v>
      </c>
      <c r="D93" s="3" t="b">
        <v>0</v>
      </c>
      <c r="E93" s="3">
        <v>2</v>
      </c>
      <c r="F93" s="3">
        <v>1</v>
      </c>
      <c r="G93" s="3">
        <v>0.2</v>
      </c>
      <c r="H93" t="str">
        <f t="shared" si="15"/>
        <v>Tue</v>
      </c>
      <c r="I93">
        <f t="shared" si="10"/>
        <v>0.2273</v>
      </c>
      <c r="J93">
        <f t="shared" si="11"/>
        <v>0.69</v>
      </c>
      <c r="K93">
        <f t="shared" si="12"/>
        <v>8.9599999999999999E-2</v>
      </c>
      <c r="L93">
        <f t="shared" si="13"/>
        <v>2</v>
      </c>
      <c r="M93">
        <f t="shared" si="14"/>
        <v>9</v>
      </c>
      <c r="N93" t="str">
        <f t="shared" si="16"/>
        <v>Night shift</v>
      </c>
    </row>
    <row r="94" spans="1:14" x14ac:dyDescent="0.3">
      <c r="A94" s="3">
        <v>93</v>
      </c>
      <c r="B94" s="4">
        <v>40548</v>
      </c>
      <c r="C94" s="3">
        <v>0</v>
      </c>
      <c r="D94" s="3" t="b">
        <v>0</v>
      </c>
      <c r="E94" s="3">
        <v>3</v>
      </c>
      <c r="F94" s="3">
        <v>1</v>
      </c>
      <c r="G94" s="3">
        <v>0.2</v>
      </c>
      <c r="H94" t="str">
        <f t="shared" si="15"/>
        <v>Wed</v>
      </c>
      <c r="I94">
        <f t="shared" si="10"/>
        <v>0.2576</v>
      </c>
      <c r="J94">
        <f t="shared" si="11"/>
        <v>0.64</v>
      </c>
      <c r="K94">
        <f t="shared" si="12"/>
        <v>0</v>
      </c>
      <c r="L94">
        <f t="shared" si="13"/>
        <v>0</v>
      </c>
      <c r="M94">
        <f t="shared" si="14"/>
        <v>6</v>
      </c>
      <c r="N94" t="str">
        <f t="shared" si="16"/>
        <v>Night shift</v>
      </c>
    </row>
    <row r="95" spans="1:14" x14ac:dyDescent="0.3">
      <c r="A95" s="3">
        <v>94</v>
      </c>
      <c r="B95" s="4">
        <v>40548</v>
      </c>
      <c r="C95" s="3">
        <v>1</v>
      </c>
      <c r="D95" s="3" t="b">
        <v>0</v>
      </c>
      <c r="E95" s="3">
        <v>3</v>
      </c>
      <c r="F95" s="3">
        <v>1</v>
      </c>
      <c r="G95" s="3">
        <v>0.16</v>
      </c>
      <c r="H95" t="str">
        <f t="shared" si="15"/>
        <v>Wed</v>
      </c>
      <c r="I95">
        <f t="shared" si="10"/>
        <v>0.19700000000000001</v>
      </c>
      <c r="J95">
        <f t="shared" si="11"/>
        <v>0.74</v>
      </c>
      <c r="K95">
        <f t="shared" si="12"/>
        <v>8.9599999999999999E-2</v>
      </c>
      <c r="L95">
        <f t="shared" si="13"/>
        <v>0</v>
      </c>
      <c r="M95">
        <f t="shared" si="14"/>
        <v>6</v>
      </c>
      <c r="N95" t="str">
        <f t="shared" si="16"/>
        <v>Night shift</v>
      </c>
    </row>
    <row r="96" spans="1:14" x14ac:dyDescent="0.3">
      <c r="A96" s="3">
        <v>95</v>
      </c>
      <c r="B96" s="4">
        <v>40548</v>
      </c>
      <c r="C96" s="3">
        <v>2</v>
      </c>
      <c r="D96" s="3" t="b">
        <v>0</v>
      </c>
      <c r="E96" s="3">
        <v>3</v>
      </c>
      <c r="F96" s="3">
        <v>1</v>
      </c>
      <c r="G96" s="3">
        <v>0.16</v>
      </c>
      <c r="H96" t="str">
        <f t="shared" si="15"/>
        <v>Wed</v>
      </c>
      <c r="I96">
        <f t="shared" si="10"/>
        <v>0.19700000000000001</v>
      </c>
      <c r="J96">
        <f t="shared" si="11"/>
        <v>0.74</v>
      </c>
      <c r="K96">
        <f t="shared" si="12"/>
        <v>8.9599999999999999E-2</v>
      </c>
      <c r="L96">
        <f t="shared" si="13"/>
        <v>0</v>
      </c>
      <c r="M96">
        <f t="shared" si="14"/>
        <v>2</v>
      </c>
      <c r="N96" t="str">
        <f t="shared" si="16"/>
        <v>Night shift</v>
      </c>
    </row>
    <row r="97" spans="1:14" x14ac:dyDescent="0.3">
      <c r="A97" s="3">
        <v>96</v>
      </c>
      <c r="B97" s="4">
        <v>40548</v>
      </c>
      <c r="C97" s="3">
        <v>4</v>
      </c>
      <c r="D97" s="3" t="b">
        <v>0</v>
      </c>
      <c r="E97" s="3">
        <v>3</v>
      </c>
      <c r="F97" s="3">
        <v>1</v>
      </c>
      <c r="G97" s="3">
        <v>0.24</v>
      </c>
      <c r="H97" t="str">
        <f t="shared" si="15"/>
        <v>Wed</v>
      </c>
      <c r="I97">
        <f t="shared" si="10"/>
        <v>0.2273</v>
      </c>
      <c r="J97">
        <f t="shared" si="11"/>
        <v>0.48</v>
      </c>
      <c r="K97">
        <f t="shared" si="12"/>
        <v>0.22389999999999999</v>
      </c>
      <c r="L97">
        <f t="shared" si="13"/>
        <v>0</v>
      </c>
      <c r="M97">
        <f t="shared" si="14"/>
        <v>2</v>
      </c>
      <c r="N97" t="str">
        <f t="shared" si="16"/>
        <v>Night shift</v>
      </c>
    </row>
    <row r="98" spans="1:14" x14ac:dyDescent="0.3">
      <c r="A98" s="3">
        <v>97</v>
      </c>
      <c r="B98" s="4">
        <v>40548</v>
      </c>
      <c r="C98" s="3">
        <v>5</v>
      </c>
      <c r="D98" s="3" t="b">
        <v>0</v>
      </c>
      <c r="E98" s="3">
        <v>3</v>
      </c>
      <c r="F98" s="3">
        <v>1</v>
      </c>
      <c r="G98" s="3">
        <v>0.22</v>
      </c>
      <c r="H98" t="str">
        <f t="shared" si="15"/>
        <v>Wed</v>
      </c>
      <c r="I98">
        <f t="shared" si="10"/>
        <v>0.2273</v>
      </c>
      <c r="J98">
        <f t="shared" si="11"/>
        <v>0.47</v>
      </c>
      <c r="K98">
        <f t="shared" si="12"/>
        <v>0.16420000000000001</v>
      </c>
      <c r="L98">
        <f t="shared" si="13"/>
        <v>0</v>
      </c>
      <c r="M98">
        <f t="shared" si="14"/>
        <v>3</v>
      </c>
      <c r="N98" t="str">
        <f t="shared" si="16"/>
        <v>Night shift</v>
      </c>
    </row>
    <row r="99" spans="1:14" x14ac:dyDescent="0.3">
      <c r="A99" s="3">
        <v>98</v>
      </c>
      <c r="B99" s="4">
        <v>40548</v>
      </c>
      <c r="C99" s="3">
        <v>6</v>
      </c>
      <c r="D99" s="3" t="b">
        <v>0</v>
      </c>
      <c r="E99" s="3">
        <v>3</v>
      </c>
      <c r="F99" s="3">
        <v>1</v>
      </c>
      <c r="G99" s="3">
        <v>0.2</v>
      </c>
      <c r="H99" t="str">
        <f t="shared" si="15"/>
        <v>Wed</v>
      </c>
      <c r="I99">
        <f t="shared" si="10"/>
        <v>0.19700000000000001</v>
      </c>
      <c r="J99">
        <f t="shared" si="11"/>
        <v>0.47</v>
      </c>
      <c r="K99">
        <f t="shared" si="12"/>
        <v>0.22389999999999999</v>
      </c>
      <c r="L99">
        <f t="shared" si="13"/>
        <v>0</v>
      </c>
      <c r="M99">
        <f t="shared" si="14"/>
        <v>33</v>
      </c>
      <c r="N99" t="str">
        <f t="shared" si="16"/>
        <v>Day Shift</v>
      </c>
    </row>
    <row r="100" spans="1:14" x14ac:dyDescent="0.3">
      <c r="A100" s="3">
        <v>99</v>
      </c>
      <c r="B100" s="4">
        <v>40548</v>
      </c>
      <c r="C100" s="3">
        <v>7</v>
      </c>
      <c r="D100" s="3" t="b">
        <v>0</v>
      </c>
      <c r="E100" s="3">
        <v>3</v>
      </c>
      <c r="F100" s="3">
        <v>1</v>
      </c>
      <c r="G100" s="3">
        <v>0.18</v>
      </c>
      <c r="H100" t="str">
        <f t="shared" si="15"/>
        <v>Wed</v>
      </c>
      <c r="I100">
        <f t="shared" si="10"/>
        <v>0.18179999999999999</v>
      </c>
      <c r="J100">
        <f t="shared" si="11"/>
        <v>0.43</v>
      </c>
      <c r="K100">
        <f t="shared" si="12"/>
        <v>0.19400000000000001</v>
      </c>
      <c r="L100">
        <f t="shared" si="13"/>
        <v>1</v>
      </c>
      <c r="M100">
        <f t="shared" si="14"/>
        <v>87</v>
      </c>
      <c r="N100" t="str">
        <f t="shared" si="16"/>
        <v>Day Shift</v>
      </c>
    </row>
    <row r="101" spans="1:14" x14ac:dyDescent="0.3">
      <c r="A101" s="3">
        <v>100</v>
      </c>
      <c r="B101" s="4">
        <v>40548</v>
      </c>
      <c r="C101" s="3">
        <v>8</v>
      </c>
      <c r="D101" s="3" t="b">
        <v>0</v>
      </c>
      <c r="E101" s="3">
        <v>3</v>
      </c>
      <c r="F101" s="3">
        <v>1</v>
      </c>
      <c r="G101" s="3">
        <v>0.2</v>
      </c>
      <c r="H101" t="str">
        <f t="shared" si="15"/>
        <v>Wed</v>
      </c>
      <c r="I101">
        <f t="shared" si="10"/>
        <v>0.18179999999999999</v>
      </c>
      <c r="J101">
        <f t="shared" si="11"/>
        <v>0.4</v>
      </c>
      <c r="K101">
        <f t="shared" si="12"/>
        <v>0.29849999999999999</v>
      </c>
      <c r="L101">
        <f t="shared" si="13"/>
        <v>3</v>
      </c>
      <c r="M101">
        <f t="shared" si="14"/>
        <v>192</v>
      </c>
      <c r="N101" t="str">
        <f t="shared" si="16"/>
        <v>Day Shift</v>
      </c>
    </row>
    <row r="102" spans="1:14" x14ac:dyDescent="0.3">
      <c r="A102" s="3">
        <v>101</v>
      </c>
      <c r="B102" s="4">
        <v>40548</v>
      </c>
      <c r="C102" s="3">
        <v>9</v>
      </c>
      <c r="D102" s="3" t="b">
        <v>0</v>
      </c>
      <c r="E102" s="3">
        <v>3</v>
      </c>
      <c r="F102" s="3">
        <v>1</v>
      </c>
      <c r="G102" s="3">
        <v>0.22</v>
      </c>
      <c r="H102" t="str">
        <f t="shared" si="15"/>
        <v>Wed</v>
      </c>
      <c r="I102">
        <f t="shared" si="10"/>
        <v>0.19700000000000001</v>
      </c>
      <c r="J102">
        <f t="shared" si="11"/>
        <v>0.37</v>
      </c>
      <c r="K102">
        <f t="shared" si="12"/>
        <v>0.32840000000000003</v>
      </c>
      <c r="L102">
        <f t="shared" si="13"/>
        <v>6</v>
      </c>
      <c r="M102">
        <f t="shared" si="14"/>
        <v>109</v>
      </c>
      <c r="N102" t="str">
        <f t="shared" si="16"/>
        <v>Day Shift</v>
      </c>
    </row>
    <row r="103" spans="1:14" x14ac:dyDescent="0.3">
      <c r="A103" s="3">
        <v>102</v>
      </c>
      <c r="B103" s="4">
        <v>40548</v>
      </c>
      <c r="C103" s="3">
        <v>10</v>
      </c>
      <c r="D103" s="3" t="b">
        <v>0</v>
      </c>
      <c r="E103" s="3">
        <v>3</v>
      </c>
      <c r="F103" s="3">
        <v>1</v>
      </c>
      <c r="G103" s="3">
        <v>0.22</v>
      </c>
      <c r="H103" t="str">
        <f t="shared" si="15"/>
        <v>Wed</v>
      </c>
      <c r="I103">
        <f t="shared" si="10"/>
        <v>0.19700000000000001</v>
      </c>
      <c r="J103">
        <f t="shared" si="11"/>
        <v>0.37</v>
      </c>
      <c r="K103">
        <f t="shared" si="12"/>
        <v>0.32840000000000003</v>
      </c>
      <c r="L103">
        <f t="shared" si="13"/>
        <v>4</v>
      </c>
      <c r="M103">
        <f t="shared" si="14"/>
        <v>53</v>
      </c>
      <c r="N103" t="str">
        <f t="shared" si="16"/>
        <v>Day Shift</v>
      </c>
    </row>
    <row r="104" spans="1:14" x14ac:dyDescent="0.3">
      <c r="A104" s="3">
        <v>103</v>
      </c>
      <c r="B104" s="4">
        <v>40548</v>
      </c>
      <c r="C104" s="3">
        <v>11</v>
      </c>
      <c r="D104" s="3" t="b">
        <v>0</v>
      </c>
      <c r="E104" s="3">
        <v>3</v>
      </c>
      <c r="F104" s="3">
        <v>1</v>
      </c>
      <c r="G104" s="3">
        <v>0.26</v>
      </c>
      <c r="H104" t="str">
        <f t="shared" si="15"/>
        <v>Wed</v>
      </c>
      <c r="I104">
        <f t="shared" si="10"/>
        <v>0.2273</v>
      </c>
      <c r="J104">
        <f t="shared" si="11"/>
        <v>0.33</v>
      </c>
      <c r="K104">
        <f t="shared" si="12"/>
        <v>0.32840000000000003</v>
      </c>
      <c r="L104">
        <f t="shared" si="13"/>
        <v>12</v>
      </c>
      <c r="M104">
        <f t="shared" si="14"/>
        <v>34</v>
      </c>
      <c r="N104" t="str">
        <f t="shared" si="16"/>
        <v>Day Shift</v>
      </c>
    </row>
    <row r="105" spans="1:14" x14ac:dyDescent="0.3">
      <c r="A105" s="3">
        <v>104</v>
      </c>
      <c r="B105" s="4">
        <v>40548</v>
      </c>
      <c r="C105" s="3">
        <v>12</v>
      </c>
      <c r="D105" s="3" t="b">
        <v>0</v>
      </c>
      <c r="E105" s="3">
        <v>3</v>
      </c>
      <c r="F105" s="3">
        <v>1</v>
      </c>
      <c r="G105" s="3">
        <v>0.26</v>
      </c>
      <c r="H105" t="str">
        <f t="shared" si="15"/>
        <v>Wed</v>
      </c>
      <c r="I105">
        <f t="shared" si="10"/>
        <v>0.2273</v>
      </c>
      <c r="J105">
        <f t="shared" si="11"/>
        <v>0.33</v>
      </c>
      <c r="K105">
        <f t="shared" si="12"/>
        <v>0.32840000000000003</v>
      </c>
      <c r="L105">
        <f t="shared" si="13"/>
        <v>5</v>
      </c>
      <c r="M105">
        <f t="shared" si="14"/>
        <v>74</v>
      </c>
      <c r="N105" t="str">
        <f t="shared" si="16"/>
        <v>Day Shift</v>
      </c>
    </row>
    <row r="106" spans="1:14" x14ac:dyDescent="0.3">
      <c r="A106" s="3">
        <v>105</v>
      </c>
      <c r="B106" s="4">
        <v>40548</v>
      </c>
      <c r="C106" s="3">
        <v>13</v>
      </c>
      <c r="D106" s="3" t="b">
        <v>0</v>
      </c>
      <c r="E106" s="3">
        <v>3</v>
      </c>
      <c r="F106" s="3">
        <v>1</v>
      </c>
      <c r="G106" s="3">
        <v>0.28000000000000003</v>
      </c>
      <c r="H106" t="str">
        <f t="shared" si="15"/>
        <v>Wed</v>
      </c>
      <c r="I106">
        <f t="shared" si="10"/>
        <v>0.2576</v>
      </c>
      <c r="J106">
        <f t="shared" si="11"/>
        <v>0.3</v>
      </c>
      <c r="K106">
        <f t="shared" si="12"/>
        <v>0.29849999999999999</v>
      </c>
      <c r="L106">
        <f t="shared" si="13"/>
        <v>6</v>
      </c>
      <c r="M106">
        <f t="shared" si="14"/>
        <v>65</v>
      </c>
      <c r="N106" t="str">
        <f t="shared" si="16"/>
        <v>Day Shift</v>
      </c>
    </row>
    <row r="107" spans="1:14" x14ac:dyDescent="0.3">
      <c r="A107" s="3">
        <v>106</v>
      </c>
      <c r="B107" s="4">
        <v>40548</v>
      </c>
      <c r="C107" s="3">
        <v>14</v>
      </c>
      <c r="D107" s="3" t="b">
        <v>0</v>
      </c>
      <c r="E107" s="3">
        <v>3</v>
      </c>
      <c r="F107" s="3">
        <v>1</v>
      </c>
      <c r="G107" s="3">
        <v>0.3</v>
      </c>
      <c r="H107" t="str">
        <f t="shared" si="15"/>
        <v>Wed</v>
      </c>
      <c r="I107">
        <f t="shared" si="10"/>
        <v>0.28789999999999999</v>
      </c>
      <c r="J107">
        <f t="shared" si="11"/>
        <v>0.28000000000000003</v>
      </c>
      <c r="K107">
        <f t="shared" si="12"/>
        <v>0.19400000000000001</v>
      </c>
      <c r="L107">
        <f t="shared" si="13"/>
        <v>10</v>
      </c>
      <c r="M107">
        <f t="shared" si="14"/>
        <v>52</v>
      </c>
      <c r="N107" t="str">
        <f t="shared" si="16"/>
        <v>Day Shift</v>
      </c>
    </row>
    <row r="108" spans="1:14" x14ac:dyDescent="0.3">
      <c r="A108" s="3">
        <v>107</v>
      </c>
      <c r="B108" s="4">
        <v>40548</v>
      </c>
      <c r="C108" s="3">
        <v>15</v>
      </c>
      <c r="D108" s="3" t="b">
        <v>0</v>
      </c>
      <c r="E108" s="3">
        <v>3</v>
      </c>
      <c r="F108" s="3">
        <v>1</v>
      </c>
      <c r="G108" s="3">
        <v>0.3</v>
      </c>
      <c r="H108" t="str">
        <f t="shared" si="15"/>
        <v>Wed</v>
      </c>
      <c r="I108">
        <f t="shared" si="10"/>
        <v>0.28789999999999999</v>
      </c>
      <c r="J108">
        <f t="shared" si="11"/>
        <v>0.28000000000000003</v>
      </c>
      <c r="K108">
        <f t="shared" si="12"/>
        <v>0.19400000000000001</v>
      </c>
      <c r="L108">
        <f t="shared" si="13"/>
        <v>7</v>
      </c>
      <c r="M108">
        <f t="shared" si="14"/>
        <v>55</v>
      </c>
      <c r="N108" t="str">
        <f t="shared" si="16"/>
        <v>Day Shift</v>
      </c>
    </row>
    <row r="109" spans="1:14" x14ac:dyDescent="0.3">
      <c r="A109" s="3">
        <v>108</v>
      </c>
      <c r="B109" s="4">
        <v>40548</v>
      </c>
      <c r="C109" s="3">
        <v>16</v>
      </c>
      <c r="D109" s="3" t="b">
        <v>0</v>
      </c>
      <c r="E109" s="3">
        <v>3</v>
      </c>
      <c r="F109" s="3">
        <v>1</v>
      </c>
      <c r="G109" s="3">
        <v>0.3</v>
      </c>
      <c r="H109" t="str">
        <f t="shared" si="15"/>
        <v>Wed</v>
      </c>
      <c r="I109">
        <f t="shared" si="10"/>
        <v>0.31819999999999998</v>
      </c>
      <c r="J109">
        <f t="shared" si="11"/>
        <v>0.28000000000000003</v>
      </c>
      <c r="K109">
        <f t="shared" si="12"/>
        <v>8.9599999999999999E-2</v>
      </c>
      <c r="L109">
        <f t="shared" si="13"/>
        <v>4</v>
      </c>
      <c r="M109">
        <f t="shared" si="14"/>
        <v>85</v>
      </c>
      <c r="N109" t="str">
        <f t="shared" si="16"/>
        <v>Day Shift</v>
      </c>
    </row>
    <row r="110" spans="1:14" x14ac:dyDescent="0.3">
      <c r="A110" s="3">
        <v>109</v>
      </c>
      <c r="B110" s="4">
        <v>40548</v>
      </c>
      <c r="C110" s="3">
        <v>17</v>
      </c>
      <c r="D110" s="3" t="b">
        <v>0</v>
      </c>
      <c r="E110" s="3">
        <v>3</v>
      </c>
      <c r="F110" s="3">
        <v>1</v>
      </c>
      <c r="G110" s="3">
        <v>0.24</v>
      </c>
      <c r="H110" t="str">
        <f t="shared" si="15"/>
        <v>Wed</v>
      </c>
      <c r="I110">
        <f t="shared" si="10"/>
        <v>0.2273</v>
      </c>
      <c r="J110">
        <f t="shared" si="11"/>
        <v>0.38</v>
      </c>
      <c r="K110">
        <f t="shared" si="12"/>
        <v>0.19400000000000001</v>
      </c>
      <c r="L110">
        <f t="shared" si="13"/>
        <v>4</v>
      </c>
      <c r="M110">
        <f t="shared" si="14"/>
        <v>186</v>
      </c>
      <c r="N110" t="str">
        <f t="shared" si="16"/>
        <v>Day Shift</v>
      </c>
    </row>
    <row r="111" spans="1:14" x14ac:dyDescent="0.3">
      <c r="A111" s="3">
        <v>110</v>
      </c>
      <c r="B111" s="4">
        <v>40548</v>
      </c>
      <c r="C111" s="3">
        <v>18</v>
      </c>
      <c r="D111" s="3" t="b">
        <v>0</v>
      </c>
      <c r="E111" s="3">
        <v>3</v>
      </c>
      <c r="F111" s="3">
        <v>1</v>
      </c>
      <c r="G111" s="3">
        <v>0.24</v>
      </c>
      <c r="H111" t="str">
        <f t="shared" si="15"/>
        <v>Wed</v>
      </c>
      <c r="I111">
        <f t="shared" si="10"/>
        <v>0.2424</v>
      </c>
      <c r="J111">
        <f t="shared" si="11"/>
        <v>0.38</v>
      </c>
      <c r="K111">
        <f t="shared" si="12"/>
        <v>0.1343</v>
      </c>
      <c r="L111">
        <f t="shared" si="13"/>
        <v>3</v>
      </c>
      <c r="M111">
        <f t="shared" si="14"/>
        <v>166</v>
      </c>
      <c r="N111" t="str">
        <f t="shared" si="16"/>
        <v>Day Shift</v>
      </c>
    </row>
    <row r="112" spans="1:14" x14ac:dyDescent="0.3">
      <c r="A112" s="3">
        <v>111</v>
      </c>
      <c r="B112" s="4">
        <v>40548</v>
      </c>
      <c r="C112" s="3">
        <v>19</v>
      </c>
      <c r="D112" s="3" t="b">
        <v>0</v>
      </c>
      <c r="E112" s="3">
        <v>3</v>
      </c>
      <c r="F112" s="3">
        <v>1</v>
      </c>
      <c r="G112" s="3">
        <v>0.24</v>
      </c>
      <c r="H112" t="str">
        <f t="shared" si="15"/>
        <v>Wed</v>
      </c>
      <c r="I112">
        <f t="shared" si="10"/>
        <v>0.2576</v>
      </c>
      <c r="J112">
        <f t="shared" si="11"/>
        <v>0.38</v>
      </c>
      <c r="K112">
        <f t="shared" si="12"/>
        <v>0.1045</v>
      </c>
      <c r="L112">
        <f t="shared" si="13"/>
        <v>5</v>
      </c>
      <c r="M112">
        <f t="shared" si="14"/>
        <v>127</v>
      </c>
      <c r="N112" t="str">
        <f t="shared" si="16"/>
        <v>Night shift</v>
      </c>
    </row>
    <row r="113" spans="1:14" x14ac:dyDescent="0.3">
      <c r="A113" s="3">
        <v>112</v>
      </c>
      <c r="B113" s="4">
        <v>40548</v>
      </c>
      <c r="C113" s="3">
        <v>20</v>
      </c>
      <c r="D113" s="3" t="b">
        <v>0</v>
      </c>
      <c r="E113" s="3">
        <v>3</v>
      </c>
      <c r="F113" s="3">
        <v>1</v>
      </c>
      <c r="G113" s="3">
        <v>0.22</v>
      </c>
      <c r="H113" t="str">
        <f t="shared" si="15"/>
        <v>Wed</v>
      </c>
      <c r="I113">
        <f t="shared" si="10"/>
        <v>0.2273</v>
      </c>
      <c r="J113">
        <f t="shared" si="11"/>
        <v>0.47</v>
      </c>
      <c r="K113">
        <f t="shared" si="12"/>
        <v>0.16420000000000001</v>
      </c>
      <c r="L113">
        <f t="shared" si="13"/>
        <v>7</v>
      </c>
      <c r="M113">
        <f t="shared" si="14"/>
        <v>82</v>
      </c>
      <c r="N113" t="str">
        <f t="shared" si="16"/>
        <v>Night shift</v>
      </c>
    </row>
    <row r="114" spans="1:14" x14ac:dyDescent="0.3">
      <c r="A114" s="3">
        <v>113</v>
      </c>
      <c r="B114" s="4">
        <v>40548</v>
      </c>
      <c r="C114" s="3">
        <v>21</v>
      </c>
      <c r="D114" s="3" t="b">
        <v>0</v>
      </c>
      <c r="E114" s="3">
        <v>3</v>
      </c>
      <c r="F114" s="3">
        <v>1</v>
      </c>
      <c r="G114" s="3">
        <v>0.2</v>
      </c>
      <c r="H114" t="str">
        <f t="shared" si="15"/>
        <v>Wed</v>
      </c>
      <c r="I114">
        <f t="shared" si="10"/>
        <v>0.19700000000000001</v>
      </c>
      <c r="J114">
        <f t="shared" si="11"/>
        <v>0.51</v>
      </c>
      <c r="K114">
        <f t="shared" si="12"/>
        <v>0.19400000000000001</v>
      </c>
      <c r="L114">
        <f t="shared" si="13"/>
        <v>3</v>
      </c>
      <c r="M114">
        <f t="shared" si="14"/>
        <v>40</v>
      </c>
      <c r="N114" t="str">
        <f t="shared" si="16"/>
        <v>Night shift</v>
      </c>
    </row>
    <row r="115" spans="1:14" x14ac:dyDescent="0.3">
      <c r="A115" s="3">
        <v>114</v>
      </c>
      <c r="B115" s="4">
        <v>40548</v>
      </c>
      <c r="C115" s="3">
        <v>22</v>
      </c>
      <c r="D115" s="3" t="b">
        <v>0</v>
      </c>
      <c r="E115" s="3">
        <v>3</v>
      </c>
      <c r="F115" s="3">
        <v>1</v>
      </c>
      <c r="G115" s="3">
        <v>0.18</v>
      </c>
      <c r="H115" t="str">
        <f t="shared" si="15"/>
        <v>Wed</v>
      </c>
      <c r="I115">
        <f t="shared" si="10"/>
        <v>0.19700000000000001</v>
      </c>
      <c r="J115">
        <f t="shared" si="11"/>
        <v>0.55000000000000004</v>
      </c>
      <c r="K115">
        <f t="shared" si="12"/>
        <v>0.1343</v>
      </c>
      <c r="L115">
        <f t="shared" si="13"/>
        <v>1</v>
      </c>
      <c r="M115">
        <f t="shared" si="14"/>
        <v>41</v>
      </c>
      <c r="N115" t="str">
        <f t="shared" si="16"/>
        <v>Night shift</v>
      </c>
    </row>
    <row r="116" spans="1:14" x14ac:dyDescent="0.3">
      <c r="A116" s="3">
        <v>115</v>
      </c>
      <c r="B116" s="4">
        <v>40548</v>
      </c>
      <c r="C116" s="3">
        <v>23</v>
      </c>
      <c r="D116" s="3" t="b">
        <v>0</v>
      </c>
      <c r="E116" s="3">
        <v>3</v>
      </c>
      <c r="F116" s="3">
        <v>1</v>
      </c>
      <c r="G116" s="3">
        <v>0.2</v>
      </c>
      <c r="H116" t="str">
        <f t="shared" si="15"/>
        <v>Wed</v>
      </c>
      <c r="I116">
        <f t="shared" si="10"/>
        <v>0.2576</v>
      </c>
      <c r="J116">
        <f t="shared" si="11"/>
        <v>0.47</v>
      </c>
      <c r="K116">
        <f t="shared" si="12"/>
        <v>0</v>
      </c>
      <c r="L116">
        <f t="shared" si="13"/>
        <v>1</v>
      </c>
      <c r="M116">
        <f t="shared" si="14"/>
        <v>18</v>
      </c>
      <c r="N116" t="str">
        <f t="shared" si="16"/>
        <v>Night shift</v>
      </c>
    </row>
    <row r="117" spans="1:14" x14ac:dyDescent="0.3">
      <c r="A117" s="3">
        <v>116</v>
      </c>
      <c r="B117" s="4">
        <v>40549</v>
      </c>
      <c r="C117" s="3">
        <v>0</v>
      </c>
      <c r="D117" s="3" t="b">
        <v>0</v>
      </c>
      <c r="E117" s="3">
        <v>4</v>
      </c>
      <c r="F117" s="3">
        <v>1</v>
      </c>
      <c r="G117" s="3">
        <v>0.18</v>
      </c>
      <c r="H117" t="str">
        <f t="shared" si="15"/>
        <v>Thu</v>
      </c>
      <c r="I117">
        <f t="shared" si="10"/>
        <v>0.2424</v>
      </c>
      <c r="J117">
        <f t="shared" si="11"/>
        <v>0.55000000000000004</v>
      </c>
      <c r="K117">
        <f t="shared" si="12"/>
        <v>0</v>
      </c>
      <c r="L117">
        <f t="shared" si="13"/>
        <v>0</v>
      </c>
      <c r="M117">
        <f t="shared" si="14"/>
        <v>11</v>
      </c>
      <c r="N117" t="str">
        <f t="shared" si="16"/>
        <v>Night shift</v>
      </c>
    </row>
    <row r="118" spans="1:14" x14ac:dyDescent="0.3">
      <c r="A118" s="3">
        <v>117</v>
      </c>
      <c r="B118" s="4">
        <v>40549</v>
      </c>
      <c r="C118" s="3">
        <v>1</v>
      </c>
      <c r="D118" s="3" t="b">
        <v>0</v>
      </c>
      <c r="E118" s="3">
        <v>4</v>
      </c>
      <c r="F118" s="3">
        <v>1</v>
      </c>
      <c r="G118" s="3">
        <v>0.16</v>
      </c>
      <c r="H118" t="str">
        <f t="shared" si="15"/>
        <v>Thu</v>
      </c>
      <c r="I118">
        <f t="shared" si="10"/>
        <v>0.2273</v>
      </c>
      <c r="J118">
        <f t="shared" si="11"/>
        <v>0.64</v>
      </c>
      <c r="K118">
        <f t="shared" si="12"/>
        <v>0</v>
      </c>
      <c r="L118">
        <f t="shared" si="13"/>
        <v>0</v>
      </c>
      <c r="M118">
        <f t="shared" si="14"/>
        <v>4</v>
      </c>
      <c r="N118" t="str">
        <f t="shared" si="16"/>
        <v>Night shift</v>
      </c>
    </row>
    <row r="119" spans="1:14" x14ac:dyDescent="0.3">
      <c r="A119" s="3">
        <v>118</v>
      </c>
      <c r="B119" s="4">
        <v>40549</v>
      </c>
      <c r="C119" s="3">
        <v>2</v>
      </c>
      <c r="D119" s="3" t="b">
        <v>0</v>
      </c>
      <c r="E119" s="3">
        <v>4</v>
      </c>
      <c r="F119" s="3">
        <v>1</v>
      </c>
      <c r="G119" s="3">
        <v>0.16</v>
      </c>
      <c r="H119" t="str">
        <f t="shared" si="15"/>
        <v>Thu</v>
      </c>
      <c r="I119">
        <f t="shared" si="10"/>
        <v>0.2273</v>
      </c>
      <c r="J119">
        <f t="shared" si="11"/>
        <v>0.64</v>
      </c>
      <c r="K119">
        <f t="shared" si="12"/>
        <v>0</v>
      </c>
      <c r="L119">
        <f t="shared" si="13"/>
        <v>0</v>
      </c>
      <c r="M119">
        <f t="shared" si="14"/>
        <v>2</v>
      </c>
      <c r="N119" t="str">
        <f t="shared" si="16"/>
        <v>Night shift</v>
      </c>
    </row>
    <row r="120" spans="1:14" x14ac:dyDescent="0.3">
      <c r="A120" s="3">
        <v>119</v>
      </c>
      <c r="B120" s="4">
        <v>40549</v>
      </c>
      <c r="C120" s="3">
        <v>4</v>
      </c>
      <c r="D120" s="3" t="b">
        <v>0</v>
      </c>
      <c r="E120" s="3">
        <v>4</v>
      </c>
      <c r="F120" s="3">
        <v>2</v>
      </c>
      <c r="G120" s="3">
        <v>0.16</v>
      </c>
      <c r="H120" t="str">
        <f t="shared" si="15"/>
        <v>Thu</v>
      </c>
      <c r="I120">
        <f t="shared" si="10"/>
        <v>0.19700000000000001</v>
      </c>
      <c r="J120">
        <f t="shared" si="11"/>
        <v>0.64</v>
      </c>
      <c r="K120">
        <f t="shared" si="12"/>
        <v>8.9599999999999999E-2</v>
      </c>
      <c r="L120">
        <f t="shared" si="13"/>
        <v>0</v>
      </c>
      <c r="M120">
        <f t="shared" si="14"/>
        <v>1</v>
      </c>
      <c r="N120" t="str">
        <f t="shared" si="16"/>
        <v>Night shift</v>
      </c>
    </row>
    <row r="121" spans="1:14" x14ac:dyDescent="0.3">
      <c r="A121" s="3">
        <v>120</v>
      </c>
      <c r="B121" s="4">
        <v>40549</v>
      </c>
      <c r="C121" s="3">
        <v>5</v>
      </c>
      <c r="D121" s="3" t="b">
        <v>0</v>
      </c>
      <c r="E121" s="3">
        <v>4</v>
      </c>
      <c r="F121" s="3">
        <v>2</v>
      </c>
      <c r="G121" s="3">
        <v>0.14000000000000001</v>
      </c>
      <c r="H121" t="str">
        <f t="shared" si="15"/>
        <v>Thu</v>
      </c>
      <c r="I121">
        <f t="shared" si="10"/>
        <v>0.18179999999999999</v>
      </c>
      <c r="J121">
        <f t="shared" si="11"/>
        <v>0.69</v>
      </c>
      <c r="K121">
        <f t="shared" si="12"/>
        <v>8.9599999999999999E-2</v>
      </c>
      <c r="L121">
        <f t="shared" si="13"/>
        <v>0</v>
      </c>
      <c r="M121">
        <f t="shared" si="14"/>
        <v>4</v>
      </c>
      <c r="N121" t="str">
        <f t="shared" si="16"/>
        <v>Night shift</v>
      </c>
    </row>
    <row r="122" spans="1:14" x14ac:dyDescent="0.3">
      <c r="A122" s="3">
        <v>121</v>
      </c>
      <c r="B122" s="4">
        <v>40549</v>
      </c>
      <c r="C122" s="3">
        <v>6</v>
      </c>
      <c r="D122" s="3" t="b">
        <v>0</v>
      </c>
      <c r="E122" s="3">
        <v>4</v>
      </c>
      <c r="F122" s="3">
        <v>2</v>
      </c>
      <c r="G122" s="3">
        <v>0.14000000000000001</v>
      </c>
      <c r="H122" t="str">
        <f t="shared" si="15"/>
        <v>Thu</v>
      </c>
      <c r="I122">
        <f t="shared" si="10"/>
        <v>0.16669999999999999</v>
      </c>
      <c r="J122">
        <f t="shared" si="11"/>
        <v>0.63</v>
      </c>
      <c r="K122">
        <f t="shared" si="12"/>
        <v>0.1045</v>
      </c>
      <c r="L122">
        <f t="shared" si="13"/>
        <v>0</v>
      </c>
      <c r="M122">
        <f t="shared" si="14"/>
        <v>36</v>
      </c>
      <c r="N122" t="str">
        <f t="shared" si="16"/>
        <v>Day Shift</v>
      </c>
    </row>
    <row r="123" spans="1:14" x14ac:dyDescent="0.3">
      <c r="A123" s="3">
        <v>122</v>
      </c>
      <c r="B123" s="4">
        <v>40549</v>
      </c>
      <c r="C123" s="3">
        <v>7</v>
      </c>
      <c r="D123" s="3" t="b">
        <v>0</v>
      </c>
      <c r="E123" s="3">
        <v>4</v>
      </c>
      <c r="F123" s="3">
        <v>2</v>
      </c>
      <c r="G123" s="3">
        <v>0.16</v>
      </c>
      <c r="H123" t="str">
        <f t="shared" si="15"/>
        <v>Thu</v>
      </c>
      <c r="I123">
        <f t="shared" si="10"/>
        <v>0.2273</v>
      </c>
      <c r="J123">
        <f t="shared" si="11"/>
        <v>0.59</v>
      </c>
      <c r="K123">
        <f t="shared" si="12"/>
        <v>0</v>
      </c>
      <c r="L123">
        <f t="shared" si="13"/>
        <v>0</v>
      </c>
      <c r="M123">
        <f t="shared" si="14"/>
        <v>95</v>
      </c>
      <c r="N123" t="str">
        <f t="shared" si="16"/>
        <v>Day Shift</v>
      </c>
    </row>
    <row r="124" spans="1:14" x14ac:dyDescent="0.3">
      <c r="A124" s="3">
        <v>123</v>
      </c>
      <c r="B124" s="4">
        <v>40549</v>
      </c>
      <c r="C124" s="3">
        <v>8</v>
      </c>
      <c r="D124" s="3" t="b">
        <v>0</v>
      </c>
      <c r="E124" s="3">
        <v>4</v>
      </c>
      <c r="F124" s="3">
        <v>1</v>
      </c>
      <c r="G124" s="3">
        <v>0.16</v>
      </c>
      <c r="H124" t="str">
        <f t="shared" si="15"/>
        <v>Thu</v>
      </c>
      <c r="I124">
        <f t="shared" si="10"/>
        <v>0.2273</v>
      </c>
      <c r="J124">
        <f t="shared" si="11"/>
        <v>0.59</v>
      </c>
      <c r="K124">
        <f t="shared" si="12"/>
        <v>0</v>
      </c>
      <c r="L124">
        <f t="shared" si="13"/>
        <v>3</v>
      </c>
      <c r="M124">
        <f t="shared" si="14"/>
        <v>216</v>
      </c>
      <c r="N124" t="str">
        <f t="shared" si="16"/>
        <v>Day Shift</v>
      </c>
    </row>
    <row r="125" spans="1:14" x14ac:dyDescent="0.3">
      <c r="A125" s="3">
        <v>124</v>
      </c>
      <c r="B125" s="4">
        <v>40549</v>
      </c>
      <c r="C125" s="3">
        <v>9</v>
      </c>
      <c r="D125" s="3" t="b">
        <v>0</v>
      </c>
      <c r="E125" s="3">
        <v>4</v>
      </c>
      <c r="F125" s="3">
        <v>2</v>
      </c>
      <c r="G125" s="3">
        <v>0.18</v>
      </c>
      <c r="H125" t="str">
        <f t="shared" si="15"/>
        <v>Thu</v>
      </c>
      <c r="I125">
        <f t="shared" si="10"/>
        <v>0.2424</v>
      </c>
      <c r="J125">
        <f t="shared" si="11"/>
        <v>0.51</v>
      </c>
      <c r="K125">
        <f t="shared" si="12"/>
        <v>0</v>
      </c>
      <c r="L125">
        <f t="shared" si="13"/>
        <v>6</v>
      </c>
      <c r="M125">
        <f t="shared" si="14"/>
        <v>116</v>
      </c>
      <c r="N125" t="str">
        <f t="shared" si="16"/>
        <v>Day Shift</v>
      </c>
    </row>
    <row r="126" spans="1:14" x14ac:dyDescent="0.3">
      <c r="A126" s="3">
        <v>125</v>
      </c>
      <c r="B126" s="4">
        <v>40549</v>
      </c>
      <c r="C126" s="3">
        <v>10</v>
      </c>
      <c r="D126" s="3" t="b">
        <v>0</v>
      </c>
      <c r="E126" s="3">
        <v>4</v>
      </c>
      <c r="F126" s="3">
        <v>1</v>
      </c>
      <c r="G126" s="3">
        <v>0.2</v>
      </c>
      <c r="H126" t="str">
        <f t="shared" si="15"/>
        <v>Thu</v>
      </c>
      <c r="I126">
        <f t="shared" si="10"/>
        <v>0.2576</v>
      </c>
      <c r="J126">
        <f t="shared" si="11"/>
        <v>0.47</v>
      </c>
      <c r="K126">
        <f t="shared" si="12"/>
        <v>0</v>
      </c>
      <c r="L126">
        <f t="shared" si="13"/>
        <v>3</v>
      </c>
      <c r="M126">
        <f t="shared" si="14"/>
        <v>42</v>
      </c>
      <c r="N126" t="str">
        <f t="shared" si="16"/>
        <v>Day Shift</v>
      </c>
    </row>
    <row r="127" spans="1:14" x14ac:dyDescent="0.3">
      <c r="A127" s="3">
        <v>126</v>
      </c>
      <c r="B127" s="4">
        <v>40549</v>
      </c>
      <c r="C127" s="3">
        <v>11</v>
      </c>
      <c r="D127" s="3" t="b">
        <v>0</v>
      </c>
      <c r="E127" s="3">
        <v>4</v>
      </c>
      <c r="F127" s="3">
        <v>1</v>
      </c>
      <c r="G127" s="3">
        <v>0.22</v>
      </c>
      <c r="H127" t="str">
        <f t="shared" si="15"/>
        <v>Thu</v>
      </c>
      <c r="I127">
        <f t="shared" si="10"/>
        <v>0.2576</v>
      </c>
      <c r="J127">
        <f t="shared" si="11"/>
        <v>0.44</v>
      </c>
      <c r="K127">
        <f t="shared" si="12"/>
        <v>8.9599999999999999E-2</v>
      </c>
      <c r="L127">
        <f t="shared" si="13"/>
        <v>2</v>
      </c>
      <c r="M127">
        <f t="shared" si="14"/>
        <v>57</v>
      </c>
      <c r="N127" t="str">
        <f t="shared" si="16"/>
        <v>Day Shift</v>
      </c>
    </row>
    <row r="128" spans="1:14" x14ac:dyDescent="0.3">
      <c r="A128" s="3">
        <v>127</v>
      </c>
      <c r="B128" s="4">
        <v>40549</v>
      </c>
      <c r="C128" s="3">
        <v>12</v>
      </c>
      <c r="D128" s="3" t="b">
        <v>0</v>
      </c>
      <c r="E128" s="3">
        <v>4</v>
      </c>
      <c r="F128" s="3">
        <v>1</v>
      </c>
      <c r="G128" s="3">
        <v>0.26</v>
      </c>
      <c r="H128" t="str">
        <f t="shared" si="15"/>
        <v>Thu</v>
      </c>
      <c r="I128">
        <f t="shared" si="10"/>
        <v>0.28789999999999999</v>
      </c>
      <c r="J128">
        <f t="shared" si="11"/>
        <v>0.35</v>
      </c>
      <c r="K128">
        <f t="shared" si="12"/>
        <v>0</v>
      </c>
      <c r="L128">
        <f t="shared" si="13"/>
        <v>6</v>
      </c>
      <c r="M128">
        <f t="shared" si="14"/>
        <v>78</v>
      </c>
      <c r="N128" t="str">
        <f t="shared" si="16"/>
        <v>Day Shift</v>
      </c>
    </row>
    <row r="129" spans="1:14" x14ac:dyDescent="0.3">
      <c r="A129" s="3">
        <v>128</v>
      </c>
      <c r="B129" s="4">
        <v>40549</v>
      </c>
      <c r="C129" s="3">
        <v>13</v>
      </c>
      <c r="D129" s="3" t="b">
        <v>0</v>
      </c>
      <c r="E129" s="3">
        <v>4</v>
      </c>
      <c r="F129" s="3">
        <v>1</v>
      </c>
      <c r="G129" s="3">
        <v>0.26</v>
      </c>
      <c r="H129" t="str">
        <f t="shared" si="15"/>
        <v>Thu</v>
      </c>
      <c r="I129">
        <f t="shared" si="10"/>
        <v>0.2727</v>
      </c>
      <c r="J129">
        <f t="shared" si="11"/>
        <v>0.35</v>
      </c>
      <c r="K129">
        <f t="shared" si="12"/>
        <v>0.1045</v>
      </c>
      <c r="L129">
        <f t="shared" si="13"/>
        <v>12</v>
      </c>
      <c r="M129">
        <f t="shared" si="14"/>
        <v>55</v>
      </c>
      <c r="N129" t="str">
        <f t="shared" si="16"/>
        <v>Day Shift</v>
      </c>
    </row>
    <row r="130" spans="1:14" x14ac:dyDescent="0.3">
      <c r="A130" s="3">
        <v>129</v>
      </c>
      <c r="B130" s="4">
        <v>40549</v>
      </c>
      <c r="C130" s="3">
        <v>14</v>
      </c>
      <c r="D130" s="3" t="b">
        <v>0</v>
      </c>
      <c r="E130" s="3">
        <v>4</v>
      </c>
      <c r="F130" s="3">
        <v>1</v>
      </c>
      <c r="G130" s="3">
        <v>0.28000000000000003</v>
      </c>
      <c r="H130" t="str">
        <f t="shared" si="15"/>
        <v>Thu</v>
      </c>
      <c r="I130">
        <f t="shared" ref="I130:I193" si="17">VLOOKUP($A130,instantc,3,FALSE)</f>
        <v>0.2727</v>
      </c>
      <c r="J130">
        <f t="shared" ref="J130:J193" si="18">VLOOKUP($A130,instantc,4,FALSE)</f>
        <v>0.36</v>
      </c>
      <c r="K130">
        <f t="shared" ref="K130:K193" si="19">VLOOKUP($A130,instantc,5,FALSE)</f>
        <v>0.16420000000000001</v>
      </c>
      <c r="L130">
        <f t="shared" ref="L130:L193" si="20">VLOOKUP($A130,instantc,6,FALSE)</f>
        <v>11</v>
      </c>
      <c r="M130">
        <f t="shared" ref="M130:M193" si="21">VLOOKUP($A130,instantc,7,FALSE)</f>
        <v>59</v>
      </c>
      <c r="N130" t="str">
        <f t="shared" si="16"/>
        <v>Day Shift</v>
      </c>
    </row>
    <row r="131" spans="1:14" x14ac:dyDescent="0.3">
      <c r="A131" s="3">
        <v>130</v>
      </c>
      <c r="B131" s="4">
        <v>40549</v>
      </c>
      <c r="C131" s="3">
        <v>15</v>
      </c>
      <c r="D131" s="3" t="b">
        <v>0</v>
      </c>
      <c r="E131" s="3">
        <v>4</v>
      </c>
      <c r="F131" s="3">
        <v>1</v>
      </c>
      <c r="G131" s="3">
        <v>0.28000000000000003</v>
      </c>
      <c r="H131" t="str">
        <f t="shared" ref="H131:H194" si="22">TEXT(B131,"ddd")</f>
        <v>Thu</v>
      </c>
      <c r="I131">
        <f t="shared" si="17"/>
        <v>0.2727</v>
      </c>
      <c r="J131">
        <f t="shared" si="18"/>
        <v>0.36</v>
      </c>
      <c r="K131">
        <f t="shared" si="19"/>
        <v>0</v>
      </c>
      <c r="L131">
        <f t="shared" si="20"/>
        <v>8</v>
      </c>
      <c r="M131">
        <f t="shared" si="21"/>
        <v>54</v>
      </c>
      <c r="N131" t="str">
        <f t="shared" ref="N131:N194" si="23">IF(AND(C131&gt;=6,C131&lt;=18),"Day Shift","Night shift")</f>
        <v>Day Shift</v>
      </c>
    </row>
    <row r="132" spans="1:14" x14ac:dyDescent="0.3">
      <c r="A132" s="3">
        <v>131</v>
      </c>
      <c r="B132" s="4">
        <v>40549</v>
      </c>
      <c r="C132" s="3">
        <v>16</v>
      </c>
      <c r="D132" s="3" t="b">
        <v>0</v>
      </c>
      <c r="E132" s="3">
        <v>4</v>
      </c>
      <c r="F132" s="3">
        <v>1</v>
      </c>
      <c r="G132" s="3">
        <v>0.26</v>
      </c>
      <c r="H132" t="str">
        <f t="shared" si="22"/>
        <v>Thu</v>
      </c>
      <c r="I132">
        <f t="shared" si="17"/>
        <v>0.2576</v>
      </c>
      <c r="J132">
        <f t="shared" si="18"/>
        <v>0.38</v>
      </c>
      <c r="K132">
        <f t="shared" si="19"/>
        <v>0.16420000000000001</v>
      </c>
      <c r="L132">
        <f t="shared" si="20"/>
        <v>12</v>
      </c>
      <c r="M132">
        <f t="shared" si="21"/>
        <v>74</v>
      </c>
      <c r="N132" t="str">
        <f t="shared" si="23"/>
        <v>Day Shift</v>
      </c>
    </row>
    <row r="133" spans="1:14" x14ac:dyDescent="0.3">
      <c r="A133" s="3">
        <v>132</v>
      </c>
      <c r="B133" s="4">
        <v>40549</v>
      </c>
      <c r="C133" s="3">
        <v>17</v>
      </c>
      <c r="D133" s="3" t="b">
        <v>0</v>
      </c>
      <c r="E133" s="3">
        <v>4</v>
      </c>
      <c r="F133" s="3">
        <v>1</v>
      </c>
      <c r="G133" s="3">
        <v>0.22</v>
      </c>
      <c r="H133" t="str">
        <f t="shared" si="22"/>
        <v>Thu</v>
      </c>
      <c r="I133">
        <f t="shared" si="17"/>
        <v>0.2273</v>
      </c>
      <c r="J133">
        <f t="shared" si="18"/>
        <v>0.51</v>
      </c>
      <c r="K133">
        <f t="shared" si="19"/>
        <v>0.16420000000000001</v>
      </c>
      <c r="L133">
        <f t="shared" si="20"/>
        <v>9</v>
      </c>
      <c r="M133">
        <f t="shared" si="21"/>
        <v>163</v>
      </c>
      <c r="N133" t="str">
        <f t="shared" si="23"/>
        <v>Day Shift</v>
      </c>
    </row>
    <row r="134" spans="1:14" x14ac:dyDescent="0.3">
      <c r="A134" s="3">
        <v>133</v>
      </c>
      <c r="B134" s="4">
        <v>40549</v>
      </c>
      <c r="C134" s="3">
        <v>18</v>
      </c>
      <c r="D134" s="3" t="b">
        <v>0</v>
      </c>
      <c r="E134" s="3">
        <v>4</v>
      </c>
      <c r="F134" s="3">
        <v>1</v>
      </c>
      <c r="G134" s="3">
        <v>0.22</v>
      </c>
      <c r="H134" t="str">
        <f t="shared" si="22"/>
        <v>Thu</v>
      </c>
      <c r="I134">
        <f t="shared" si="17"/>
        <v>0.2273</v>
      </c>
      <c r="J134">
        <f t="shared" si="18"/>
        <v>0.51</v>
      </c>
      <c r="K134">
        <f t="shared" si="19"/>
        <v>0.1343</v>
      </c>
      <c r="L134">
        <f t="shared" si="20"/>
        <v>5</v>
      </c>
      <c r="M134">
        <f t="shared" si="21"/>
        <v>158</v>
      </c>
      <c r="N134" t="str">
        <f t="shared" si="23"/>
        <v>Day Shift</v>
      </c>
    </row>
    <row r="135" spans="1:14" x14ac:dyDescent="0.3">
      <c r="A135" s="3">
        <v>134</v>
      </c>
      <c r="B135" s="4">
        <v>40549</v>
      </c>
      <c r="C135" s="3">
        <v>19</v>
      </c>
      <c r="D135" s="3" t="b">
        <v>0</v>
      </c>
      <c r="E135" s="3">
        <v>4</v>
      </c>
      <c r="F135" s="3">
        <v>1</v>
      </c>
      <c r="G135" s="3">
        <v>0.22</v>
      </c>
      <c r="H135" t="str">
        <f t="shared" si="22"/>
        <v>Thu</v>
      </c>
      <c r="I135">
        <f t="shared" si="17"/>
        <v>0.2576</v>
      </c>
      <c r="J135">
        <f t="shared" si="18"/>
        <v>0.55000000000000004</v>
      </c>
      <c r="K135">
        <f t="shared" si="19"/>
        <v>8.9599999999999999E-2</v>
      </c>
      <c r="L135">
        <f t="shared" si="20"/>
        <v>3</v>
      </c>
      <c r="M135">
        <f t="shared" si="21"/>
        <v>109</v>
      </c>
      <c r="N135" t="str">
        <f t="shared" si="23"/>
        <v>Night shift</v>
      </c>
    </row>
    <row r="136" spans="1:14" x14ac:dyDescent="0.3">
      <c r="A136" s="3">
        <v>135</v>
      </c>
      <c r="B136" s="4">
        <v>40549</v>
      </c>
      <c r="C136" s="3">
        <v>20</v>
      </c>
      <c r="D136" s="3" t="b">
        <v>0</v>
      </c>
      <c r="E136" s="3">
        <v>4</v>
      </c>
      <c r="F136" s="3">
        <v>1</v>
      </c>
      <c r="G136" s="3">
        <v>0.2</v>
      </c>
      <c r="H136" t="str">
        <f t="shared" si="22"/>
        <v>Thu</v>
      </c>
      <c r="I136">
        <f t="shared" si="17"/>
        <v>0.21210000000000001</v>
      </c>
      <c r="J136">
        <f t="shared" si="18"/>
        <v>0.51</v>
      </c>
      <c r="K136">
        <f t="shared" si="19"/>
        <v>0.16420000000000001</v>
      </c>
      <c r="L136">
        <f t="shared" si="20"/>
        <v>3</v>
      </c>
      <c r="M136">
        <f t="shared" si="21"/>
        <v>66</v>
      </c>
      <c r="N136" t="str">
        <f t="shared" si="23"/>
        <v>Night shift</v>
      </c>
    </row>
    <row r="137" spans="1:14" x14ac:dyDescent="0.3">
      <c r="A137" s="3">
        <v>136</v>
      </c>
      <c r="B137" s="4">
        <v>40549</v>
      </c>
      <c r="C137" s="3">
        <v>21</v>
      </c>
      <c r="D137" s="3" t="b">
        <v>0</v>
      </c>
      <c r="E137" s="3">
        <v>4</v>
      </c>
      <c r="F137" s="3">
        <v>2</v>
      </c>
      <c r="G137" s="3">
        <v>0.22</v>
      </c>
      <c r="H137" t="str">
        <f t="shared" si="22"/>
        <v>Thu</v>
      </c>
      <c r="I137">
        <f t="shared" si="17"/>
        <v>0.21210000000000001</v>
      </c>
      <c r="J137">
        <f t="shared" si="18"/>
        <v>0.55000000000000004</v>
      </c>
      <c r="K137">
        <f t="shared" si="19"/>
        <v>0.22389999999999999</v>
      </c>
      <c r="L137">
        <f t="shared" si="20"/>
        <v>0</v>
      </c>
      <c r="M137">
        <f t="shared" si="21"/>
        <v>48</v>
      </c>
      <c r="N137" t="str">
        <f t="shared" si="23"/>
        <v>Night shift</v>
      </c>
    </row>
    <row r="138" spans="1:14" x14ac:dyDescent="0.3">
      <c r="A138" s="3">
        <v>137</v>
      </c>
      <c r="B138" s="4">
        <v>40549</v>
      </c>
      <c r="C138" s="3">
        <v>22</v>
      </c>
      <c r="D138" s="3" t="b">
        <v>0</v>
      </c>
      <c r="E138" s="3">
        <v>4</v>
      </c>
      <c r="F138" s="3">
        <v>2</v>
      </c>
      <c r="G138" s="3">
        <v>0.22</v>
      </c>
      <c r="H138" t="str">
        <f t="shared" si="22"/>
        <v>Thu</v>
      </c>
      <c r="I138">
        <f t="shared" si="17"/>
        <v>0.21210000000000001</v>
      </c>
      <c r="J138">
        <f t="shared" si="18"/>
        <v>0.51</v>
      </c>
      <c r="K138">
        <f t="shared" si="19"/>
        <v>0.28360000000000002</v>
      </c>
      <c r="L138">
        <f t="shared" si="20"/>
        <v>1</v>
      </c>
      <c r="M138">
        <f t="shared" si="21"/>
        <v>51</v>
      </c>
      <c r="N138" t="str">
        <f t="shared" si="23"/>
        <v>Night shift</v>
      </c>
    </row>
    <row r="139" spans="1:14" x14ac:dyDescent="0.3">
      <c r="A139" s="3">
        <v>138</v>
      </c>
      <c r="B139" s="4">
        <v>40549</v>
      </c>
      <c r="C139" s="3">
        <v>23</v>
      </c>
      <c r="D139" s="3" t="b">
        <v>0</v>
      </c>
      <c r="E139" s="3">
        <v>4</v>
      </c>
      <c r="F139" s="3">
        <v>2</v>
      </c>
      <c r="G139" s="3">
        <v>0.2</v>
      </c>
      <c r="H139" t="str">
        <f t="shared" si="22"/>
        <v>Thu</v>
      </c>
      <c r="I139">
        <f t="shared" si="17"/>
        <v>0.19700000000000001</v>
      </c>
      <c r="J139">
        <f t="shared" si="18"/>
        <v>0.59</v>
      </c>
      <c r="K139">
        <f t="shared" si="19"/>
        <v>0.19400000000000001</v>
      </c>
      <c r="L139">
        <f t="shared" si="20"/>
        <v>4</v>
      </c>
      <c r="M139">
        <f t="shared" si="21"/>
        <v>19</v>
      </c>
      <c r="N139" t="str">
        <f t="shared" si="23"/>
        <v>Night shift</v>
      </c>
    </row>
    <row r="140" spans="1:14" x14ac:dyDescent="0.3">
      <c r="A140" s="3">
        <v>139</v>
      </c>
      <c r="B140" s="4">
        <v>40550</v>
      </c>
      <c r="C140" s="3">
        <v>0</v>
      </c>
      <c r="D140" s="3" t="b">
        <v>0</v>
      </c>
      <c r="E140" s="3">
        <v>5</v>
      </c>
      <c r="F140" s="3">
        <v>2</v>
      </c>
      <c r="G140" s="3">
        <v>0.2</v>
      </c>
      <c r="H140" t="str">
        <f t="shared" si="22"/>
        <v>Fri</v>
      </c>
      <c r="I140">
        <f t="shared" si="17"/>
        <v>0.19700000000000001</v>
      </c>
      <c r="J140">
        <f t="shared" si="18"/>
        <v>0.64</v>
      </c>
      <c r="K140">
        <f t="shared" si="19"/>
        <v>0.19400000000000001</v>
      </c>
      <c r="L140">
        <f t="shared" si="20"/>
        <v>4</v>
      </c>
      <c r="M140">
        <f t="shared" si="21"/>
        <v>13</v>
      </c>
      <c r="N140" t="str">
        <f t="shared" si="23"/>
        <v>Night shift</v>
      </c>
    </row>
    <row r="141" spans="1:14" x14ac:dyDescent="0.3">
      <c r="A141" s="3">
        <v>140</v>
      </c>
      <c r="B141" s="4">
        <v>40550</v>
      </c>
      <c r="C141" s="3">
        <v>1</v>
      </c>
      <c r="D141" s="3" t="b">
        <v>0</v>
      </c>
      <c r="E141" s="3">
        <v>5</v>
      </c>
      <c r="F141" s="3">
        <v>2</v>
      </c>
      <c r="G141" s="3">
        <v>0.2</v>
      </c>
      <c r="H141" t="str">
        <f t="shared" si="22"/>
        <v>Fri</v>
      </c>
      <c r="I141">
        <f t="shared" si="17"/>
        <v>0.19700000000000001</v>
      </c>
      <c r="J141">
        <f t="shared" si="18"/>
        <v>0.69</v>
      </c>
      <c r="K141">
        <f t="shared" si="19"/>
        <v>0.22389999999999999</v>
      </c>
      <c r="L141">
        <f t="shared" si="20"/>
        <v>2</v>
      </c>
      <c r="M141">
        <f t="shared" si="21"/>
        <v>5</v>
      </c>
      <c r="N141" t="str">
        <f t="shared" si="23"/>
        <v>Night shift</v>
      </c>
    </row>
    <row r="142" spans="1:14" x14ac:dyDescent="0.3">
      <c r="A142" s="3">
        <v>141</v>
      </c>
      <c r="B142" s="4">
        <v>40550</v>
      </c>
      <c r="C142" s="3">
        <v>2</v>
      </c>
      <c r="D142" s="3" t="b">
        <v>0</v>
      </c>
      <c r="E142" s="3">
        <v>5</v>
      </c>
      <c r="F142" s="3">
        <v>2</v>
      </c>
      <c r="G142" s="3">
        <v>0.2</v>
      </c>
      <c r="H142" t="str">
        <f t="shared" si="22"/>
        <v>Fri</v>
      </c>
      <c r="I142">
        <f t="shared" si="17"/>
        <v>0.19700000000000001</v>
      </c>
      <c r="J142">
        <f t="shared" si="18"/>
        <v>0.69</v>
      </c>
      <c r="K142">
        <f t="shared" si="19"/>
        <v>0.22389999999999999</v>
      </c>
      <c r="L142">
        <f t="shared" si="20"/>
        <v>0</v>
      </c>
      <c r="M142">
        <f t="shared" si="21"/>
        <v>1</v>
      </c>
      <c r="N142" t="str">
        <f t="shared" si="23"/>
        <v>Night shift</v>
      </c>
    </row>
    <row r="143" spans="1:14" x14ac:dyDescent="0.3">
      <c r="A143" s="3">
        <v>142</v>
      </c>
      <c r="B143" s="4">
        <v>40550</v>
      </c>
      <c r="C143" s="3">
        <v>4</v>
      </c>
      <c r="D143" s="3" t="b">
        <v>0</v>
      </c>
      <c r="E143" s="3">
        <v>5</v>
      </c>
      <c r="F143" s="3">
        <v>2</v>
      </c>
      <c r="G143" s="3">
        <v>0.2</v>
      </c>
      <c r="H143" t="str">
        <f t="shared" si="22"/>
        <v>Fri</v>
      </c>
      <c r="I143">
        <f t="shared" si="17"/>
        <v>0.21210000000000001</v>
      </c>
      <c r="J143">
        <f t="shared" si="18"/>
        <v>0.69</v>
      </c>
      <c r="K143">
        <f t="shared" si="19"/>
        <v>0.1343</v>
      </c>
      <c r="L143">
        <f t="shared" si="20"/>
        <v>0</v>
      </c>
      <c r="M143">
        <f t="shared" si="21"/>
        <v>1</v>
      </c>
      <c r="N143" t="str">
        <f t="shared" si="23"/>
        <v>Night shift</v>
      </c>
    </row>
    <row r="144" spans="1:14" x14ac:dyDescent="0.3">
      <c r="A144" s="3">
        <v>143</v>
      </c>
      <c r="B144" s="4">
        <v>40550</v>
      </c>
      <c r="C144" s="3">
        <v>5</v>
      </c>
      <c r="D144" s="3" t="b">
        <v>0</v>
      </c>
      <c r="E144" s="3">
        <v>5</v>
      </c>
      <c r="F144" s="3">
        <v>3</v>
      </c>
      <c r="G144" s="3">
        <v>0.22</v>
      </c>
      <c r="H144" t="str">
        <f t="shared" si="22"/>
        <v>Fri</v>
      </c>
      <c r="I144">
        <f t="shared" si="17"/>
        <v>0.2727</v>
      </c>
      <c r="J144">
        <f t="shared" si="18"/>
        <v>0.55000000000000004</v>
      </c>
      <c r="K144">
        <f t="shared" si="19"/>
        <v>0</v>
      </c>
      <c r="L144">
        <f t="shared" si="20"/>
        <v>0</v>
      </c>
      <c r="M144">
        <f t="shared" si="21"/>
        <v>5</v>
      </c>
      <c r="N144" t="str">
        <f t="shared" si="23"/>
        <v>Night shift</v>
      </c>
    </row>
    <row r="145" spans="1:14" x14ac:dyDescent="0.3">
      <c r="A145" s="3">
        <v>144</v>
      </c>
      <c r="B145" s="4">
        <v>40550</v>
      </c>
      <c r="C145" s="3">
        <v>6</v>
      </c>
      <c r="D145" s="3" t="b">
        <v>0</v>
      </c>
      <c r="E145" s="3">
        <v>5</v>
      </c>
      <c r="F145" s="3">
        <v>2</v>
      </c>
      <c r="G145" s="3">
        <v>0.2</v>
      </c>
      <c r="H145" t="str">
        <f t="shared" si="22"/>
        <v>Fri</v>
      </c>
      <c r="I145">
        <f t="shared" si="17"/>
        <v>0.2576</v>
      </c>
      <c r="J145">
        <f t="shared" si="18"/>
        <v>0.69</v>
      </c>
      <c r="K145">
        <f t="shared" si="19"/>
        <v>0</v>
      </c>
      <c r="L145">
        <f t="shared" si="20"/>
        <v>8</v>
      </c>
      <c r="M145">
        <f t="shared" si="21"/>
        <v>26</v>
      </c>
      <c r="N145" t="str">
        <f t="shared" si="23"/>
        <v>Day Shift</v>
      </c>
    </row>
    <row r="146" spans="1:14" x14ac:dyDescent="0.3">
      <c r="A146" s="3">
        <v>145</v>
      </c>
      <c r="B146" s="4">
        <v>40550</v>
      </c>
      <c r="C146" s="3">
        <v>7</v>
      </c>
      <c r="D146" s="3" t="b">
        <v>0</v>
      </c>
      <c r="E146" s="3">
        <v>5</v>
      </c>
      <c r="F146" s="3">
        <v>1</v>
      </c>
      <c r="G146" s="3">
        <v>0.2</v>
      </c>
      <c r="H146" t="str">
        <f t="shared" si="22"/>
        <v>Fri</v>
      </c>
      <c r="I146">
        <f t="shared" si="17"/>
        <v>0.21210000000000001</v>
      </c>
      <c r="J146">
        <f t="shared" si="18"/>
        <v>0.69</v>
      </c>
      <c r="K146">
        <f t="shared" si="19"/>
        <v>0.1343</v>
      </c>
      <c r="L146">
        <f t="shared" si="20"/>
        <v>8</v>
      </c>
      <c r="M146">
        <f t="shared" si="21"/>
        <v>76</v>
      </c>
      <c r="N146" t="str">
        <f t="shared" si="23"/>
        <v>Day Shift</v>
      </c>
    </row>
    <row r="147" spans="1:14" x14ac:dyDescent="0.3">
      <c r="A147" s="3">
        <v>146</v>
      </c>
      <c r="B147" s="4">
        <v>40550</v>
      </c>
      <c r="C147" s="3">
        <v>8</v>
      </c>
      <c r="D147" s="3" t="b">
        <v>0</v>
      </c>
      <c r="E147" s="3">
        <v>5</v>
      </c>
      <c r="F147" s="3">
        <v>1</v>
      </c>
      <c r="G147" s="3">
        <v>0.2</v>
      </c>
      <c r="H147" t="str">
        <f t="shared" si="22"/>
        <v>Fri</v>
      </c>
      <c r="I147">
        <f t="shared" si="17"/>
        <v>0.19700000000000001</v>
      </c>
      <c r="J147">
        <f t="shared" si="18"/>
        <v>0.51</v>
      </c>
      <c r="K147">
        <f t="shared" si="19"/>
        <v>0.25369999999999998</v>
      </c>
      <c r="L147">
        <f t="shared" si="20"/>
        <v>20</v>
      </c>
      <c r="M147">
        <f t="shared" si="21"/>
        <v>190</v>
      </c>
      <c r="N147" t="str">
        <f t="shared" si="23"/>
        <v>Day Shift</v>
      </c>
    </row>
    <row r="148" spans="1:14" x14ac:dyDescent="0.3">
      <c r="A148" s="3">
        <v>147</v>
      </c>
      <c r="B148" s="4">
        <v>40550</v>
      </c>
      <c r="C148" s="3">
        <v>9</v>
      </c>
      <c r="D148" s="3" t="b">
        <v>0</v>
      </c>
      <c r="E148" s="3">
        <v>5</v>
      </c>
      <c r="F148" s="3">
        <v>1</v>
      </c>
      <c r="G148" s="3">
        <v>0.2</v>
      </c>
      <c r="H148" t="str">
        <f t="shared" si="22"/>
        <v>Fri</v>
      </c>
      <c r="I148">
        <f t="shared" si="17"/>
        <v>0.18179999999999999</v>
      </c>
      <c r="J148">
        <f t="shared" si="18"/>
        <v>0.47</v>
      </c>
      <c r="K148">
        <f t="shared" si="19"/>
        <v>0.29849999999999999</v>
      </c>
      <c r="L148">
        <f t="shared" si="20"/>
        <v>9</v>
      </c>
      <c r="M148">
        <f t="shared" si="21"/>
        <v>125</v>
      </c>
      <c r="N148" t="str">
        <f t="shared" si="23"/>
        <v>Day Shift</v>
      </c>
    </row>
    <row r="149" spans="1:14" x14ac:dyDescent="0.3">
      <c r="A149" s="3">
        <v>148</v>
      </c>
      <c r="B149" s="4">
        <v>40550</v>
      </c>
      <c r="C149" s="3">
        <v>10</v>
      </c>
      <c r="D149" s="3" t="b">
        <v>0</v>
      </c>
      <c r="E149" s="3">
        <v>5</v>
      </c>
      <c r="F149" s="3">
        <v>1</v>
      </c>
      <c r="G149" s="3">
        <v>0.22</v>
      </c>
      <c r="H149" t="str">
        <f t="shared" si="22"/>
        <v>Fri</v>
      </c>
      <c r="I149">
        <f t="shared" si="17"/>
        <v>0.19700000000000001</v>
      </c>
      <c r="J149">
        <f t="shared" si="18"/>
        <v>0.37</v>
      </c>
      <c r="K149">
        <f t="shared" si="19"/>
        <v>0.32840000000000003</v>
      </c>
      <c r="L149">
        <f t="shared" si="20"/>
        <v>16</v>
      </c>
      <c r="M149">
        <f t="shared" si="21"/>
        <v>47</v>
      </c>
      <c r="N149" t="str">
        <f t="shared" si="23"/>
        <v>Day Shift</v>
      </c>
    </row>
    <row r="150" spans="1:14" x14ac:dyDescent="0.3">
      <c r="A150" s="3">
        <v>149</v>
      </c>
      <c r="B150" s="4">
        <v>40550</v>
      </c>
      <c r="C150" s="3">
        <v>11</v>
      </c>
      <c r="D150" s="3" t="b">
        <v>0</v>
      </c>
      <c r="E150" s="3">
        <v>5</v>
      </c>
      <c r="F150" s="3">
        <v>2</v>
      </c>
      <c r="G150" s="3">
        <v>0.2</v>
      </c>
      <c r="H150" t="str">
        <f t="shared" si="22"/>
        <v>Fri</v>
      </c>
      <c r="I150">
        <f t="shared" si="17"/>
        <v>0.19700000000000001</v>
      </c>
      <c r="J150">
        <f t="shared" si="18"/>
        <v>0.4</v>
      </c>
      <c r="K150">
        <f t="shared" si="19"/>
        <v>0.22389999999999999</v>
      </c>
      <c r="L150">
        <f t="shared" si="20"/>
        <v>19</v>
      </c>
      <c r="M150">
        <f t="shared" si="21"/>
        <v>48</v>
      </c>
      <c r="N150" t="str">
        <f t="shared" si="23"/>
        <v>Day Shift</v>
      </c>
    </row>
    <row r="151" spans="1:14" x14ac:dyDescent="0.3">
      <c r="A151" s="3">
        <v>150</v>
      </c>
      <c r="B151" s="4">
        <v>40550</v>
      </c>
      <c r="C151" s="3">
        <v>12</v>
      </c>
      <c r="D151" s="3" t="b">
        <v>0</v>
      </c>
      <c r="E151" s="3">
        <v>5</v>
      </c>
      <c r="F151" s="3">
        <v>2</v>
      </c>
      <c r="G151" s="3">
        <v>0.2</v>
      </c>
      <c r="H151" t="str">
        <f t="shared" si="22"/>
        <v>Fri</v>
      </c>
      <c r="I151">
        <f t="shared" si="17"/>
        <v>0.19700000000000001</v>
      </c>
      <c r="J151">
        <f t="shared" si="18"/>
        <v>0.37</v>
      </c>
      <c r="K151">
        <f t="shared" si="19"/>
        <v>0.25369999999999998</v>
      </c>
      <c r="L151">
        <f t="shared" si="20"/>
        <v>9</v>
      </c>
      <c r="M151">
        <f t="shared" si="21"/>
        <v>50</v>
      </c>
      <c r="N151" t="str">
        <f t="shared" si="23"/>
        <v>Day Shift</v>
      </c>
    </row>
    <row r="152" spans="1:14" x14ac:dyDescent="0.3">
      <c r="A152" s="3">
        <v>151</v>
      </c>
      <c r="B152" s="4">
        <v>40550</v>
      </c>
      <c r="C152" s="3">
        <v>13</v>
      </c>
      <c r="D152" s="3" t="b">
        <v>0</v>
      </c>
      <c r="E152" s="3">
        <v>5</v>
      </c>
      <c r="F152" s="3">
        <v>2</v>
      </c>
      <c r="G152" s="3">
        <v>0.2</v>
      </c>
      <c r="H152" t="str">
        <f t="shared" si="22"/>
        <v>Fri</v>
      </c>
      <c r="I152">
        <f t="shared" si="17"/>
        <v>0.18179999999999999</v>
      </c>
      <c r="J152">
        <f t="shared" si="18"/>
        <v>0.37</v>
      </c>
      <c r="K152">
        <f t="shared" si="19"/>
        <v>0.28360000000000002</v>
      </c>
      <c r="L152">
        <f t="shared" si="20"/>
        <v>9</v>
      </c>
      <c r="M152">
        <f t="shared" si="21"/>
        <v>64</v>
      </c>
      <c r="N152" t="str">
        <f t="shared" si="23"/>
        <v>Day Shift</v>
      </c>
    </row>
    <row r="153" spans="1:14" x14ac:dyDescent="0.3">
      <c r="A153" s="3">
        <v>152</v>
      </c>
      <c r="B153" s="4">
        <v>40550</v>
      </c>
      <c r="C153" s="3">
        <v>14</v>
      </c>
      <c r="D153" s="3" t="b">
        <v>0</v>
      </c>
      <c r="E153" s="3">
        <v>5</v>
      </c>
      <c r="F153" s="3">
        <v>2</v>
      </c>
      <c r="G153" s="3">
        <v>0.2</v>
      </c>
      <c r="H153" t="str">
        <f t="shared" si="22"/>
        <v>Fri</v>
      </c>
      <c r="I153">
        <f t="shared" si="17"/>
        <v>0.19700000000000001</v>
      </c>
      <c r="J153">
        <f t="shared" si="18"/>
        <v>0.4</v>
      </c>
      <c r="K153">
        <f t="shared" si="19"/>
        <v>0.25369999999999998</v>
      </c>
      <c r="L153">
        <f t="shared" si="20"/>
        <v>7</v>
      </c>
      <c r="M153">
        <f t="shared" si="21"/>
        <v>43</v>
      </c>
      <c r="N153" t="str">
        <f t="shared" si="23"/>
        <v>Day Shift</v>
      </c>
    </row>
    <row r="154" spans="1:14" x14ac:dyDescent="0.3">
      <c r="A154" s="3">
        <v>153</v>
      </c>
      <c r="B154" s="4">
        <v>40550</v>
      </c>
      <c r="C154" s="3">
        <v>15</v>
      </c>
      <c r="D154" s="3" t="b">
        <v>0</v>
      </c>
      <c r="E154" s="3">
        <v>5</v>
      </c>
      <c r="F154" s="3">
        <v>2</v>
      </c>
      <c r="G154" s="3">
        <v>0.2</v>
      </c>
      <c r="H154" t="str">
        <f t="shared" si="22"/>
        <v>Fri</v>
      </c>
      <c r="I154">
        <f t="shared" si="17"/>
        <v>0.21210000000000001</v>
      </c>
      <c r="J154">
        <f t="shared" si="18"/>
        <v>0.37</v>
      </c>
      <c r="K154">
        <f t="shared" si="19"/>
        <v>0.16420000000000001</v>
      </c>
      <c r="L154">
        <f t="shared" si="20"/>
        <v>9</v>
      </c>
      <c r="M154">
        <f t="shared" si="21"/>
        <v>63</v>
      </c>
      <c r="N154" t="str">
        <f t="shared" si="23"/>
        <v>Day Shift</v>
      </c>
    </row>
    <row r="155" spans="1:14" x14ac:dyDescent="0.3">
      <c r="A155" s="3">
        <v>154</v>
      </c>
      <c r="B155" s="4">
        <v>40550</v>
      </c>
      <c r="C155" s="3">
        <v>16</v>
      </c>
      <c r="D155" s="3" t="b">
        <v>0</v>
      </c>
      <c r="E155" s="3">
        <v>5</v>
      </c>
      <c r="F155" s="3">
        <v>2</v>
      </c>
      <c r="G155" s="3">
        <v>0.2</v>
      </c>
      <c r="H155" t="str">
        <f t="shared" si="22"/>
        <v>Fri</v>
      </c>
      <c r="I155">
        <f t="shared" si="17"/>
        <v>0.21210000000000001</v>
      </c>
      <c r="J155">
        <f t="shared" si="18"/>
        <v>0.37</v>
      </c>
      <c r="K155">
        <f t="shared" si="19"/>
        <v>0.16420000000000001</v>
      </c>
      <c r="L155">
        <f t="shared" si="20"/>
        <v>5</v>
      </c>
      <c r="M155">
        <f t="shared" si="21"/>
        <v>82</v>
      </c>
      <c r="N155" t="str">
        <f t="shared" si="23"/>
        <v>Day Shift</v>
      </c>
    </row>
    <row r="156" spans="1:14" x14ac:dyDescent="0.3">
      <c r="A156" s="3">
        <v>155</v>
      </c>
      <c r="B156" s="4">
        <v>40550</v>
      </c>
      <c r="C156" s="3">
        <v>17</v>
      </c>
      <c r="D156" s="3" t="b">
        <v>0</v>
      </c>
      <c r="E156" s="3">
        <v>5</v>
      </c>
      <c r="F156" s="3">
        <v>2</v>
      </c>
      <c r="G156" s="3">
        <v>0.2</v>
      </c>
      <c r="H156" t="str">
        <f t="shared" si="22"/>
        <v>Fri</v>
      </c>
      <c r="I156">
        <f t="shared" si="17"/>
        <v>0.2576</v>
      </c>
      <c r="J156">
        <f t="shared" si="18"/>
        <v>0.37</v>
      </c>
      <c r="K156">
        <f t="shared" si="19"/>
        <v>0</v>
      </c>
      <c r="L156">
        <f t="shared" si="20"/>
        <v>9</v>
      </c>
      <c r="M156">
        <f t="shared" si="21"/>
        <v>178</v>
      </c>
      <c r="N156" t="str">
        <f t="shared" si="23"/>
        <v>Day Shift</v>
      </c>
    </row>
    <row r="157" spans="1:14" x14ac:dyDescent="0.3">
      <c r="A157" s="3">
        <v>156</v>
      </c>
      <c r="B157" s="4">
        <v>40550</v>
      </c>
      <c r="C157" s="3">
        <v>18</v>
      </c>
      <c r="D157" s="3" t="b">
        <v>0</v>
      </c>
      <c r="E157" s="3">
        <v>5</v>
      </c>
      <c r="F157" s="3">
        <v>1</v>
      </c>
      <c r="G157" s="3">
        <v>0.2</v>
      </c>
      <c r="H157" t="str">
        <f t="shared" si="22"/>
        <v>Fri</v>
      </c>
      <c r="I157">
        <f t="shared" si="17"/>
        <v>0.2273</v>
      </c>
      <c r="J157">
        <f t="shared" si="18"/>
        <v>0.4</v>
      </c>
      <c r="K157">
        <f t="shared" si="19"/>
        <v>8.9599999999999999E-2</v>
      </c>
      <c r="L157">
        <f t="shared" si="20"/>
        <v>7</v>
      </c>
      <c r="M157">
        <f t="shared" si="21"/>
        <v>116</v>
      </c>
      <c r="N157" t="str">
        <f t="shared" si="23"/>
        <v>Day Shift</v>
      </c>
    </row>
    <row r="158" spans="1:14" x14ac:dyDescent="0.3">
      <c r="A158" s="3">
        <v>157</v>
      </c>
      <c r="B158" s="4">
        <v>40550</v>
      </c>
      <c r="C158" s="3">
        <v>19</v>
      </c>
      <c r="D158" s="3" t="b">
        <v>0</v>
      </c>
      <c r="E158" s="3">
        <v>5</v>
      </c>
      <c r="F158" s="3">
        <v>1</v>
      </c>
      <c r="G158" s="3">
        <v>0.16</v>
      </c>
      <c r="H158" t="str">
        <f t="shared" si="22"/>
        <v>Fri</v>
      </c>
      <c r="I158">
        <f t="shared" si="17"/>
        <v>0.19700000000000001</v>
      </c>
      <c r="J158">
        <f t="shared" si="18"/>
        <v>0.55000000000000004</v>
      </c>
      <c r="K158">
        <f t="shared" si="19"/>
        <v>8.9599999999999999E-2</v>
      </c>
      <c r="L158">
        <f t="shared" si="20"/>
        <v>3</v>
      </c>
      <c r="M158">
        <f t="shared" si="21"/>
        <v>92</v>
      </c>
      <c r="N158" t="str">
        <f t="shared" si="23"/>
        <v>Night shift</v>
      </c>
    </row>
    <row r="159" spans="1:14" x14ac:dyDescent="0.3">
      <c r="A159" s="3">
        <v>158</v>
      </c>
      <c r="B159" s="4">
        <v>40550</v>
      </c>
      <c r="C159" s="3">
        <v>20</v>
      </c>
      <c r="D159" s="3" t="b">
        <v>0</v>
      </c>
      <c r="E159" s="3">
        <v>5</v>
      </c>
      <c r="F159" s="3">
        <v>1</v>
      </c>
      <c r="G159" s="3">
        <v>0.18</v>
      </c>
      <c r="H159" t="str">
        <f t="shared" si="22"/>
        <v>Fri</v>
      </c>
      <c r="I159">
        <f t="shared" si="17"/>
        <v>0.21210000000000001</v>
      </c>
      <c r="J159">
        <f t="shared" si="18"/>
        <v>0.47</v>
      </c>
      <c r="K159">
        <f t="shared" si="19"/>
        <v>0.1045</v>
      </c>
      <c r="L159">
        <f t="shared" si="20"/>
        <v>1</v>
      </c>
      <c r="M159">
        <f t="shared" si="21"/>
        <v>50</v>
      </c>
      <c r="N159" t="str">
        <f t="shared" si="23"/>
        <v>Night shift</v>
      </c>
    </row>
    <row r="160" spans="1:14" x14ac:dyDescent="0.3">
      <c r="A160" s="3">
        <v>159</v>
      </c>
      <c r="B160" s="4">
        <v>40550</v>
      </c>
      <c r="C160" s="3">
        <v>21</v>
      </c>
      <c r="D160" s="3" t="b">
        <v>0</v>
      </c>
      <c r="E160" s="3">
        <v>5</v>
      </c>
      <c r="F160" s="3">
        <v>1</v>
      </c>
      <c r="G160" s="3">
        <v>0.18</v>
      </c>
      <c r="H160" t="str">
        <f t="shared" si="22"/>
        <v>Fri</v>
      </c>
      <c r="I160">
        <f t="shared" si="17"/>
        <v>0.19700000000000001</v>
      </c>
      <c r="J160">
        <f t="shared" si="18"/>
        <v>0.47</v>
      </c>
      <c r="K160">
        <f t="shared" si="19"/>
        <v>0.1343</v>
      </c>
      <c r="L160">
        <f t="shared" si="20"/>
        <v>0</v>
      </c>
      <c r="M160">
        <f t="shared" si="21"/>
        <v>39</v>
      </c>
      <c r="N160" t="str">
        <f t="shared" si="23"/>
        <v>Night shift</v>
      </c>
    </row>
    <row r="161" spans="1:14" x14ac:dyDescent="0.3">
      <c r="A161" s="3">
        <v>160</v>
      </c>
      <c r="B161" s="4">
        <v>40550</v>
      </c>
      <c r="C161" s="3">
        <v>22</v>
      </c>
      <c r="D161" s="3" t="b">
        <v>0</v>
      </c>
      <c r="E161" s="3">
        <v>5</v>
      </c>
      <c r="F161" s="3">
        <v>2</v>
      </c>
      <c r="G161" s="3">
        <v>0.18</v>
      </c>
      <c r="H161" t="str">
        <f t="shared" si="22"/>
        <v>Fri</v>
      </c>
      <c r="I161">
        <f t="shared" si="17"/>
        <v>0.19700000000000001</v>
      </c>
      <c r="J161">
        <f t="shared" si="18"/>
        <v>0.43</v>
      </c>
      <c r="K161">
        <f t="shared" si="19"/>
        <v>0.16420000000000001</v>
      </c>
      <c r="L161">
        <f t="shared" si="20"/>
        <v>2</v>
      </c>
      <c r="M161">
        <f t="shared" si="21"/>
        <v>34</v>
      </c>
      <c r="N161" t="str">
        <f t="shared" si="23"/>
        <v>Night shift</v>
      </c>
    </row>
    <row r="162" spans="1:14" x14ac:dyDescent="0.3">
      <c r="A162" s="3">
        <v>161</v>
      </c>
      <c r="B162" s="4">
        <v>40550</v>
      </c>
      <c r="C162" s="3">
        <v>23</v>
      </c>
      <c r="D162" s="3" t="b">
        <v>0</v>
      </c>
      <c r="E162" s="3">
        <v>5</v>
      </c>
      <c r="F162" s="3">
        <v>2</v>
      </c>
      <c r="G162" s="3">
        <v>0.18</v>
      </c>
      <c r="H162" t="str">
        <f t="shared" si="22"/>
        <v>Fri</v>
      </c>
      <c r="I162">
        <f t="shared" si="17"/>
        <v>0.19700000000000001</v>
      </c>
      <c r="J162">
        <f t="shared" si="18"/>
        <v>0.51</v>
      </c>
      <c r="K162">
        <f t="shared" si="19"/>
        <v>0.16420000000000001</v>
      </c>
      <c r="L162">
        <f t="shared" si="20"/>
        <v>1</v>
      </c>
      <c r="M162">
        <f t="shared" si="21"/>
        <v>14</v>
      </c>
      <c r="N162" t="str">
        <f t="shared" si="23"/>
        <v>Night shift</v>
      </c>
    </row>
    <row r="163" spans="1:14" x14ac:dyDescent="0.3">
      <c r="A163" s="3">
        <v>162</v>
      </c>
      <c r="B163" s="4">
        <v>40551</v>
      </c>
      <c r="C163" s="3">
        <v>0</v>
      </c>
      <c r="D163" s="3" t="b">
        <v>0</v>
      </c>
      <c r="E163" s="3">
        <v>6</v>
      </c>
      <c r="F163" s="3">
        <v>2</v>
      </c>
      <c r="G163" s="3">
        <v>0.18</v>
      </c>
      <c r="H163" t="str">
        <f t="shared" si="22"/>
        <v>Sat</v>
      </c>
      <c r="I163">
        <f t="shared" si="17"/>
        <v>0.19700000000000001</v>
      </c>
      <c r="J163">
        <f t="shared" si="18"/>
        <v>0.51</v>
      </c>
      <c r="K163">
        <f t="shared" si="19"/>
        <v>0.16420000000000001</v>
      </c>
      <c r="L163">
        <f t="shared" si="20"/>
        <v>1</v>
      </c>
      <c r="M163">
        <f t="shared" si="21"/>
        <v>24</v>
      </c>
      <c r="N163" t="str">
        <f t="shared" si="23"/>
        <v>Night shift</v>
      </c>
    </row>
    <row r="164" spans="1:14" x14ac:dyDescent="0.3">
      <c r="A164" s="3">
        <v>163</v>
      </c>
      <c r="B164" s="4">
        <v>40551</v>
      </c>
      <c r="C164" s="3">
        <v>1</v>
      </c>
      <c r="D164" s="3" t="b">
        <v>0</v>
      </c>
      <c r="E164" s="3">
        <v>6</v>
      </c>
      <c r="F164" s="3">
        <v>2</v>
      </c>
      <c r="G164" s="3">
        <v>0.18</v>
      </c>
      <c r="H164" t="str">
        <f t="shared" si="22"/>
        <v>Sat</v>
      </c>
      <c r="I164">
        <f t="shared" si="17"/>
        <v>0.21210000000000001</v>
      </c>
      <c r="J164">
        <f t="shared" si="18"/>
        <v>0.55000000000000004</v>
      </c>
      <c r="K164">
        <f t="shared" si="19"/>
        <v>8.9599999999999999E-2</v>
      </c>
      <c r="L164">
        <f t="shared" si="20"/>
        <v>1</v>
      </c>
      <c r="M164">
        <f t="shared" si="21"/>
        <v>15</v>
      </c>
      <c r="N164" t="str">
        <f t="shared" si="23"/>
        <v>Night shift</v>
      </c>
    </row>
    <row r="165" spans="1:14" x14ac:dyDescent="0.3">
      <c r="A165" s="3">
        <v>164</v>
      </c>
      <c r="B165" s="4">
        <v>40551</v>
      </c>
      <c r="C165" s="3">
        <v>2</v>
      </c>
      <c r="D165" s="3" t="b">
        <v>0</v>
      </c>
      <c r="E165" s="3">
        <v>6</v>
      </c>
      <c r="F165" s="3">
        <v>2</v>
      </c>
      <c r="G165" s="3">
        <v>0.18</v>
      </c>
      <c r="H165" t="str">
        <f t="shared" si="22"/>
        <v>Sat</v>
      </c>
      <c r="I165">
        <f t="shared" si="17"/>
        <v>0.2424</v>
      </c>
      <c r="J165">
        <f t="shared" si="18"/>
        <v>0.55000000000000004</v>
      </c>
      <c r="K165">
        <f t="shared" si="19"/>
        <v>0</v>
      </c>
      <c r="L165">
        <f t="shared" si="20"/>
        <v>3</v>
      </c>
      <c r="M165">
        <f t="shared" si="21"/>
        <v>13</v>
      </c>
      <c r="N165" t="str">
        <f t="shared" si="23"/>
        <v>Night shift</v>
      </c>
    </row>
    <row r="166" spans="1:14" x14ac:dyDescent="0.3">
      <c r="A166" s="3">
        <v>165</v>
      </c>
      <c r="B166" s="4">
        <v>40551</v>
      </c>
      <c r="C166" s="3">
        <v>3</v>
      </c>
      <c r="D166" s="3" t="b">
        <v>0</v>
      </c>
      <c r="E166" s="3">
        <v>6</v>
      </c>
      <c r="F166" s="3">
        <v>3</v>
      </c>
      <c r="G166" s="3">
        <v>0.18</v>
      </c>
      <c r="H166" t="str">
        <f t="shared" si="22"/>
        <v>Sat</v>
      </c>
      <c r="I166">
        <f t="shared" si="17"/>
        <v>0.19700000000000001</v>
      </c>
      <c r="J166">
        <f t="shared" si="18"/>
        <v>0.55000000000000004</v>
      </c>
      <c r="K166">
        <f t="shared" si="19"/>
        <v>0.16420000000000001</v>
      </c>
      <c r="L166">
        <f t="shared" si="20"/>
        <v>0</v>
      </c>
      <c r="M166">
        <f t="shared" si="21"/>
        <v>7</v>
      </c>
      <c r="N166" t="str">
        <f t="shared" si="23"/>
        <v>Night shift</v>
      </c>
    </row>
    <row r="167" spans="1:14" x14ac:dyDescent="0.3">
      <c r="A167" s="3">
        <v>166</v>
      </c>
      <c r="B167" s="4">
        <v>40551</v>
      </c>
      <c r="C167" s="3">
        <v>4</v>
      </c>
      <c r="D167" s="3" t="b">
        <v>0</v>
      </c>
      <c r="E167" s="3">
        <v>6</v>
      </c>
      <c r="F167" s="3">
        <v>3</v>
      </c>
      <c r="G167" s="3">
        <v>0.18</v>
      </c>
      <c r="H167" t="str">
        <f t="shared" si="22"/>
        <v>Sat</v>
      </c>
      <c r="I167">
        <f t="shared" si="17"/>
        <v>0.19700000000000001</v>
      </c>
      <c r="J167">
        <f t="shared" si="18"/>
        <v>0.55000000000000004</v>
      </c>
      <c r="K167">
        <f t="shared" si="19"/>
        <v>0.16420000000000001</v>
      </c>
      <c r="L167">
        <f t="shared" si="20"/>
        <v>0</v>
      </c>
      <c r="M167">
        <f t="shared" si="21"/>
        <v>1</v>
      </c>
      <c r="N167" t="str">
        <f t="shared" si="23"/>
        <v>Night shift</v>
      </c>
    </row>
    <row r="168" spans="1:14" x14ac:dyDescent="0.3">
      <c r="A168" s="3">
        <v>167</v>
      </c>
      <c r="B168" s="4">
        <v>40551</v>
      </c>
      <c r="C168" s="3">
        <v>5</v>
      </c>
      <c r="D168" s="3" t="b">
        <v>0</v>
      </c>
      <c r="E168" s="3">
        <v>6</v>
      </c>
      <c r="F168" s="3">
        <v>2</v>
      </c>
      <c r="G168" s="3">
        <v>0.16</v>
      </c>
      <c r="H168" t="str">
        <f t="shared" si="22"/>
        <v>Sat</v>
      </c>
      <c r="I168">
        <f t="shared" si="17"/>
        <v>0.16669999999999999</v>
      </c>
      <c r="J168">
        <f t="shared" si="18"/>
        <v>0.74</v>
      </c>
      <c r="K168">
        <f t="shared" si="19"/>
        <v>0.16420000000000001</v>
      </c>
      <c r="L168">
        <f t="shared" si="20"/>
        <v>0</v>
      </c>
      <c r="M168">
        <f t="shared" si="21"/>
        <v>5</v>
      </c>
      <c r="N168" t="str">
        <f t="shared" si="23"/>
        <v>Night shift</v>
      </c>
    </row>
    <row r="169" spans="1:14" x14ac:dyDescent="0.3">
      <c r="A169" s="3">
        <v>168</v>
      </c>
      <c r="B169" s="4">
        <v>40551</v>
      </c>
      <c r="C169" s="3">
        <v>6</v>
      </c>
      <c r="D169" s="3" t="b">
        <v>0</v>
      </c>
      <c r="E169" s="3">
        <v>6</v>
      </c>
      <c r="F169" s="3">
        <v>2</v>
      </c>
      <c r="G169" s="3">
        <v>0.16</v>
      </c>
      <c r="H169" t="str">
        <f t="shared" si="22"/>
        <v>Sat</v>
      </c>
      <c r="I169">
        <f t="shared" si="17"/>
        <v>0.16669999999999999</v>
      </c>
      <c r="J169">
        <f t="shared" si="18"/>
        <v>0.74</v>
      </c>
      <c r="K169">
        <f t="shared" si="19"/>
        <v>0.16420000000000001</v>
      </c>
      <c r="L169">
        <f t="shared" si="20"/>
        <v>0</v>
      </c>
      <c r="M169">
        <f t="shared" si="21"/>
        <v>2</v>
      </c>
      <c r="N169" t="str">
        <f t="shared" si="23"/>
        <v>Day Shift</v>
      </c>
    </row>
    <row r="170" spans="1:14" x14ac:dyDescent="0.3">
      <c r="A170" s="3">
        <v>169</v>
      </c>
      <c r="B170" s="4">
        <v>40551</v>
      </c>
      <c r="C170" s="3">
        <v>7</v>
      </c>
      <c r="D170" s="3" t="b">
        <v>0</v>
      </c>
      <c r="E170" s="3">
        <v>6</v>
      </c>
      <c r="F170" s="3">
        <v>2</v>
      </c>
      <c r="G170" s="3">
        <v>0.16</v>
      </c>
      <c r="H170" t="str">
        <f t="shared" si="22"/>
        <v>Sat</v>
      </c>
      <c r="I170">
        <f t="shared" si="17"/>
        <v>0.18179999999999999</v>
      </c>
      <c r="J170">
        <f t="shared" si="18"/>
        <v>0.74</v>
      </c>
      <c r="K170">
        <f t="shared" si="19"/>
        <v>0.1045</v>
      </c>
      <c r="L170">
        <f t="shared" si="20"/>
        <v>1</v>
      </c>
      <c r="M170">
        <f t="shared" si="21"/>
        <v>8</v>
      </c>
      <c r="N170" t="str">
        <f t="shared" si="23"/>
        <v>Day Shift</v>
      </c>
    </row>
    <row r="171" spans="1:14" x14ac:dyDescent="0.3">
      <c r="A171" s="3">
        <v>170</v>
      </c>
      <c r="B171" s="4">
        <v>40551</v>
      </c>
      <c r="C171" s="3">
        <v>8</v>
      </c>
      <c r="D171" s="3" t="b">
        <v>0</v>
      </c>
      <c r="E171" s="3">
        <v>6</v>
      </c>
      <c r="F171" s="3">
        <v>3</v>
      </c>
      <c r="G171" s="3">
        <v>0.16</v>
      </c>
      <c r="H171" t="str">
        <f t="shared" si="22"/>
        <v>Sat</v>
      </c>
      <c r="I171">
        <f t="shared" si="17"/>
        <v>0.18179999999999999</v>
      </c>
      <c r="J171">
        <f t="shared" si="18"/>
        <v>0.93</v>
      </c>
      <c r="K171">
        <f t="shared" si="19"/>
        <v>0.1045</v>
      </c>
      <c r="L171">
        <f t="shared" si="20"/>
        <v>0</v>
      </c>
      <c r="M171">
        <f t="shared" si="21"/>
        <v>15</v>
      </c>
      <c r="N171" t="str">
        <f t="shared" si="23"/>
        <v>Day Shift</v>
      </c>
    </row>
    <row r="172" spans="1:14" x14ac:dyDescent="0.3">
      <c r="A172" s="3">
        <v>171</v>
      </c>
      <c r="B172" s="4">
        <v>40551</v>
      </c>
      <c r="C172" s="3">
        <v>9</v>
      </c>
      <c r="D172" s="3" t="b">
        <v>0</v>
      </c>
      <c r="E172" s="3">
        <v>6</v>
      </c>
      <c r="F172" s="3">
        <v>3</v>
      </c>
      <c r="G172" s="3">
        <v>0.16</v>
      </c>
      <c r="H172" t="str">
        <f t="shared" si="22"/>
        <v>Sat</v>
      </c>
      <c r="I172">
        <f t="shared" si="17"/>
        <v>0.18179999999999999</v>
      </c>
      <c r="J172">
        <f t="shared" si="18"/>
        <v>0.93</v>
      </c>
      <c r="K172">
        <f t="shared" si="19"/>
        <v>0.1045</v>
      </c>
      <c r="L172">
        <f t="shared" si="20"/>
        <v>0</v>
      </c>
      <c r="M172">
        <f t="shared" si="21"/>
        <v>20</v>
      </c>
      <c r="N172" t="str">
        <f t="shared" si="23"/>
        <v>Day Shift</v>
      </c>
    </row>
    <row r="173" spans="1:14" x14ac:dyDescent="0.3">
      <c r="A173" s="3">
        <v>172</v>
      </c>
      <c r="B173" s="4">
        <v>40551</v>
      </c>
      <c r="C173" s="3">
        <v>10</v>
      </c>
      <c r="D173" s="3" t="b">
        <v>0</v>
      </c>
      <c r="E173" s="3">
        <v>6</v>
      </c>
      <c r="F173" s="3">
        <v>2</v>
      </c>
      <c r="G173" s="3">
        <v>0.18</v>
      </c>
      <c r="H173" t="str">
        <f t="shared" si="22"/>
        <v>Sat</v>
      </c>
      <c r="I173">
        <f t="shared" si="17"/>
        <v>0.19700000000000001</v>
      </c>
      <c r="J173">
        <f t="shared" si="18"/>
        <v>0.8</v>
      </c>
      <c r="K173">
        <f t="shared" si="19"/>
        <v>0.16420000000000001</v>
      </c>
      <c r="L173">
        <f t="shared" si="20"/>
        <v>5</v>
      </c>
      <c r="M173">
        <f t="shared" si="21"/>
        <v>56</v>
      </c>
      <c r="N173" t="str">
        <f t="shared" si="23"/>
        <v>Day Shift</v>
      </c>
    </row>
    <row r="174" spans="1:14" x14ac:dyDescent="0.3">
      <c r="A174" s="3">
        <v>173</v>
      </c>
      <c r="B174" s="4">
        <v>40551</v>
      </c>
      <c r="C174" s="3">
        <v>11</v>
      </c>
      <c r="D174" s="3" t="b">
        <v>0</v>
      </c>
      <c r="E174" s="3">
        <v>6</v>
      </c>
      <c r="F174" s="3">
        <v>2</v>
      </c>
      <c r="G174" s="3">
        <v>0.2</v>
      </c>
      <c r="H174" t="str">
        <f t="shared" si="22"/>
        <v>Sat</v>
      </c>
      <c r="I174">
        <f t="shared" si="17"/>
        <v>0.18179999999999999</v>
      </c>
      <c r="J174">
        <f t="shared" si="18"/>
        <v>0.69</v>
      </c>
      <c r="K174">
        <f t="shared" si="19"/>
        <v>0.3881</v>
      </c>
      <c r="L174">
        <f t="shared" si="20"/>
        <v>2</v>
      </c>
      <c r="M174">
        <f t="shared" si="21"/>
        <v>60</v>
      </c>
      <c r="N174" t="str">
        <f t="shared" si="23"/>
        <v>Day Shift</v>
      </c>
    </row>
    <row r="175" spans="1:14" x14ac:dyDescent="0.3">
      <c r="A175" s="3">
        <v>174</v>
      </c>
      <c r="B175" s="4">
        <v>40551</v>
      </c>
      <c r="C175" s="3">
        <v>12</v>
      </c>
      <c r="D175" s="3" t="b">
        <v>0</v>
      </c>
      <c r="E175" s="3">
        <v>6</v>
      </c>
      <c r="F175" s="3">
        <v>2</v>
      </c>
      <c r="G175" s="3">
        <v>0.2</v>
      </c>
      <c r="H175" t="str">
        <f t="shared" si="22"/>
        <v>Sat</v>
      </c>
      <c r="I175">
        <f t="shared" si="17"/>
        <v>0.18179999999999999</v>
      </c>
      <c r="J175">
        <f t="shared" si="18"/>
        <v>0.59</v>
      </c>
      <c r="K175">
        <f t="shared" si="19"/>
        <v>0.35820000000000002</v>
      </c>
      <c r="L175">
        <f t="shared" si="20"/>
        <v>8</v>
      </c>
      <c r="M175">
        <f t="shared" si="21"/>
        <v>90</v>
      </c>
      <c r="N175" t="str">
        <f t="shared" si="23"/>
        <v>Day Shift</v>
      </c>
    </row>
    <row r="176" spans="1:14" x14ac:dyDescent="0.3">
      <c r="A176" s="3">
        <v>175</v>
      </c>
      <c r="B176" s="4">
        <v>40551</v>
      </c>
      <c r="C176" s="3">
        <v>13</v>
      </c>
      <c r="D176" s="3" t="b">
        <v>0</v>
      </c>
      <c r="E176" s="3">
        <v>6</v>
      </c>
      <c r="F176" s="3">
        <v>1</v>
      </c>
      <c r="G176" s="3">
        <v>0.2</v>
      </c>
      <c r="H176" t="str">
        <f t="shared" si="22"/>
        <v>Sat</v>
      </c>
      <c r="I176">
        <f t="shared" si="17"/>
        <v>0.18179999999999999</v>
      </c>
      <c r="J176">
        <f t="shared" si="18"/>
        <v>0.44</v>
      </c>
      <c r="K176">
        <f t="shared" si="19"/>
        <v>0.32840000000000003</v>
      </c>
      <c r="L176">
        <f t="shared" si="20"/>
        <v>7</v>
      </c>
      <c r="M176">
        <f t="shared" si="21"/>
        <v>95</v>
      </c>
      <c r="N176" t="str">
        <f t="shared" si="23"/>
        <v>Day Shift</v>
      </c>
    </row>
    <row r="177" spans="1:14" x14ac:dyDescent="0.3">
      <c r="A177" s="3">
        <v>176</v>
      </c>
      <c r="B177" s="4">
        <v>40551</v>
      </c>
      <c r="C177" s="3">
        <v>14</v>
      </c>
      <c r="D177" s="3" t="b">
        <v>0</v>
      </c>
      <c r="E177" s="3">
        <v>6</v>
      </c>
      <c r="F177" s="3">
        <v>1</v>
      </c>
      <c r="G177" s="3">
        <v>0.2</v>
      </c>
      <c r="H177" t="str">
        <f t="shared" si="22"/>
        <v>Sat</v>
      </c>
      <c r="I177">
        <f t="shared" si="17"/>
        <v>0.16669999999999999</v>
      </c>
      <c r="J177">
        <f t="shared" si="18"/>
        <v>0.32</v>
      </c>
      <c r="K177">
        <f t="shared" si="19"/>
        <v>0.49249999999999999</v>
      </c>
      <c r="L177">
        <f t="shared" si="20"/>
        <v>12</v>
      </c>
      <c r="M177">
        <f t="shared" si="21"/>
        <v>83</v>
      </c>
      <c r="N177" t="str">
        <f t="shared" si="23"/>
        <v>Day Shift</v>
      </c>
    </row>
    <row r="178" spans="1:14" x14ac:dyDescent="0.3">
      <c r="A178" s="3">
        <v>177</v>
      </c>
      <c r="B178" s="4">
        <v>40551</v>
      </c>
      <c r="C178" s="3">
        <v>15</v>
      </c>
      <c r="D178" s="3" t="b">
        <v>0</v>
      </c>
      <c r="E178" s="3">
        <v>6</v>
      </c>
      <c r="F178" s="3">
        <v>1</v>
      </c>
      <c r="G178" s="3">
        <v>0.2</v>
      </c>
      <c r="H178" t="str">
        <f t="shared" si="22"/>
        <v>Sat</v>
      </c>
      <c r="I178">
        <f t="shared" si="17"/>
        <v>0.16669999999999999</v>
      </c>
      <c r="J178">
        <f t="shared" si="18"/>
        <v>0.32</v>
      </c>
      <c r="K178">
        <f t="shared" si="19"/>
        <v>0.44779999999999998</v>
      </c>
      <c r="L178">
        <f t="shared" si="20"/>
        <v>5</v>
      </c>
      <c r="M178">
        <f t="shared" si="21"/>
        <v>69</v>
      </c>
      <c r="N178" t="str">
        <f t="shared" si="23"/>
        <v>Day Shift</v>
      </c>
    </row>
    <row r="179" spans="1:14" x14ac:dyDescent="0.3">
      <c r="A179" s="3">
        <v>178</v>
      </c>
      <c r="B179" s="4">
        <v>40551</v>
      </c>
      <c r="C179" s="3">
        <v>16</v>
      </c>
      <c r="D179" s="3" t="b">
        <v>0</v>
      </c>
      <c r="E179" s="3">
        <v>6</v>
      </c>
      <c r="F179" s="3">
        <v>1</v>
      </c>
      <c r="G179" s="3">
        <v>0.18</v>
      </c>
      <c r="H179" t="str">
        <f t="shared" si="22"/>
        <v>Sat</v>
      </c>
      <c r="I179">
        <f t="shared" si="17"/>
        <v>0.13639999999999999</v>
      </c>
      <c r="J179">
        <f t="shared" si="18"/>
        <v>0.28999999999999998</v>
      </c>
      <c r="K179">
        <f t="shared" si="19"/>
        <v>0.44779999999999998</v>
      </c>
      <c r="L179">
        <f t="shared" si="20"/>
        <v>8</v>
      </c>
      <c r="M179">
        <f t="shared" si="21"/>
        <v>68</v>
      </c>
      <c r="N179" t="str">
        <f t="shared" si="23"/>
        <v>Day Shift</v>
      </c>
    </row>
    <row r="180" spans="1:14" x14ac:dyDescent="0.3">
      <c r="A180" s="3">
        <v>179</v>
      </c>
      <c r="B180" s="4">
        <v>40551</v>
      </c>
      <c r="C180" s="3">
        <v>17</v>
      </c>
      <c r="D180" s="3" t="b">
        <v>0</v>
      </c>
      <c r="E180" s="3">
        <v>6</v>
      </c>
      <c r="F180" s="3">
        <v>1</v>
      </c>
      <c r="G180" s="3">
        <v>0.16</v>
      </c>
      <c r="H180" t="str">
        <f t="shared" si="22"/>
        <v>Sat</v>
      </c>
      <c r="I180">
        <f t="shared" si="17"/>
        <v>0.1212</v>
      </c>
      <c r="J180">
        <f t="shared" si="18"/>
        <v>0.37</v>
      </c>
      <c r="K180">
        <f t="shared" si="19"/>
        <v>0.55220000000000002</v>
      </c>
      <c r="L180">
        <f t="shared" si="20"/>
        <v>5</v>
      </c>
      <c r="M180">
        <f t="shared" si="21"/>
        <v>64</v>
      </c>
      <c r="N180" t="str">
        <f t="shared" si="23"/>
        <v>Day Shift</v>
      </c>
    </row>
    <row r="181" spans="1:14" x14ac:dyDescent="0.3">
      <c r="A181" s="3">
        <v>180</v>
      </c>
      <c r="B181" s="4">
        <v>40551</v>
      </c>
      <c r="C181" s="3">
        <v>18</v>
      </c>
      <c r="D181" s="3" t="b">
        <v>0</v>
      </c>
      <c r="E181" s="3">
        <v>6</v>
      </c>
      <c r="F181" s="3">
        <v>1</v>
      </c>
      <c r="G181" s="3">
        <v>0.14000000000000001</v>
      </c>
      <c r="H181" t="str">
        <f t="shared" si="22"/>
        <v>Sat</v>
      </c>
      <c r="I181">
        <f t="shared" si="17"/>
        <v>0.1212</v>
      </c>
      <c r="J181">
        <f t="shared" si="18"/>
        <v>0.39</v>
      </c>
      <c r="K181">
        <f t="shared" si="19"/>
        <v>0.29849999999999999</v>
      </c>
      <c r="L181">
        <f t="shared" si="20"/>
        <v>3</v>
      </c>
      <c r="M181">
        <f t="shared" si="21"/>
        <v>52</v>
      </c>
      <c r="N181" t="str">
        <f t="shared" si="23"/>
        <v>Day Shift</v>
      </c>
    </row>
    <row r="182" spans="1:14" x14ac:dyDescent="0.3">
      <c r="A182" s="3">
        <v>181</v>
      </c>
      <c r="B182" s="4">
        <v>40551</v>
      </c>
      <c r="C182" s="3">
        <v>19</v>
      </c>
      <c r="D182" s="3" t="b">
        <v>0</v>
      </c>
      <c r="E182" s="3">
        <v>6</v>
      </c>
      <c r="F182" s="3">
        <v>1</v>
      </c>
      <c r="G182" s="3">
        <v>0.14000000000000001</v>
      </c>
      <c r="H182" t="str">
        <f t="shared" si="22"/>
        <v>Sat</v>
      </c>
      <c r="I182">
        <f t="shared" si="17"/>
        <v>0.1212</v>
      </c>
      <c r="J182">
        <f t="shared" si="18"/>
        <v>0.36</v>
      </c>
      <c r="K182">
        <f t="shared" si="19"/>
        <v>0.25369999999999998</v>
      </c>
      <c r="L182">
        <f t="shared" si="20"/>
        <v>4</v>
      </c>
      <c r="M182">
        <f t="shared" si="21"/>
        <v>26</v>
      </c>
      <c r="N182" t="str">
        <f t="shared" si="23"/>
        <v>Night shift</v>
      </c>
    </row>
    <row r="183" spans="1:14" x14ac:dyDescent="0.3">
      <c r="A183" s="3">
        <v>182</v>
      </c>
      <c r="B183" s="4">
        <v>40551</v>
      </c>
      <c r="C183" s="3">
        <v>20</v>
      </c>
      <c r="D183" s="3" t="b">
        <v>0</v>
      </c>
      <c r="E183" s="3">
        <v>6</v>
      </c>
      <c r="F183" s="3">
        <v>1</v>
      </c>
      <c r="G183" s="3">
        <v>0.12</v>
      </c>
      <c r="H183" t="str">
        <f t="shared" si="22"/>
        <v>Sat</v>
      </c>
      <c r="I183">
        <f t="shared" si="17"/>
        <v>0.1212</v>
      </c>
      <c r="J183">
        <f t="shared" si="18"/>
        <v>0.36</v>
      </c>
      <c r="K183">
        <f t="shared" si="19"/>
        <v>0.25369999999999998</v>
      </c>
      <c r="L183">
        <f t="shared" si="20"/>
        <v>0</v>
      </c>
      <c r="M183">
        <f t="shared" si="21"/>
        <v>28</v>
      </c>
      <c r="N183" t="str">
        <f t="shared" si="23"/>
        <v>Night shift</v>
      </c>
    </row>
    <row r="184" spans="1:14" x14ac:dyDescent="0.3">
      <c r="A184" s="3">
        <v>183</v>
      </c>
      <c r="B184" s="4">
        <v>40551</v>
      </c>
      <c r="C184" s="3">
        <v>21</v>
      </c>
      <c r="D184" s="3" t="b">
        <v>0</v>
      </c>
      <c r="E184" s="3">
        <v>6</v>
      </c>
      <c r="F184" s="3">
        <v>1</v>
      </c>
      <c r="G184" s="3">
        <v>0.12</v>
      </c>
      <c r="H184" t="str">
        <f t="shared" si="22"/>
        <v>Sat</v>
      </c>
      <c r="I184">
        <f t="shared" si="17"/>
        <v>0.1061</v>
      </c>
      <c r="J184">
        <f t="shared" si="18"/>
        <v>0.39</v>
      </c>
      <c r="K184">
        <f t="shared" si="19"/>
        <v>0.35820000000000002</v>
      </c>
      <c r="L184">
        <f t="shared" si="20"/>
        <v>2</v>
      </c>
      <c r="M184">
        <f t="shared" si="21"/>
        <v>35</v>
      </c>
      <c r="N184" t="str">
        <f t="shared" si="23"/>
        <v>Night shift</v>
      </c>
    </row>
    <row r="185" spans="1:14" x14ac:dyDescent="0.3">
      <c r="A185" s="3">
        <v>184</v>
      </c>
      <c r="B185" s="4">
        <v>40551</v>
      </c>
      <c r="C185" s="3">
        <v>22</v>
      </c>
      <c r="D185" s="3" t="b">
        <v>0</v>
      </c>
      <c r="E185" s="3">
        <v>6</v>
      </c>
      <c r="F185" s="3">
        <v>1</v>
      </c>
      <c r="G185" s="3">
        <v>0.12</v>
      </c>
      <c r="H185" t="str">
        <f t="shared" si="22"/>
        <v>Sat</v>
      </c>
      <c r="I185">
        <f t="shared" si="17"/>
        <v>0.1061</v>
      </c>
      <c r="J185">
        <f t="shared" si="18"/>
        <v>0.36</v>
      </c>
      <c r="K185">
        <f t="shared" si="19"/>
        <v>0.3881</v>
      </c>
      <c r="L185">
        <f t="shared" si="20"/>
        <v>1</v>
      </c>
      <c r="M185">
        <f t="shared" si="21"/>
        <v>33</v>
      </c>
      <c r="N185" t="str">
        <f t="shared" si="23"/>
        <v>Night shift</v>
      </c>
    </row>
    <row r="186" spans="1:14" x14ac:dyDescent="0.3">
      <c r="A186" s="3">
        <v>185</v>
      </c>
      <c r="B186" s="4">
        <v>40551</v>
      </c>
      <c r="C186" s="3">
        <v>23</v>
      </c>
      <c r="D186" s="3" t="b">
        <v>0</v>
      </c>
      <c r="E186" s="3">
        <v>6</v>
      </c>
      <c r="F186" s="3">
        <v>1</v>
      </c>
      <c r="G186" s="3">
        <v>0.1</v>
      </c>
      <c r="H186" t="str">
        <f t="shared" si="22"/>
        <v>Sat</v>
      </c>
      <c r="I186">
        <f t="shared" si="17"/>
        <v>6.0600000000000001E-2</v>
      </c>
      <c r="J186">
        <f t="shared" si="18"/>
        <v>0.39</v>
      </c>
      <c r="K186">
        <f t="shared" si="19"/>
        <v>0.44779999999999998</v>
      </c>
      <c r="L186">
        <f t="shared" si="20"/>
        <v>0</v>
      </c>
      <c r="M186">
        <f t="shared" si="21"/>
        <v>22</v>
      </c>
      <c r="N186" t="str">
        <f t="shared" si="23"/>
        <v>Night shift</v>
      </c>
    </row>
    <row r="187" spans="1:14" x14ac:dyDescent="0.3">
      <c r="A187" s="3">
        <v>186</v>
      </c>
      <c r="B187" s="4">
        <v>40552</v>
      </c>
      <c r="C187" s="3">
        <v>0</v>
      </c>
      <c r="D187" s="3" t="b">
        <v>0</v>
      </c>
      <c r="E187" s="3">
        <v>0</v>
      </c>
      <c r="F187" s="3">
        <v>1</v>
      </c>
      <c r="G187" s="3">
        <v>0.1</v>
      </c>
      <c r="H187" t="str">
        <f t="shared" si="22"/>
        <v>Sun</v>
      </c>
      <c r="I187">
        <f t="shared" si="17"/>
        <v>7.5800000000000006E-2</v>
      </c>
      <c r="J187">
        <f t="shared" si="18"/>
        <v>0.42</v>
      </c>
      <c r="K187">
        <f t="shared" si="19"/>
        <v>0.3881</v>
      </c>
      <c r="L187">
        <f t="shared" si="20"/>
        <v>1</v>
      </c>
      <c r="M187">
        <f t="shared" si="21"/>
        <v>24</v>
      </c>
      <c r="N187" t="str">
        <f t="shared" si="23"/>
        <v>Night shift</v>
      </c>
    </row>
    <row r="188" spans="1:14" x14ac:dyDescent="0.3">
      <c r="A188" s="3">
        <v>187</v>
      </c>
      <c r="B188" s="4">
        <v>40552</v>
      </c>
      <c r="C188" s="3">
        <v>1</v>
      </c>
      <c r="D188" s="3" t="b">
        <v>0</v>
      </c>
      <c r="E188" s="3">
        <v>0</v>
      </c>
      <c r="F188" s="3">
        <v>1</v>
      </c>
      <c r="G188" s="3">
        <v>0.1</v>
      </c>
      <c r="H188" t="str">
        <f t="shared" si="22"/>
        <v>Sun</v>
      </c>
      <c r="I188">
        <f t="shared" si="17"/>
        <v>6.0600000000000001E-2</v>
      </c>
      <c r="J188">
        <f t="shared" si="18"/>
        <v>0.42</v>
      </c>
      <c r="K188">
        <f t="shared" si="19"/>
        <v>0.4627</v>
      </c>
      <c r="L188">
        <f t="shared" si="20"/>
        <v>0</v>
      </c>
      <c r="M188">
        <f t="shared" si="21"/>
        <v>12</v>
      </c>
      <c r="N188" t="str">
        <f t="shared" si="23"/>
        <v>Night shift</v>
      </c>
    </row>
    <row r="189" spans="1:14" x14ac:dyDescent="0.3">
      <c r="A189" s="3">
        <v>188</v>
      </c>
      <c r="B189" s="4">
        <v>40552</v>
      </c>
      <c r="C189" s="3">
        <v>2</v>
      </c>
      <c r="D189" s="3" t="b">
        <v>0</v>
      </c>
      <c r="E189" s="3">
        <v>0</v>
      </c>
      <c r="F189" s="3">
        <v>1</v>
      </c>
      <c r="G189" s="3">
        <v>0.1</v>
      </c>
      <c r="H189" t="str">
        <f t="shared" si="22"/>
        <v>Sun</v>
      </c>
      <c r="I189">
        <f t="shared" si="17"/>
        <v>6.0600000000000001E-2</v>
      </c>
      <c r="J189">
        <f t="shared" si="18"/>
        <v>0.46</v>
      </c>
      <c r="K189">
        <f t="shared" si="19"/>
        <v>0.4627</v>
      </c>
      <c r="L189">
        <f t="shared" si="20"/>
        <v>0</v>
      </c>
      <c r="M189">
        <f t="shared" si="21"/>
        <v>11</v>
      </c>
      <c r="N189" t="str">
        <f t="shared" si="23"/>
        <v>Night shift</v>
      </c>
    </row>
    <row r="190" spans="1:14" x14ac:dyDescent="0.3">
      <c r="A190" s="3">
        <v>189</v>
      </c>
      <c r="B190" s="4">
        <v>40552</v>
      </c>
      <c r="C190" s="3">
        <v>3</v>
      </c>
      <c r="D190" s="3" t="b">
        <v>0</v>
      </c>
      <c r="E190" s="3">
        <v>0</v>
      </c>
      <c r="F190" s="3">
        <v>1</v>
      </c>
      <c r="G190" s="3">
        <v>0.1</v>
      </c>
      <c r="H190" t="str">
        <f t="shared" si="22"/>
        <v>Sun</v>
      </c>
      <c r="I190">
        <f t="shared" si="17"/>
        <v>7.5800000000000006E-2</v>
      </c>
      <c r="J190">
        <f t="shared" si="18"/>
        <v>0.46</v>
      </c>
      <c r="K190">
        <f t="shared" si="19"/>
        <v>0.41789999999999999</v>
      </c>
      <c r="L190">
        <f t="shared" si="20"/>
        <v>0</v>
      </c>
      <c r="M190">
        <f t="shared" si="21"/>
        <v>4</v>
      </c>
      <c r="N190" t="str">
        <f t="shared" si="23"/>
        <v>Night shift</v>
      </c>
    </row>
    <row r="191" spans="1:14" x14ac:dyDescent="0.3">
      <c r="A191" s="3">
        <v>190</v>
      </c>
      <c r="B191" s="4">
        <v>40552</v>
      </c>
      <c r="C191" s="3">
        <v>4</v>
      </c>
      <c r="D191" s="3" t="b">
        <v>0</v>
      </c>
      <c r="E191" s="3">
        <v>0</v>
      </c>
      <c r="F191" s="3">
        <v>1</v>
      </c>
      <c r="G191" s="3">
        <v>0.08</v>
      </c>
      <c r="H191" t="str">
        <f t="shared" si="22"/>
        <v>Sun</v>
      </c>
      <c r="I191">
        <f t="shared" si="17"/>
        <v>9.0899999999999995E-2</v>
      </c>
      <c r="J191">
        <f t="shared" si="18"/>
        <v>0.53</v>
      </c>
      <c r="K191">
        <f t="shared" si="19"/>
        <v>0.19400000000000001</v>
      </c>
      <c r="L191">
        <f t="shared" si="20"/>
        <v>0</v>
      </c>
      <c r="M191">
        <f t="shared" si="21"/>
        <v>1</v>
      </c>
      <c r="N191" t="str">
        <f t="shared" si="23"/>
        <v>Night shift</v>
      </c>
    </row>
    <row r="192" spans="1:14" x14ac:dyDescent="0.3">
      <c r="A192" s="3">
        <v>191</v>
      </c>
      <c r="B192" s="4">
        <v>40552</v>
      </c>
      <c r="C192" s="3">
        <v>5</v>
      </c>
      <c r="D192" s="3" t="b">
        <v>0</v>
      </c>
      <c r="E192" s="3">
        <v>0</v>
      </c>
      <c r="F192" s="3">
        <v>1</v>
      </c>
      <c r="G192" s="3">
        <v>0.08</v>
      </c>
      <c r="H192" t="str">
        <f t="shared" si="22"/>
        <v>Sun</v>
      </c>
      <c r="I192">
        <f t="shared" si="17"/>
        <v>9.0899999999999995E-2</v>
      </c>
      <c r="J192">
        <f t="shared" si="18"/>
        <v>0.53</v>
      </c>
      <c r="K192">
        <f t="shared" si="19"/>
        <v>0.19400000000000001</v>
      </c>
      <c r="L192">
        <f t="shared" si="20"/>
        <v>0</v>
      </c>
      <c r="M192">
        <f t="shared" si="21"/>
        <v>1</v>
      </c>
      <c r="N192" t="str">
        <f t="shared" si="23"/>
        <v>Night shift</v>
      </c>
    </row>
    <row r="193" spans="1:14" x14ac:dyDescent="0.3">
      <c r="A193" s="3">
        <v>192</v>
      </c>
      <c r="B193" s="4">
        <v>40552</v>
      </c>
      <c r="C193" s="3">
        <v>6</v>
      </c>
      <c r="D193" s="3" t="b">
        <v>0</v>
      </c>
      <c r="E193" s="3">
        <v>0</v>
      </c>
      <c r="F193" s="3">
        <v>1</v>
      </c>
      <c r="G193" s="3">
        <v>0.1</v>
      </c>
      <c r="H193" t="str">
        <f t="shared" si="22"/>
        <v>Sun</v>
      </c>
      <c r="I193">
        <f t="shared" si="17"/>
        <v>9.0899999999999995E-2</v>
      </c>
      <c r="J193">
        <f t="shared" si="18"/>
        <v>0.49</v>
      </c>
      <c r="K193">
        <f t="shared" si="19"/>
        <v>0.28360000000000002</v>
      </c>
      <c r="L193">
        <f t="shared" si="20"/>
        <v>0</v>
      </c>
      <c r="M193">
        <f t="shared" si="21"/>
        <v>1</v>
      </c>
      <c r="N193" t="str">
        <f t="shared" si="23"/>
        <v>Day Shift</v>
      </c>
    </row>
    <row r="194" spans="1:14" x14ac:dyDescent="0.3">
      <c r="A194" s="3">
        <v>193</v>
      </c>
      <c r="B194" s="4">
        <v>40552</v>
      </c>
      <c r="C194" s="3">
        <v>7</v>
      </c>
      <c r="D194" s="3" t="b">
        <v>0</v>
      </c>
      <c r="E194" s="3">
        <v>0</v>
      </c>
      <c r="F194" s="3">
        <v>1</v>
      </c>
      <c r="G194" s="3">
        <v>0.08</v>
      </c>
      <c r="H194" t="str">
        <f t="shared" si="22"/>
        <v>Sun</v>
      </c>
      <c r="I194">
        <f t="shared" ref="I194:I257" si="24">VLOOKUP($A194,instantc,3,FALSE)</f>
        <v>9.0899999999999995E-2</v>
      </c>
      <c r="J194">
        <f t="shared" ref="J194:J257" si="25">VLOOKUP($A194,instantc,4,FALSE)</f>
        <v>0.53</v>
      </c>
      <c r="K194">
        <f t="shared" ref="K194:K257" si="26">VLOOKUP($A194,instantc,5,FALSE)</f>
        <v>0.19400000000000001</v>
      </c>
      <c r="L194">
        <f t="shared" ref="L194:L257" si="27">VLOOKUP($A194,instantc,6,FALSE)</f>
        <v>1</v>
      </c>
      <c r="M194">
        <f t="shared" ref="M194:M257" si="28">VLOOKUP($A194,instantc,7,FALSE)</f>
        <v>5</v>
      </c>
      <c r="N194" t="str">
        <f t="shared" si="23"/>
        <v>Day Shift</v>
      </c>
    </row>
    <row r="195" spans="1:14" x14ac:dyDescent="0.3">
      <c r="A195" s="3">
        <v>194</v>
      </c>
      <c r="B195" s="4">
        <v>40552</v>
      </c>
      <c r="C195" s="3">
        <v>8</v>
      </c>
      <c r="D195" s="3" t="b">
        <v>0</v>
      </c>
      <c r="E195" s="3">
        <v>0</v>
      </c>
      <c r="F195" s="3">
        <v>1</v>
      </c>
      <c r="G195" s="3">
        <v>0.1</v>
      </c>
      <c r="H195" t="str">
        <f t="shared" ref="H195:H258" si="29">TEXT(B195,"ddd")</f>
        <v>Sun</v>
      </c>
      <c r="I195">
        <f t="shared" si="24"/>
        <v>9.0899999999999995E-2</v>
      </c>
      <c r="J195">
        <f t="shared" si="25"/>
        <v>0.49</v>
      </c>
      <c r="K195">
        <f t="shared" si="26"/>
        <v>0.28360000000000002</v>
      </c>
      <c r="L195">
        <f t="shared" si="27"/>
        <v>0</v>
      </c>
      <c r="M195">
        <f t="shared" si="28"/>
        <v>10</v>
      </c>
      <c r="N195" t="str">
        <f t="shared" ref="N195:N258" si="30">IF(AND(C195&gt;=6,C195&lt;=18),"Day Shift","Night shift")</f>
        <v>Day Shift</v>
      </c>
    </row>
    <row r="196" spans="1:14" x14ac:dyDescent="0.3">
      <c r="A196" s="3">
        <v>195</v>
      </c>
      <c r="B196" s="4">
        <v>40552</v>
      </c>
      <c r="C196" s="3">
        <v>9</v>
      </c>
      <c r="D196" s="3" t="b">
        <v>0</v>
      </c>
      <c r="E196" s="3">
        <v>0</v>
      </c>
      <c r="F196" s="3">
        <v>1</v>
      </c>
      <c r="G196" s="3">
        <v>0.12</v>
      </c>
      <c r="H196" t="str">
        <f t="shared" si="29"/>
        <v>Sun</v>
      </c>
      <c r="I196">
        <f t="shared" si="24"/>
        <v>7.5800000000000006E-2</v>
      </c>
      <c r="J196">
        <f t="shared" si="25"/>
        <v>0.46</v>
      </c>
      <c r="K196">
        <f t="shared" si="26"/>
        <v>0.52239999999999998</v>
      </c>
      <c r="L196">
        <f t="shared" si="27"/>
        <v>0</v>
      </c>
      <c r="M196">
        <f t="shared" si="28"/>
        <v>19</v>
      </c>
      <c r="N196" t="str">
        <f t="shared" si="30"/>
        <v>Day Shift</v>
      </c>
    </row>
    <row r="197" spans="1:14" x14ac:dyDescent="0.3">
      <c r="A197" s="3">
        <v>196</v>
      </c>
      <c r="B197" s="4">
        <v>40552</v>
      </c>
      <c r="C197" s="3">
        <v>10</v>
      </c>
      <c r="D197" s="3" t="b">
        <v>0</v>
      </c>
      <c r="E197" s="3">
        <v>0</v>
      </c>
      <c r="F197" s="3">
        <v>1</v>
      </c>
      <c r="G197" s="3">
        <v>0.14000000000000001</v>
      </c>
      <c r="H197" t="str">
        <f t="shared" si="29"/>
        <v>Sun</v>
      </c>
      <c r="I197">
        <f t="shared" si="24"/>
        <v>0.1061</v>
      </c>
      <c r="J197">
        <f t="shared" si="25"/>
        <v>0.43</v>
      </c>
      <c r="K197">
        <f t="shared" si="26"/>
        <v>0.3881</v>
      </c>
      <c r="L197">
        <f t="shared" si="27"/>
        <v>0</v>
      </c>
      <c r="M197">
        <f t="shared" si="28"/>
        <v>49</v>
      </c>
      <c r="N197" t="str">
        <f t="shared" si="30"/>
        <v>Day Shift</v>
      </c>
    </row>
    <row r="198" spans="1:14" x14ac:dyDescent="0.3">
      <c r="A198" s="3">
        <v>197</v>
      </c>
      <c r="B198" s="4">
        <v>40552</v>
      </c>
      <c r="C198" s="3">
        <v>11</v>
      </c>
      <c r="D198" s="3" t="b">
        <v>0</v>
      </c>
      <c r="E198" s="3">
        <v>0</v>
      </c>
      <c r="F198" s="3">
        <v>1</v>
      </c>
      <c r="G198" s="3">
        <v>0.16</v>
      </c>
      <c r="H198" t="str">
        <f t="shared" si="29"/>
        <v>Sun</v>
      </c>
      <c r="I198">
        <f t="shared" si="24"/>
        <v>0.1212</v>
      </c>
      <c r="J198">
        <f t="shared" si="25"/>
        <v>0.4</v>
      </c>
      <c r="K198">
        <f t="shared" si="26"/>
        <v>0.52239999999999998</v>
      </c>
      <c r="L198">
        <f t="shared" si="27"/>
        <v>2</v>
      </c>
      <c r="M198">
        <f t="shared" si="28"/>
        <v>47</v>
      </c>
      <c r="N198" t="str">
        <f t="shared" si="30"/>
        <v>Day Shift</v>
      </c>
    </row>
    <row r="199" spans="1:14" x14ac:dyDescent="0.3">
      <c r="A199" s="3">
        <v>198</v>
      </c>
      <c r="B199" s="4">
        <v>40552</v>
      </c>
      <c r="C199" s="3">
        <v>12</v>
      </c>
      <c r="D199" s="3" t="b">
        <v>0</v>
      </c>
      <c r="E199" s="3">
        <v>0</v>
      </c>
      <c r="F199" s="3">
        <v>1</v>
      </c>
      <c r="G199" s="3">
        <v>0.18</v>
      </c>
      <c r="H199" t="str">
        <f t="shared" si="29"/>
        <v>Sun</v>
      </c>
      <c r="I199">
        <f t="shared" si="24"/>
        <v>0.13639999999999999</v>
      </c>
      <c r="J199">
        <f t="shared" si="25"/>
        <v>0.37</v>
      </c>
      <c r="K199">
        <f t="shared" si="26"/>
        <v>0.44779999999999998</v>
      </c>
      <c r="L199">
        <f t="shared" si="27"/>
        <v>4</v>
      </c>
      <c r="M199">
        <f t="shared" si="28"/>
        <v>79</v>
      </c>
      <c r="N199" t="str">
        <f t="shared" si="30"/>
        <v>Day Shift</v>
      </c>
    </row>
    <row r="200" spans="1:14" x14ac:dyDescent="0.3">
      <c r="A200" s="3">
        <v>199</v>
      </c>
      <c r="B200" s="4">
        <v>40552</v>
      </c>
      <c r="C200" s="3">
        <v>13</v>
      </c>
      <c r="D200" s="3" t="b">
        <v>0</v>
      </c>
      <c r="E200" s="3">
        <v>0</v>
      </c>
      <c r="F200" s="3">
        <v>1</v>
      </c>
      <c r="G200" s="3">
        <v>0.2</v>
      </c>
      <c r="H200" t="str">
        <f t="shared" si="29"/>
        <v>Sun</v>
      </c>
      <c r="I200">
        <f t="shared" si="24"/>
        <v>0.16669999999999999</v>
      </c>
      <c r="J200">
        <f t="shared" si="25"/>
        <v>0.34</v>
      </c>
      <c r="K200">
        <f t="shared" si="26"/>
        <v>0.44779999999999998</v>
      </c>
      <c r="L200">
        <f t="shared" si="27"/>
        <v>6</v>
      </c>
      <c r="M200">
        <f t="shared" si="28"/>
        <v>69</v>
      </c>
      <c r="N200" t="str">
        <f t="shared" si="30"/>
        <v>Day Shift</v>
      </c>
    </row>
    <row r="201" spans="1:14" x14ac:dyDescent="0.3">
      <c r="A201" s="3">
        <v>200</v>
      </c>
      <c r="B201" s="4">
        <v>40552</v>
      </c>
      <c r="C201" s="3">
        <v>14</v>
      </c>
      <c r="D201" s="3" t="b">
        <v>0</v>
      </c>
      <c r="E201" s="3">
        <v>0</v>
      </c>
      <c r="F201" s="3">
        <v>1</v>
      </c>
      <c r="G201" s="3">
        <v>0.22</v>
      </c>
      <c r="H201" t="str">
        <f t="shared" si="29"/>
        <v>Sun</v>
      </c>
      <c r="I201">
        <f t="shared" si="24"/>
        <v>0.18179999999999999</v>
      </c>
      <c r="J201">
        <f t="shared" si="25"/>
        <v>0.32</v>
      </c>
      <c r="K201">
        <f t="shared" si="26"/>
        <v>0.4627</v>
      </c>
      <c r="L201">
        <f t="shared" si="27"/>
        <v>8</v>
      </c>
      <c r="M201">
        <f t="shared" si="28"/>
        <v>64</v>
      </c>
      <c r="N201" t="str">
        <f t="shared" si="30"/>
        <v>Day Shift</v>
      </c>
    </row>
    <row r="202" spans="1:14" x14ac:dyDescent="0.3">
      <c r="A202" s="3">
        <v>201</v>
      </c>
      <c r="B202" s="4">
        <v>40552</v>
      </c>
      <c r="C202" s="3">
        <v>15</v>
      </c>
      <c r="D202" s="3" t="b">
        <v>0</v>
      </c>
      <c r="E202" s="3">
        <v>0</v>
      </c>
      <c r="F202" s="3">
        <v>1</v>
      </c>
      <c r="G202" s="3">
        <v>0.22</v>
      </c>
      <c r="H202" t="str">
        <f t="shared" si="29"/>
        <v>Sun</v>
      </c>
      <c r="I202">
        <f t="shared" si="24"/>
        <v>0.19700000000000001</v>
      </c>
      <c r="J202">
        <f t="shared" si="25"/>
        <v>0.35</v>
      </c>
      <c r="K202">
        <f t="shared" si="26"/>
        <v>0.35820000000000002</v>
      </c>
      <c r="L202">
        <f t="shared" si="27"/>
        <v>5</v>
      </c>
      <c r="M202">
        <f t="shared" si="28"/>
        <v>77</v>
      </c>
      <c r="N202" t="str">
        <f t="shared" si="30"/>
        <v>Day Shift</v>
      </c>
    </row>
    <row r="203" spans="1:14" x14ac:dyDescent="0.3">
      <c r="A203" s="3">
        <v>202</v>
      </c>
      <c r="B203" s="4">
        <v>40552</v>
      </c>
      <c r="C203" s="3">
        <v>16</v>
      </c>
      <c r="D203" s="3" t="b">
        <v>0</v>
      </c>
      <c r="E203" s="3">
        <v>0</v>
      </c>
      <c r="F203" s="3">
        <v>1</v>
      </c>
      <c r="G203" s="3">
        <v>0.2</v>
      </c>
      <c r="H203" t="str">
        <f t="shared" si="29"/>
        <v>Sun</v>
      </c>
      <c r="I203">
        <f t="shared" si="24"/>
        <v>0.16669999999999999</v>
      </c>
      <c r="J203">
        <f t="shared" si="25"/>
        <v>0.34</v>
      </c>
      <c r="K203">
        <f t="shared" si="26"/>
        <v>0.44779999999999998</v>
      </c>
      <c r="L203">
        <f t="shared" si="27"/>
        <v>13</v>
      </c>
      <c r="M203">
        <f t="shared" si="28"/>
        <v>79</v>
      </c>
      <c r="N203" t="str">
        <f t="shared" si="30"/>
        <v>Day Shift</v>
      </c>
    </row>
    <row r="204" spans="1:14" x14ac:dyDescent="0.3">
      <c r="A204" s="3">
        <v>203</v>
      </c>
      <c r="B204" s="4">
        <v>40552</v>
      </c>
      <c r="C204" s="3">
        <v>17</v>
      </c>
      <c r="D204" s="3" t="b">
        <v>0</v>
      </c>
      <c r="E204" s="3">
        <v>0</v>
      </c>
      <c r="F204" s="3">
        <v>1</v>
      </c>
      <c r="G204" s="3">
        <v>0.18</v>
      </c>
      <c r="H204" t="str">
        <f t="shared" si="29"/>
        <v>Sun</v>
      </c>
      <c r="I204">
        <f t="shared" si="24"/>
        <v>0.1515</v>
      </c>
      <c r="J204">
        <f t="shared" si="25"/>
        <v>0.37</v>
      </c>
      <c r="K204">
        <f t="shared" si="26"/>
        <v>0.3881</v>
      </c>
      <c r="L204">
        <f t="shared" si="27"/>
        <v>3</v>
      </c>
      <c r="M204">
        <f t="shared" si="28"/>
        <v>59</v>
      </c>
      <c r="N204" t="str">
        <f t="shared" si="30"/>
        <v>Day Shift</v>
      </c>
    </row>
    <row r="205" spans="1:14" x14ac:dyDescent="0.3">
      <c r="A205" s="3">
        <v>204</v>
      </c>
      <c r="B205" s="4">
        <v>40552</v>
      </c>
      <c r="C205" s="3">
        <v>18</v>
      </c>
      <c r="D205" s="3" t="b">
        <v>0</v>
      </c>
      <c r="E205" s="3">
        <v>0</v>
      </c>
      <c r="F205" s="3">
        <v>1</v>
      </c>
      <c r="G205" s="3">
        <v>0.16</v>
      </c>
      <c r="H205" t="str">
        <f t="shared" si="29"/>
        <v>Sun</v>
      </c>
      <c r="I205">
        <f t="shared" si="24"/>
        <v>0.13639999999999999</v>
      </c>
      <c r="J205">
        <f t="shared" si="25"/>
        <v>0.4</v>
      </c>
      <c r="K205">
        <f t="shared" si="26"/>
        <v>0.32840000000000003</v>
      </c>
      <c r="L205">
        <f t="shared" si="27"/>
        <v>4</v>
      </c>
      <c r="M205">
        <f t="shared" si="28"/>
        <v>44</v>
      </c>
      <c r="N205" t="str">
        <f t="shared" si="30"/>
        <v>Day Shift</v>
      </c>
    </row>
    <row r="206" spans="1:14" x14ac:dyDescent="0.3">
      <c r="A206" s="3">
        <v>205</v>
      </c>
      <c r="B206" s="4">
        <v>40552</v>
      </c>
      <c r="C206" s="3">
        <v>19</v>
      </c>
      <c r="D206" s="3" t="b">
        <v>0</v>
      </c>
      <c r="E206" s="3">
        <v>0</v>
      </c>
      <c r="F206" s="3">
        <v>1</v>
      </c>
      <c r="G206" s="3">
        <v>0.16</v>
      </c>
      <c r="H206" t="str">
        <f t="shared" si="29"/>
        <v>Sun</v>
      </c>
      <c r="I206">
        <f t="shared" si="24"/>
        <v>0.13639999999999999</v>
      </c>
      <c r="J206">
        <f t="shared" si="25"/>
        <v>0.43</v>
      </c>
      <c r="K206">
        <f t="shared" si="26"/>
        <v>0.32840000000000003</v>
      </c>
      <c r="L206">
        <f t="shared" si="27"/>
        <v>1</v>
      </c>
      <c r="M206">
        <f t="shared" si="28"/>
        <v>40</v>
      </c>
      <c r="N206" t="str">
        <f t="shared" si="30"/>
        <v>Night shift</v>
      </c>
    </row>
    <row r="207" spans="1:14" x14ac:dyDescent="0.3">
      <c r="A207" s="3">
        <v>206</v>
      </c>
      <c r="B207" s="4">
        <v>40552</v>
      </c>
      <c r="C207" s="3">
        <v>20</v>
      </c>
      <c r="D207" s="3" t="b">
        <v>0</v>
      </c>
      <c r="E207" s="3">
        <v>0</v>
      </c>
      <c r="F207" s="3">
        <v>1</v>
      </c>
      <c r="G207" s="3">
        <v>0.14000000000000001</v>
      </c>
      <c r="H207" t="str">
        <f t="shared" si="29"/>
        <v>Sun</v>
      </c>
      <c r="I207">
        <f t="shared" si="24"/>
        <v>0.1212</v>
      </c>
      <c r="J207">
        <f t="shared" si="25"/>
        <v>0.46</v>
      </c>
      <c r="K207">
        <f t="shared" si="26"/>
        <v>0.25369999999999998</v>
      </c>
      <c r="L207">
        <f t="shared" si="27"/>
        <v>0</v>
      </c>
      <c r="M207">
        <f t="shared" si="28"/>
        <v>38</v>
      </c>
      <c r="N207" t="str">
        <f t="shared" si="30"/>
        <v>Night shift</v>
      </c>
    </row>
    <row r="208" spans="1:14" x14ac:dyDescent="0.3">
      <c r="A208" s="3">
        <v>207</v>
      </c>
      <c r="B208" s="4">
        <v>40552</v>
      </c>
      <c r="C208" s="3">
        <v>21</v>
      </c>
      <c r="D208" s="3" t="b">
        <v>0</v>
      </c>
      <c r="E208" s="3">
        <v>0</v>
      </c>
      <c r="F208" s="3">
        <v>1</v>
      </c>
      <c r="G208" s="3">
        <v>0.14000000000000001</v>
      </c>
      <c r="H208" t="str">
        <f t="shared" si="29"/>
        <v>Sun</v>
      </c>
      <c r="I208">
        <f t="shared" si="24"/>
        <v>0.1061</v>
      </c>
      <c r="J208">
        <f t="shared" si="25"/>
        <v>0.46</v>
      </c>
      <c r="K208">
        <f t="shared" si="26"/>
        <v>0.41789999999999999</v>
      </c>
      <c r="L208">
        <f t="shared" si="27"/>
        <v>1</v>
      </c>
      <c r="M208">
        <f t="shared" si="28"/>
        <v>19</v>
      </c>
      <c r="N208" t="str">
        <f t="shared" si="30"/>
        <v>Night shift</v>
      </c>
    </row>
    <row r="209" spans="1:14" x14ac:dyDescent="0.3">
      <c r="A209" s="3">
        <v>208</v>
      </c>
      <c r="B209" s="4">
        <v>40552</v>
      </c>
      <c r="C209" s="3">
        <v>22</v>
      </c>
      <c r="D209" s="3" t="b">
        <v>0</v>
      </c>
      <c r="E209" s="3">
        <v>0</v>
      </c>
      <c r="F209" s="3">
        <v>1</v>
      </c>
      <c r="G209" s="3">
        <v>0.14000000000000001</v>
      </c>
      <c r="H209" t="str">
        <f t="shared" si="29"/>
        <v>Sun</v>
      </c>
      <c r="I209">
        <f t="shared" si="24"/>
        <v>0.1212</v>
      </c>
      <c r="J209">
        <f t="shared" si="25"/>
        <v>0.46</v>
      </c>
      <c r="K209">
        <f t="shared" si="26"/>
        <v>0.29849999999999999</v>
      </c>
      <c r="L209">
        <f t="shared" si="27"/>
        <v>5</v>
      </c>
      <c r="M209">
        <f t="shared" si="28"/>
        <v>10</v>
      </c>
      <c r="N209" t="str">
        <f t="shared" si="30"/>
        <v>Night shift</v>
      </c>
    </row>
    <row r="210" spans="1:14" x14ac:dyDescent="0.3">
      <c r="A210" s="3">
        <v>209</v>
      </c>
      <c r="B210" s="4">
        <v>40552</v>
      </c>
      <c r="C210" s="3">
        <v>23</v>
      </c>
      <c r="D210" s="3" t="b">
        <v>0</v>
      </c>
      <c r="E210" s="3">
        <v>0</v>
      </c>
      <c r="F210" s="3">
        <v>1</v>
      </c>
      <c r="G210" s="3">
        <v>0.12</v>
      </c>
      <c r="H210" t="str">
        <f t="shared" si="29"/>
        <v>Sun</v>
      </c>
      <c r="I210">
        <f t="shared" si="24"/>
        <v>0.13639999999999999</v>
      </c>
      <c r="J210">
        <f t="shared" si="25"/>
        <v>0.5</v>
      </c>
      <c r="K210">
        <f t="shared" si="26"/>
        <v>0.19400000000000001</v>
      </c>
      <c r="L210">
        <f t="shared" si="27"/>
        <v>0</v>
      </c>
      <c r="M210">
        <f t="shared" si="28"/>
        <v>6</v>
      </c>
      <c r="N210" t="str">
        <f t="shared" si="30"/>
        <v>Night shift</v>
      </c>
    </row>
    <row r="211" spans="1:14" x14ac:dyDescent="0.3">
      <c r="A211" s="3">
        <v>210</v>
      </c>
      <c r="B211" s="4">
        <v>40553</v>
      </c>
      <c r="C211" s="3">
        <v>0</v>
      </c>
      <c r="D211" s="3" t="b">
        <v>0</v>
      </c>
      <c r="E211" s="3">
        <v>1</v>
      </c>
      <c r="F211" s="3">
        <v>1</v>
      </c>
      <c r="G211" s="3">
        <v>0.12</v>
      </c>
      <c r="H211" t="str">
        <f t="shared" si="29"/>
        <v>Mon</v>
      </c>
      <c r="I211">
        <f t="shared" si="24"/>
        <v>0.1212</v>
      </c>
      <c r="J211">
        <f t="shared" si="25"/>
        <v>0.5</v>
      </c>
      <c r="K211">
        <f t="shared" si="26"/>
        <v>0.28360000000000002</v>
      </c>
      <c r="L211">
        <f t="shared" si="27"/>
        <v>2</v>
      </c>
      <c r="M211">
        <f t="shared" si="28"/>
        <v>3</v>
      </c>
      <c r="N211" t="str">
        <f t="shared" si="30"/>
        <v>Night shift</v>
      </c>
    </row>
    <row r="212" spans="1:14" x14ac:dyDescent="0.3">
      <c r="A212" s="3">
        <v>211</v>
      </c>
      <c r="B212" s="4">
        <v>40553</v>
      </c>
      <c r="C212" s="3">
        <v>1</v>
      </c>
      <c r="D212" s="3" t="b">
        <v>0</v>
      </c>
      <c r="E212" s="3">
        <v>1</v>
      </c>
      <c r="F212" s="3">
        <v>1</v>
      </c>
      <c r="G212" s="3">
        <v>0.12</v>
      </c>
      <c r="H212" t="str">
        <f t="shared" si="29"/>
        <v>Mon</v>
      </c>
      <c r="I212">
        <f t="shared" si="24"/>
        <v>0.1212</v>
      </c>
      <c r="J212">
        <f t="shared" si="25"/>
        <v>0.5</v>
      </c>
      <c r="K212">
        <f t="shared" si="26"/>
        <v>0.28360000000000002</v>
      </c>
      <c r="L212">
        <f t="shared" si="27"/>
        <v>1</v>
      </c>
      <c r="M212">
        <f t="shared" si="28"/>
        <v>0</v>
      </c>
      <c r="N212" t="str">
        <f t="shared" si="30"/>
        <v>Night shift</v>
      </c>
    </row>
    <row r="213" spans="1:14" x14ac:dyDescent="0.3">
      <c r="A213" s="3">
        <v>212</v>
      </c>
      <c r="B213" s="4">
        <v>40553</v>
      </c>
      <c r="C213" s="3">
        <v>2</v>
      </c>
      <c r="D213" s="3" t="b">
        <v>0</v>
      </c>
      <c r="E213" s="3">
        <v>1</v>
      </c>
      <c r="F213" s="3">
        <v>1</v>
      </c>
      <c r="G213" s="3">
        <v>0.12</v>
      </c>
      <c r="H213" t="str">
        <f t="shared" si="29"/>
        <v>Mon</v>
      </c>
      <c r="I213">
        <f t="shared" si="24"/>
        <v>0.1212</v>
      </c>
      <c r="J213">
        <f t="shared" si="25"/>
        <v>0.5</v>
      </c>
      <c r="K213">
        <f t="shared" si="26"/>
        <v>0.22389999999999999</v>
      </c>
      <c r="L213">
        <f t="shared" si="27"/>
        <v>0</v>
      </c>
      <c r="M213">
        <f t="shared" si="28"/>
        <v>3</v>
      </c>
      <c r="N213" t="str">
        <f t="shared" si="30"/>
        <v>Night shift</v>
      </c>
    </row>
    <row r="214" spans="1:14" x14ac:dyDescent="0.3">
      <c r="A214" s="3">
        <v>213</v>
      </c>
      <c r="B214" s="4">
        <v>40553</v>
      </c>
      <c r="C214" s="3">
        <v>3</v>
      </c>
      <c r="D214" s="3" t="b">
        <v>0</v>
      </c>
      <c r="E214" s="3">
        <v>1</v>
      </c>
      <c r="F214" s="3">
        <v>1</v>
      </c>
      <c r="G214" s="3">
        <v>0.12</v>
      </c>
      <c r="H214" t="str">
        <f t="shared" si="29"/>
        <v>Mon</v>
      </c>
      <c r="I214">
        <f t="shared" si="24"/>
        <v>0.1212</v>
      </c>
      <c r="J214">
        <f t="shared" si="25"/>
        <v>0.5</v>
      </c>
      <c r="K214">
        <f t="shared" si="26"/>
        <v>0.22389999999999999</v>
      </c>
      <c r="L214">
        <f t="shared" si="27"/>
        <v>0</v>
      </c>
      <c r="M214">
        <f t="shared" si="28"/>
        <v>1</v>
      </c>
      <c r="N214" t="str">
        <f t="shared" si="30"/>
        <v>Night shift</v>
      </c>
    </row>
    <row r="215" spans="1:14" x14ac:dyDescent="0.3">
      <c r="A215" s="3">
        <v>214</v>
      </c>
      <c r="B215" s="4">
        <v>40553</v>
      </c>
      <c r="C215" s="3">
        <v>4</v>
      </c>
      <c r="D215" s="3" t="b">
        <v>0</v>
      </c>
      <c r="E215" s="3">
        <v>1</v>
      </c>
      <c r="F215" s="3">
        <v>1</v>
      </c>
      <c r="G215" s="3">
        <v>0.1</v>
      </c>
      <c r="H215" t="str">
        <f t="shared" si="29"/>
        <v>Mon</v>
      </c>
      <c r="I215">
        <f t="shared" si="24"/>
        <v>0.1212</v>
      </c>
      <c r="J215">
        <f t="shared" si="25"/>
        <v>0.54</v>
      </c>
      <c r="K215">
        <f t="shared" si="26"/>
        <v>0.1343</v>
      </c>
      <c r="L215">
        <f t="shared" si="27"/>
        <v>1</v>
      </c>
      <c r="M215">
        <f t="shared" si="28"/>
        <v>2</v>
      </c>
      <c r="N215" t="str">
        <f t="shared" si="30"/>
        <v>Night shift</v>
      </c>
    </row>
    <row r="216" spans="1:14" x14ac:dyDescent="0.3">
      <c r="A216" s="3">
        <v>215</v>
      </c>
      <c r="B216" s="4">
        <v>40553</v>
      </c>
      <c r="C216" s="3">
        <v>5</v>
      </c>
      <c r="D216" s="3" t="b">
        <v>0</v>
      </c>
      <c r="E216" s="3">
        <v>1</v>
      </c>
      <c r="F216" s="3">
        <v>1</v>
      </c>
      <c r="G216" s="3">
        <v>0.1</v>
      </c>
      <c r="H216" t="str">
        <f t="shared" si="29"/>
        <v>Mon</v>
      </c>
      <c r="I216">
        <f t="shared" si="24"/>
        <v>0.1061</v>
      </c>
      <c r="J216">
        <f t="shared" si="25"/>
        <v>0.54</v>
      </c>
      <c r="K216">
        <f t="shared" si="26"/>
        <v>0.25369999999999998</v>
      </c>
      <c r="L216">
        <f t="shared" si="27"/>
        <v>0</v>
      </c>
      <c r="M216">
        <f t="shared" si="28"/>
        <v>3</v>
      </c>
      <c r="N216" t="str">
        <f t="shared" si="30"/>
        <v>Night shift</v>
      </c>
    </row>
    <row r="217" spans="1:14" x14ac:dyDescent="0.3">
      <c r="A217" s="3">
        <v>216</v>
      </c>
      <c r="B217" s="4">
        <v>40553</v>
      </c>
      <c r="C217" s="3">
        <v>6</v>
      </c>
      <c r="D217" s="3" t="b">
        <v>0</v>
      </c>
      <c r="E217" s="3">
        <v>1</v>
      </c>
      <c r="F217" s="3">
        <v>1</v>
      </c>
      <c r="G217" s="3">
        <v>0.12</v>
      </c>
      <c r="H217" t="str">
        <f t="shared" si="29"/>
        <v>Mon</v>
      </c>
      <c r="I217">
        <f t="shared" si="24"/>
        <v>0.1212</v>
      </c>
      <c r="J217">
        <f t="shared" si="25"/>
        <v>0.5</v>
      </c>
      <c r="K217">
        <f t="shared" si="26"/>
        <v>0.28360000000000002</v>
      </c>
      <c r="L217">
        <f t="shared" si="27"/>
        <v>0</v>
      </c>
      <c r="M217">
        <f t="shared" si="28"/>
        <v>31</v>
      </c>
      <c r="N217" t="str">
        <f t="shared" si="30"/>
        <v>Day Shift</v>
      </c>
    </row>
    <row r="218" spans="1:14" x14ac:dyDescent="0.3">
      <c r="A218" s="3">
        <v>217</v>
      </c>
      <c r="B218" s="4">
        <v>40553</v>
      </c>
      <c r="C218" s="3">
        <v>7</v>
      </c>
      <c r="D218" s="3" t="b">
        <v>0</v>
      </c>
      <c r="E218" s="3">
        <v>1</v>
      </c>
      <c r="F218" s="3">
        <v>1</v>
      </c>
      <c r="G218" s="3">
        <v>0.12</v>
      </c>
      <c r="H218" t="str">
        <f t="shared" si="29"/>
        <v>Mon</v>
      </c>
      <c r="I218">
        <f t="shared" si="24"/>
        <v>0.1212</v>
      </c>
      <c r="J218">
        <f t="shared" si="25"/>
        <v>0.5</v>
      </c>
      <c r="K218">
        <f t="shared" si="26"/>
        <v>0.22389999999999999</v>
      </c>
      <c r="L218">
        <f t="shared" si="27"/>
        <v>2</v>
      </c>
      <c r="M218">
        <f t="shared" si="28"/>
        <v>75</v>
      </c>
      <c r="N218" t="str">
        <f t="shared" si="30"/>
        <v>Day Shift</v>
      </c>
    </row>
    <row r="219" spans="1:14" x14ac:dyDescent="0.3">
      <c r="A219" s="3">
        <v>218</v>
      </c>
      <c r="B219" s="4">
        <v>40553</v>
      </c>
      <c r="C219" s="3">
        <v>8</v>
      </c>
      <c r="D219" s="3" t="b">
        <v>0</v>
      </c>
      <c r="E219" s="3">
        <v>1</v>
      </c>
      <c r="F219" s="3">
        <v>2</v>
      </c>
      <c r="G219" s="3">
        <v>0.12</v>
      </c>
      <c r="H219" t="str">
        <f t="shared" si="29"/>
        <v>Mon</v>
      </c>
      <c r="I219">
        <f t="shared" si="24"/>
        <v>0.1212</v>
      </c>
      <c r="J219">
        <f t="shared" si="25"/>
        <v>0.5</v>
      </c>
      <c r="K219">
        <f t="shared" si="26"/>
        <v>0.28360000000000002</v>
      </c>
      <c r="L219">
        <f t="shared" si="27"/>
        <v>4</v>
      </c>
      <c r="M219">
        <f t="shared" si="28"/>
        <v>184</v>
      </c>
      <c r="N219" t="str">
        <f t="shared" si="30"/>
        <v>Day Shift</v>
      </c>
    </row>
    <row r="220" spans="1:14" x14ac:dyDescent="0.3">
      <c r="A220" s="3">
        <v>219</v>
      </c>
      <c r="B220" s="4">
        <v>40553</v>
      </c>
      <c r="C220" s="3">
        <v>9</v>
      </c>
      <c r="D220" s="3" t="b">
        <v>0</v>
      </c>
      <c r="E220" s="3">
        <v>1</v>
      </c>
      <c r="F220" s="3">
        <v>2</v>
      </c>
      <c r="G220" s="3">
        <v>0.14000000000000001</v>
      </c>
      <c r="H220" t="str">
        <f t="shared" si="29"/>
        <v>Mon</v>
      </c>
      <c r="I220">
        <f t="shared" si="24"/>
        <v>0.1212</v>
      </c>
      <c r="J220">
        <f t="shared" si="25"/>
        <v>0.5</v>
      </c>
      <c r="K220">
        <f t="shared" si="26"/>
        <v>0.25369999999999998</v>
      </c>
      <c r="L220">
        <f t="shared" si="27"/>
        <v>2</v>
      </c>
      <c r="M220">
        <f t="shared" si="28"/>
        <v>92</v>
      </c>
      <c r="N220" t="str">
        <f t="shared" si="30"/>
        <v>Day Shift</v>
      </c>
    </row>
    <row r="221" spans="1:14" x14ac:dyDescent="0.3">
      <c r="A221" s="3">
        <v>220</v>
      </c>
      <c r="B221" s="4">
        <v>40553</v>
      </c>
      <c r="C221" s="3">
        <v>10</v>
      </c>
      <c r="D221" s="3" t="b">
        <v>0</v>
      </c>
      <c r="E221" s="3">
        <v>1</v>
      </c>
      <c r="F221" s="3">
        <v>2</v>
      </c>
      <c r="G221" s="3">
        <v>0.14000000000000001</v>
      </c>
      <c r="H221" t="str">
        <f t="shared" si="29"/>
        <v>Mon</v>
      </c>
      <c r="I221">
        <f t="shared" si="24"/>
        <v>0.1212</v>
      </c>
      <c r="J221">
        <f t="shared" si="25"/>
        <v>0.5</v>
      </c>
      <c r="K221">
        <f t="shared" si="26"/>
        <v>0.29849999999999999</v>
      </c>
      <c r="L221">
        <f t="shared" si="27"/>
        <v>0</v>
      </c>
      <c r="M221">
        <f t="shared" si="28"/>
        <v>31</v>
      </c>
      <c r="N221" t="str">
        <f t="shared" si="30"/>
        <v>Day Shift</v>
      </c>
    </row>
    <row r="222" spans="1:14" x14ac:dyDescent="0.3">
      <c r="A222" s="3">
        <v>221</v>
      </c>
      <c r="B222" s="4">
        <v>40553</v>
      </c>
      <c r="C222" s="3">
        <v>11</v>
      </c>
      <c r="D222" s="3" t="b">
        <v>0</v>
      </c>
      <c r="E222" s="3">
        <v>1</v>
      </c>
      <c r="F222" s="3">
        <v>2</v>
      </c>
      <c r="G222" s="3">
        <v>0.16</v>
      </c>
      <c r="H222" t="str">
        <f t="shared" si="29"/>
        <v>Mon</v>
      </c>
      <c r="I222">
        <f t="shared" si="24"/>
        <v>0.13639999999999999</v>
      </c>
      <c r="J222">
        <f t="shared" si="25"/>
        <v>0.47</v>
      </c>
      <c r="K222">
        <f t="shared" si="26"/>
        <v>0.28360000000000002</v>
      </c>
      <c r="L222">
        <f t="shared" si="27"/>
        <v>2</v>
      </c>
      <c r="M222">
        <f t="shared" si="28"/>
        <v>28</v>
      </c>
      <c r="N222" t="str">
        <f t="shared" si="30"/>
        <v>Day Shift</v>
      </c>
    </row>
    <row r="223" spans="1:14" x14ac:dyDescent="0.3">
      <c r="A223" s="3">
        <v>222</v>
      </c>
      <c r="B223" s="4">
        <v>40553</v>
      </c>
      <c r="C223" s="3">
        <v>12</v>
      </c>
      <c r="D223" s="3" t="b">
        <v>0</v>
      </c>
      <c r="E223" s="3">
        <v>1</v>
      </c>
      <c r="F223" s="3">
        <v>2</v>
      </c>
      <c r="G223" s="3">
        <v>0.2</v>
      </c>
      <c r="H223" t="str">
        <f t="shared" si="29"/>
        <v>Mon</v>
      </c>
      <c r="I223">
        <f t="shared" si="24"/>
        <v>0.18179999999999999</v>
      </c>
      <c r="J223">
        <f t="shared" si="25"/>
        <v>0.4</v>
      </c>
      <c r="K223">
        <f t="shared" si="26"/>
        <v>0.28360000000000002</v>
      </c>
      <c r="L223">
        <f t="shared" si="27"/>
        <v>5</v>
      </c>
      <c r="M223">
        <f t="shared" si="28"/>
        <v>47</v>
      </c>
      <c r="N223" t="str">
        <f t="shared" si="30"/>
        <v>Day Shift</v>
      </c>
    </row>
    <row r="224" spans="1:14" x14ac:dyDescent="0.3">
      <c r="A224" s="3">
        <v>223</v>
      </c>
      <c r="B224" s="4">
        <v>40553</v>
      </c>
      <c r="C224" s="3">
        <v>13</v>
      </c>
      <c r="D224" s="3" t="b">
        <v>0</v>
      </c>
      <c r="E224" s="3">
        <v>1</v>
      </c>
      <c r="F224" s="3">
        <v>2</v>
      </c>
      <c r="G224" s="3">
        <v>0.2</v>
      </c>
      <c r="H224" t="str">
        <f t="shared" si="29"/>
        <v>Mon</v>
      </c>
      <c r="I224">
        <f t="shared" si="24"/>
        <v>0.18179999999999999</v>
      </c>
      <c r="J224">
        <f t="shared" si="25"/>
        <v>0.4</v>
      </c>
      <c r="K224">
        <f t="shared" si="26"/>
        <v>0.28360000000000002</v>
      </c>
      <c r="L224">
        <f t="shared" si="27"/>
        <v>4</v>
      </c>
      <c r="M224">
        <f t="shared" si="28"/>
        <v>50</v>
      </c>
      <c r="N224" t="str">
        <f t="shared" si="30"/>
        <v>Day Shift</v>
      </c>
    </row>
    <row r="225" spans="1:14" x14ac:dyDescent="0.3">
      <c r="A225" s="3">
        <v>224</v>
      </c>
      <c r="B225" s="4">
        <v>40553</v>
      </c>
      <c r="C225" s="3">
        <v>14</v>
      </c>
      <c r="D225" s="3" t="b">
        <v>0</v>
      </c>
      <c r="E225" s="3">
        <v>1</v>
      </c>
      <c r="F225" s="3">
        <v>2</v>
      </c>
      <c r="G225" s="3">
        <v>0.2</v>
      </c>
      <c r="H225" t="str">
        <f t="shared" si="29"/>
        <v>Mon</v>
      </c>
      <c r="I225">
        <f t="shared" si="24"/>
        <v>0.19700000000000001</v>
      </c>
      <c r="J225">
        <f t="shared" si="25"/>
        <v>0.4</v>
      </c>
      <c r="K225">
        <f t="shared" si="26"/>
        <v>0.22389999999999999</v>
      </c>
      <c r="L225">
        <f t="shared" si="27"/>
        <v>0</v>
      </c>
      <c r="M225">
        <f t="shared" si="28"/>
        <v>47</v>
      </c>
      <c r="N225" t="str">
        <f t="shared" si="30"/>
        <v>Day Shift</v>
      </c>
    </row>
    <row r="226" spans="1:14" x14ac:dyDescent="0.3">
      <c r="A226" s="3">
        <v>225</v>
      </c>
      <c r="B226" s="4">
        <v>40553</v>
      </c>
      <c r="C226" s="3">
        <v>15</v>
      </c>
      <c r="D226" s="3" t="b">
        <v>0</v>
      </c>
      <c r="E226" s="3">
        <v>1</v>
      </c>
      <c r="F226" s="3">
        <v>2</v>
      </c>
      <c r="G226" s="3">
        <v>0.2</v>
      </c>
      <c r="H226" t="str">
        <f t="shared" si="29"/>
        <v>Mon</v>
      </c>
      <c r="I226">
        <f t="shared" si="24"/>
        <v>0.19700000000000001</v>
      </c>
      <c r="J226">
        <f t="shared" si="25"/>
        <v>0.4</v>
      </c>
      <c r="K226">
        <f t="shared" si="26"/>
        <v>0.22389999999999999</v>
      </c>
      <c r="L226">
        <f t="shared" si="27"/>
        <v>2</v>
      </c>
      <c r="M226">
        <f t="shared" si="28"/>
        <v>43</v>
      </c>
      <c r="N226" t="str">
        <f t="shared" si="30"/>
        <v>Day Shift</v>
      </c>
    </row>
    <row r="227" spans="1:14" x14ac:dyDescent="0.3">
      <c r="A227" s="3">
        <v>226</v>
      </c>
      <c r="B227" s="4">
        <v>40553</v>
      </c>
      <c r="C227" s="3">
        <v>16</v>
      </c>
      <c r="D227" s="3" t="b">
        <v>0</v>
      </c>
      <c r="E227" s="3">
        <v>1</v>
      </c>
      <c r="F227" s="3">
        <v>1</v>
      </c>
      <c r="G227" s="3">
        <v>0.2</v>
      </c>
      <c r="H227" t="str">
        <f t="shared" si="29"/>
        <v>Mon</v>
      </c>
      <c r="I227">
        <f t="shared" si="24"/>
        <v>0.21210000000000001</v>
      </c>
      <c r="J227">
        <f t="shared" si="25"/>
        <v>0.4</v>
      </c>
      <c r="K227">
        <f t="shared" si="26"/>
        <v>0.1343</v>
      </c>
      <c r="L227">
        <f t="shared" si="27"/>
        <v>4</v>
      </c>
      <c r="M227">
        <f t="shared" si="28"/>
        <v>70</v>
      </c>
      <c r="N227" t="str">
        <f t="shared" si="30"/>
        <v>Day Shift</v>
      </c>
    </row>
    <row r="228" spans="1:14" x14ac:dyDescent="0.3">
      <c r="A228" s="3">
        <v>227</v>
      </c>
      <c r="B228" s="4">
        <v>40553</v>
      </c>
      <c r="C228" s="3">
        <v>17</v>
      </c>
      <c r="D228" s="3" t="b">
        <v>0</v>
      </c>
      <c r="E228" s="3">
        <v>1</v>
      </c>
      <c r="F228" s="3">
        <v>1</v>
      </c>
      <c r="G228" s="3">
        <v>0.2</v>
      </c>
      <c r="H228" t="str">
        <f t="shared" si="29"/>
        <v>Mon</v>
      </c>
      <c r="I228">
        <f t="shared" si="24"/>
        <v>0.2273</v>
      </c>
      <c r="J228">
        <f t="shared" si="25"/>
        <v>0.4</v>
      </c>
      <c r="K228">
        <f t="shared" si="26"/>
        <v>0.1045</v>
      </c>
      <c r="L228">
        <f t="shared" si="27"/>
        <v>4</v>
      </c>
      <c r="M228">
        <f t="shared" si="28"/>
        <v>174</v>
      </c>
      <c r="N228" t="str">
        <f t="shared" si="30"/>
        <v>Day Shift</v>
      </c>
    </row>
    <row r="229" spans="1:14" x14ac:dyDescent="0.3">
      <c r="A229" s="3">
        <v>228</v>
      </c>
      <c r="B229" s="4">
        <v>40553</v>
      </c>
      <c r="C229" s="3">
        <v>18</v>
      </c>
      <c r="D229" s="3" t="b">
        <v>0</v>
      </c>
      <c r="E229" s="3">
        <v>1</v>
      </c>
      <c r="F229" s="3">
        <v>1</v>
      </c>
      <c r="G229" s="3">
        <v>0.2</v>
      </c>
      <c r="H229" t="str">
        <f t="shared" si="29"/>
        <v>Mon</v>
      </c>
      <c r="I229">
        <f t="shared" si="24"/>
        <v>0.19700000000000001</v>
      </c>
      <c r="J229">
        <f t="shared" si="25"/>
        <v>0.4</v>
      </c>
      <c r="K229">
        <f t="shared" si="26"/>
        <v>0.22389999999999999</v>
      </c>
      <c r="L229">
        <f t="shared" si="27"/>
        <v>1</v>
      </c>
      <c r="M229">
        <f t="shared" si="28"/>
        <v>154</v>
      </c>
      <c r="N229" t="str">
        <f t="shared" si="30"/>
        <v>Day Shift</v>
      </c>
    </row>
    <row r="230" spans="1:14" x14ac:dyDescent="0.3">
      <c r="A230" s="3">
        <v>229</v>
      </c>
      <c r="B230" s="4">
        <v>40553</v>
      </c>
      <c r="C230" s="3">
        <v>19</v>
      </c>
      <c r="D230" s="3" t="b">
        <v>0</v>
      </c>
      <c r="E230" s="3">
        <v>1</v>
      </c>
      <c r="F230" s="3">
        <v>1</v>
      </c>
      <c r="G230" s="3">
        <v>0.16</v>
      </c>
      <c r="H230" t="str">
        <f t="shared" si="29"/>
        <v>Mon</v>
      </c>
      <c r="I230">
        <f t="shared" si="24"/>
        <v>0.16669999999999999</v>
      </c>
      <c r="J230">
        <f t="shared" si="25"/>
        <v>0.47</v>
      </c>
      <c r="K230">
        <f t="shared" si="26"/>
        <v>0.16420000000000001</v>
      </c>
      <c r="L230">
        <f t="shared" si="27"/>
        <v>3</v>
      </c>
      <c r="M230">
        <f t="shared" si="28"/>
        <v>92</v>
      </c>
      <c r="N230" t="str">
        <f t="shared" si="30"/>
        <v>Night shift</v>
      </c>
    </row>
    <row r="231" spans="1:14" x14ac:dyDescent="0.3">
      <c r="A231" s="3">
        <v>230</v>
      </c>
      <c r="B231" s="4">
        <v>40553</v>
      </c>
      <c r="C231" s="3">
        <v>20</v>
      </c>
      <c r="D231" s="3" t="b">
        <v>0</v>
      </c>
      <c r="E231" s="3">
        <v>1</v>
      </c>
      <c r="F231" s="3">
        <v>1</v>
      </c>
      <c r="G231" s="3">
        <v>0.16</v>
      </c>
      <c r="H231" t="str">
        <f t="shared" si="29"/>
        <v>Mon</v>
      </c>
      <c r="I231">
        <f t="shared" si="24"/>
        <v>0.16669999999999999</v>
      </c>
      <c r="J231">
        <f t="shared" si="25"/>
        <v>0.5</v>
      </c>
      <c r="K231">
        <f t="shared" si="26"/>
        <v>0.16420000000000001</v>
      </c>
      <c r="L231">
        <f t="shared" si="27"/>
        <v>1</v>
      </c>
      <c r="M231">
        <f t="shared" si="28"/>
        <v>73</v>
      </c>
      <c r="N231" t="str">
        <f t="shared" si="30"/>
        <v>Night shift</v>
      </c>
    </row>
    <row r="232" spans="1:14" x14ac:dyDescent="0.3">
      <c r="A232" s="3">
        <v>231</v>
      </c>
      <c r="B232" s="4">
        <v>40553</v>
      </c>
      <c r="C232" s="3">
        <v>21</v>
      </c>
      <c r="D232" s="3" t="b">
        <v>0</v>
      </c>
      <c r="E232" s="3">
        <v>1</v>
      </c>
      <c r="F232" s="3">
        <v>1</v>
      </c>
      <c r="G232" s="3">
        <v>0.14000000000000001</v>
      </c>
      <c r="H232" t="str">
        <f t="shared" si="29"/>
        <v>Mon</v>
      </c>
      <c r="I232">
        <f t="shared" si="24"/>
        <v>0.13639999999999999</v>
      </c>
      <c r="J232">
        <f t="shared" si="25"/>
        <v>0.59</v>
      </c>
      <c r="K232">
        <f t="shared" si="26"/>
        <v>0.19400000000000001</v>
      </c>
      <c r="L232">
        <f t="shared" si="27"/>
        <v>1</v>
      </c>
      <c r="M232">
        <f t="shared" si="28"/>
        <v>37</v>
      </c>
      <c r="N232" t="str">
        <f t="shared" si="30"/>
        <v>Night shift</v>
      </c>
    </row>
    <row r="233" spans="1:14" x14ac:dyDescent="0.3">
      <c r="A233" s="3">
        <v>232</v>
      </c>
      <c r="B233" s="4">
        <v>40553</v>
      </c>
      <c r="C233" s="3">
        <v>22</v>
      </c>
      <c r="D233" s="3" t="b">
        <v>0</v>
      </c>
      <c r="E233" s="3">
        <v>1</v>
      </c>
      <c r="F233" s="3">
        <v>1</v>
      </c>
      <c r="G233" s="3">
        <v>0.14000000000000001</v>
      </c>
      <c r="H233" t="str">
        <f t="shared" si="29"/>
        <v>Mon</v>
      </c>
      <c r="I233">
        <f t="shared" si="24"/>
        <v>0.1515</v>
      </c>
      <c r="J233">
        <f t="shared" si="25"/>
        <v>0.59</v>
      </c>
      <c r="K233">
        <f t="shared" si="26"/>
        <v>0.16420000000000001</v>
      </c>
      <c r="L233">
        <f t="shared" si="27"/>
        <v>2</v>
      </c>
      <c r="M233">
        <f t="shared" si="28"/>
        <v>22</v>
      </c>
      <c r="N233" t="str">
        <f t="shared" si="30"/>
        <v>Night shift</v>
      </c>
    </row>
    <row r="234" spans="1:14" x14ac:dyDescent="0.3">
      <c r="A234" s="3">
        <v>233</v>
      </c>
      <c r="B234" s="4">
        <v>40553</v>
      </c>
      <c r="C234" s="3">
        <v>23</v>
      </c>
      <c r="D234" s="3" t="b">
        <v>0</v>
      </c>
      <c r="E234" s="3">
        <v>1</v>
      </c>
      <c r="F234" s="3">
        <v>1</v>
      </c>
      <c r="G234" s="3">
        <v>0.14000000000000001</v>
      </c>
      <c r="H234" t="str">
        <f t="shared" si="29"/>
        <v>Mon</v>
      </c>
      <c r="I234">
        <f t="shared" si="24"/>
        <v>0.1515</v>
      </c>
      <c r="J234">
        <f t="shared" si="25"/>
        <v>0.59</v>
      </c>
      <c r="K234">
        <f t="shared" si="26"/>
        <v>0.16420000000000001</v>
      </c>
      <c r="L234">
        <f t="shared" si="27"/>
        <v>0</v>
      </c>
      <c r="M234">
        <f t="shared" si="28"/>
        <v>18</v>
      </c>
      <c r="N234" t="str">
        <f t="shared" si="30"/>
        <v>Night shift</v>
      </c>
    </row>
    <row r="235" spans="1:14" x14ac:dyDescent="0.3">
      <c r="A235" s="3">
        <v>234</v>
      </c>
      <c r="B235" s="4">
        <v>40554</v>
      </c>
      <c r="C235" s="3">
        <v>0</v>
      </c>
      <c r="D235" s="3" t="b">
        <v>0</v>
      </c>
      <c r="E235" s="3">
        <v>2</v>
      </c>
      <c r="F235" s="3">
        <v>1</v>
      </c>
      <c r="G235" s="3">
        <v>0.14000000000000001</v>
      </c>
      <c r="H235" t="str">
        <f t="shared" si="29"/>
        <v>Tue</v>
      </c>
      <c r="I235">
        <f t="shared" si="24"/>
        <v>0.16669999999999999</v>
      </c>
      <c r="J235">
        <f t="shared" si="25"/>
        <v>0.59</v>
      </c>
      <c r="K235">
        <f t="shared" si="26"/>
        <v>0.1045</v>
      </c>
      <c r="L235">
        <f t="shared" si="27"/>
        <v>2</v>
      </c>
      <c r="M235">
        <f t="shared" si="28"/>
        <v>10</v>
      </c>
      <c r="N235" t="str">
        <f t="shared" si="30"/>
        <v>Night shift</v>
      </c>
    </row>
    <row r="236" spans="1:14" x14ac:dyDescent="0.3">
      <c r="A236" s="3">
        <v>235</v>
      </c>
      <c r="B236" s="4">
        <v>40554</v>
      </c>
      <c r="C236" s="3">
        <v>1</v>
      </c>
      <c r="D236" s="3" t="b">
        <v>0</v>
      </c>
      <c r="E236" s="3">
        <v>2</v>
      </c>
      <c r="F236" s="3">
        <v>1</v>
      </c>
      <c r="G236" s="3">
        <v>0.14000000000000001</v>
      </c>
      <c r="H236" t="str">
        <f t="shared" si="29"/>
        <v>Tue</v>
      </c>
      <c r="I236">
        <f t="shared" si="24"/>
        <v>0.1515</v>
      </c>
      <c r="J236">
        <f t="shared" si="25"/>
        <v>0.59</v>
      </c>
      <c r="K236">
        <f t="shared" si="26"/>
        <v>0.16420000000000001</v>
      </c>
      <c r="L236">
        <f t="shared" si="27"/>
        <v>0</v>
      </c>
      <c r="M236">
        <f t="shared" si="28"/>
        <v>3</v>
      </c>
      <c r="N236" t="str">
        <f t="shared" si="30"/>
        <v>Night shift</v>
      </c>
    </row>
    <row r="237" spans="1:14" x14ac:dyDescent="0.3">
      <c r="A237" s="3">
        <v>236</v>
      </c>
      <c r="B237" s="4">
        <v>40554</v>
      </c>
      <c r="C237" s="3">
        <v>2</v>
      </c>
      <c r="D237" s="3" t="b">
        <v>0</v>
      </c>
      <c r="E237" s="3">
        <v>2</v>
      </c>
      <c r="F237" s="3">
        <v>2</v>
      </c>
      <c r="G237" s="3">
        <v>0.16</v>
      </c>
      <c r="H237" t="str">
        <f t="shared" si="29"/>
        <v>Tue</v>
      </c>
      <c r="I237">
        <f t="shared" si="24"/>
        <v>0.1515</v>
      </c>
      <c r="J237">
        <f t="shared" si="25"/>
        <v>0.55000000000000004</v>
      </c>
      <c r="K237">
        <f t="shared" si="26"/>
        <v>0.19400000000000001</v>
      </c>
      <c r="L237">
        <f t="shared" si="27"/>
        <v>0</v>
      </c>
      <c r="M237">
        <f t="shared" si="28"/>
        <v>3</v>
      </c>
      <c r="N237" t="str">
        <f t="shared" si="30"/>
        <v>Night shift</v>
      </c>
    </row>
    <row r="238" spans="1:14" x14ac:dyDescent="0.3">
      <c r="A238" s="3">
        <v>237</v>
      </c>
      <c r="B238" s="4">
        <v>40554</v>
      </c>
      <c r="C238" s="3">
        <v>5</v>
      </c>
      <c r="D238" s="3" t="b">
        <v>0</v>
      </c>
      <c r="E238" s="3">
        <v>2</v>
      </c>
      <c r="F238" s="3">
        <v>2</v>
      </c>
      <c r="G238" s="3">
        <v>0.16</v>
      </c>
      <c r="H238" t="str">
        <f t="shared" si="29"/>
        <v>Tue</v>
      </c>
      <c r="I238">
        <f t="shared" si="24"/>
        <v>0.18179999999999999</v>
      </c>
      <c r="J238">
        <f t="shared" si="25"/>
        <v>0.55000000000000004</v>
      </c>
      <c r="K238">
        <f t="shared" si="26"/>
        <v>0.1343</v>
      </c>
      <c r="L238">
        <f t="shared" si="27"/>
        <v>0</v>
      </c>
      <c r="M238">
        <f t="shared" si="28"/>
        <v>6</v>
      </c>
      <c r="N238" t="str">
        <f t="shared" si="30"/>
        <v>Night shift</v>
      </c>
    </row>
    <row r="239" spans="1:14" x14ac:dyDescent="0.3">
      <c r="A239" s="3">
        <v>238</v>
      </c>
      <c r="B239" s="4">
        <v>40554</v>
      </c>
      <c r="C239" s="3">
        <v>6</v>
      </c>
      <c r="D239" s="3" t="b">
        <v>0</v>
      </c>
      <c r="E239" s="3">
        <v>2</v>
      </c>
      <c r="F239" s="3">
        <v>2</v>
      </c>
      <c r="G239" s="3">
        <v>0.16</v>
      </c>
      <c r="H239" t="str">
        <f t="shared" si="29"/>
        <v>Tue</v>
      </c>
      <c r="I239">
        <f t="shared" si="24"/>
        <v>0.18179999999999999</v>
      </c>
      <c r="J239">
        <f t="shared" si="25"/>
        <v>0.55000000000000004</v>
      </c>
      <c r="K239">
        <f t="shared" si="26"/>
        <v>0.1343</v>
      </c>
      <c r="L239">
        <f t="shared" si="27"/>
        <v>0</v>
      </c>
      <c r="M239">
        <f t="shared" si="28"/>
        <v>27</v>
      </c>
      <c r="N239" t="str">
        <f t="shared" si="30"/>
        <v>Day Shift</v>
      </c>
    </row>
    <row r="240" spans="1:14" x14ac:dyDescent="0.3">
      <c r="A240" s="3">
        <v>239</v>
      </c>
      <c r="B240" s="4">
        <v>40554</v>
      </c>
      <c r="C240" s="3">
        <v>7</v>
      </c>
      <c r="D240" s="3" t="b">
        <v>0</v>
      </c>
      <c r="E240" s="3">
        <v>2</v>
      </c>
      <c r="F240" s="3">
        <v>2</v>
      </c>
      <c r="G240" s="3">
        <v>0.16</v>
      </c>
      <c r="H240" t="str">
        <f t="shared" si="29"/>
        <v>Tue</v>
      </c>
      <c r="I240">
        <f t="shared" si="24"/>
        <v>0.2273</v>
      </c>
      <c r="J240">
        <f t="shared" si="25"/>
        <v>0.55000000000000004</v>
      </c>
      <c r="K240">
        <f t="shared" si="26"/>
        <v>0</v>
      </c>
      <c r="L240">
        <f t="shared" si="27"/>
        <v>2</v>
      </c>
      <c r="M240">
        <f t="shared" si="28"/>
        <v>97</v>
      </c>
      <c r="N240" t="str">
        <f t="shared" si="30"/>
        <v>Day Shift</v>
      </c>
    </row>
    <row r="241" spans="1:14" x14ac:dyDescent="0.3">
      <c r="A241" s="3">
        <v>240</v>
      </c>
      <c r="B241" s="4">
        <v>40554</v>
      </c>
      <c r="C241" s="3">
        <v>8</v>
      </c>
      <c r="D241" s="3" t="b">
        <v>0</v>
      </c>
      <c r="E241" s="3">
        <v>2</v>
      </c>
      <c r="F241" s="3">
        <v>2</v>
      </c>
      <c r="G241" s="3">
        <v>0.18</v>
      </c>
      <c r="H241" t="str">
        <f t="shared" si="29"/>
        <v>Tue</v>
      </c>
      <c r="I241">
        <f t="shared" si="24"/>
        <v>0.21210000000000001</v>
      </c>
      <c r="J241">
        <f t="shared" si="25"/>
        <v>0.51</v>
      </c>
      <c r="K241">
        <f t="shared" si="26"/>
        <v>8.9599999999999999E-2</v>
      </c>
      <c r="L241">
        <f t="shared" si="27"/>
        <v>3</v>
      </c>
      <c r="M241">
        <f t="shared" si="28"/>
        <v>214</v>
      </c>
      <c r="N241" t="str">
        <f t="shared" si="30"/>
        <v>Day Shift</v>
      </c>
    </row>
    <row r="242" spans="1:14" x14ac:dyDescent="0.3">
      <c r="A242" s="3">
        <v>241</v>
      </c>
      <c r="B242" s="4">
        <v>40554</v>
      </c>
      <c r="C242" s="3">
        <v>9</v>
      </c>
      <c r="D242" s="3" t="b">
        <v>0</v>
      </c>
      <c r="E242" s="3">
        <v>2</v>
      </c>
      <c r="F242" s="3">
        <v>2</v>
      </c>
      <c r="G242" s="3">
        <v>0.18</v>
      </c>
      <c r="H242" t="str">
        <f t="shared" si="29"/>
        <v>Tue</v>
      </c>
      <c r="I242">
        <f t="shared" si="24"/>
        <v>0.19700000000000001</v>
      </c>
      <c r="J242">
        <f t="shared" si="25"/>
        <v>0.51</v>
      </c>
      <c r="K242">
        <f t="shared" si="26"/>
        <v>0.16420000000000001</v>
      </c>
      <c r="L242">
        <f t="shared" si="27"/>
        <v>3</v>
      </c>
      <c r="M242">
        <f t="shared" si="28"/>
        <v>127</v>
      </c>
      <c r="N242" t="str">
        <f t="shared" si="30"/>
        <v>Day Shift</v>
      </c>
    </row>
    <row r="243" spans="1:14" x14ac:dyDescent="0.3">
      <c r="A243" s="3">
        <v>242</v>
      </c>
      <c r="B243" s="4">
        <v>40554</v>
      </c>
      <c r="C243" s="3">
        <v>10</v>
      </c>
      <c r="D243" s="3" t="b">
        <v>0</v>
      </c>
      <c r="E243" s="3">
        <v>2</v>
      </c>
      <c r="F243" s="3">
        <v>2</v>
      </c>
      <c r="G243" s="3">
        <v>0.2</v>
      </c>
      <c r="H243" t="str">
        <f t="shared" si="29"/>
        <v>Tue</v>
      </c>
      <c r="I243">
        <f t="shared" si="24"/>
        <v>0.21210000000000001</v>
      </c>
      <c r="J243">
        <f t="shared" si="25"/>
        <v>0.51</v>
      </c>
      <c r="K243">
        <f t="shared" si="26"/>
        <v>0.16420000000000001</v>
      </c>
      <c r="L243">
        <f t="shared" si="27"/>
        <v>3</v>
      </c>
      <c r="M243">
        <f t="shared" si="28"/>
        <v>51</v>
      </c>
      <c r="N243" t="str">
        <f t="shared" si="30"/>
        <v>Day Shift</v>
      </c>
    </row>
    <row r="244" spans="1:14" x14ac:dyDescent="0.3">
      <c r="A244" s="3">
        <v>243</v>
      </c>
      <c r="B244" s="4">
        <v>40554</v>
      </c>
      <c r="C244" s="3">
        <v>11</v>
      </c>
      <c r="D244" s="3" t="b">
        <v>0</v>
      </c>
      <c r="E244" s="3">
        <v>2</v>
      </c>
      <c r="F244" s="3">
        <v>2</v>
      </c>
      <c r="G244" s="3">
        <v>0.2</v>
      </c>
      <c r="H244" t="str">
        <f t="shared" si="29"/>
        <v>Tue</v>
      </c>
      <c r="I244">
        <f t="shared" si="24"/>
        <v>0.21210000000000001</v>
      </c>
      <c r="J244">
        <f t="shared" si="25"/>
        <v>0.47</v>
      </c>
      <c r="K244">
        <f t="shared" si="26"/>
        <v>0.1343</v>
      </c>
      <c r="L244">
        <f t="shared" si="27"/>
        <v>4</v>
      </c>
      <c r="M244">
        <f t="shared" si="28"/>
        <v>31</v>
      </c>
      <c r="N244" t="str">
        <f t="shared" si="30"/>
        <v>Day Shift</v>
      </c>
    </row>
    <row r="245" spans="1:14" x14ac:dyDescent="0.3">
      <c r="A245" s="3">
        <v>244</v>
      </c>
      <c r="B245" s="4">
        <v>40554</v>
      </c>
      <c r="C245" s="3">
        <v>12</v>
      </c>
      <c r="D245" s="3" t="b">
        <v>0</v>
      </c>
      <c r="E245" s="3">
        <v>2</v>
      </c>
      <c r="F245" s="3">
        <v>2</v>
      </c>
      <c r="G245" s="3">
        <v>0.2</v>
      </c>
      <c r="H245" t="str">
        <f t="shared" si="29"/>
        <v>Tue</v>
      </c>
      <c r="I245">
        <f t="shared" si="24"/>
        <v>0.2273</v>
      </c>
      <c r="J245">
        <f t="shared" si="25"/>
        <v>0.51</v>
      </c>
      <c r="K245">
        <f t="shared" si="26"/>
        <v>0.1045</v>
      </c>
      <c r="L245">
        <f t="shared" si="27"/>
        <v>2</v>
      </c>
      <c r="M245">
        <f t="shared" si="28"/>
        <v>55</v>
      </c>
      <c r="N245" t="str">
        <f t="shared" si="30"/>
        <v>Day Shift</v>
      </c>
    </row>
    <row r="246" spans="1:14" x14ac:dyDescent="0.3">
      <c r="A246" s="3">
        <v>245</v>
      </c>
      <c r="B246" s="4">
        <v>40554</v>
      </c>
      <c r="C246" s="3">
        <v>13</v>
      </c>
      <c r="D246" s="3" t="b">
        <v>0</v>
      </c>
      <c r="E246" s="3">
        <v>2</v>
      </c>
      <c r="F246" s="3">
        <v>2</v>
      </c>
      <c r="G246" s="3">
        <v>0.2</v>
      </c>
      <c r="H246" t="str">
        <f t="shared" si="29"/>
        <v>Tue</v>
      </c>
      <c r="I246">
        <f t="shared" si="24"/>
        <v>0.2273</v>
      </c>
      <c r="J246">
        <f t="shared" si="25"/>
        <v>0.59</v>
      </c>
      <c r="K246">
        <f t="shared" si="26"/>
        <v>8.9599999999999999E-2</v>
      </c>
      <c r="L246">
        <f t="shared" si="27"/>
        <v>6</v>
      </c>
      <c r="M246">
        <f t="shared" si="28"/>
        <v>46</v>
      </c>
      <c r="N246" t="str">
        <f t="shared" si="30"/>
        <v>Day Shift</v>
      </c>
    </row>
    <row r="247" spans="1:14" x14ac:dyDescent="0.3">
      <c r="A247" s="3">
        <v>246</v>
      </c>
      <c r="B247" s="4">
        <v>40554</v>
      </c>
      <c r="C247" s="3">
        <v>14</v>
      </c>
      <c r="D247" s="3" t="b">
        <v>0</v>
      </c>
      <c r="E247" s="3">
        <v>2</v>
      </c>
      <c r="F247" s="3">
        <v>2</v>
      </c>
      <c r="G247" s="3">
        <v>0.2</v>
      </c>
      <c r="H247" t="str">
        <f t="shared" si="29"/>
        <v>Tue</v>
      </c>
      <c r="I247">
        <f t="shared" si="24"/>
        <v>0.2273</v>
      </c>
      <c r="J247">
        <f t="shared" si="25"/>
        <v>0.59</v>
      </c>
      <c r="K247">
        <f t="shared" si="26"/>
        <v>8.9599999999999999E-2</v>
      </c>
      <c r="L247">
        <f t="shared" si="27"/>
        <v>3</v>
      </c>
      <c r="M247">
        <f t="shared" si="28"/>
        <v>60</v>
      </c>
      <c r="N247" t="str">
        <f t="shared" si="30"/>
        <v>Day Shift</v>
      </c>
    </row>
    <row r="248" spans="1:14" x14ac:dyDescent="0.3">
      <c r="A248" s="3">
        <v>247</v>
      </c>
      <c r="B248" s="4">
        <v>40554</v>
      </c>
      <c r="C248" s="3">
        <v>15</v>
      </c>
      <c r="D248" s="3" t="b">
        <v>0</v>
      </c>
      <c r="E248" s="3">
        <v>2</v>
      </c>
      <c r="F248" s="3">
        <v>2</v>
      </c>
      <c r="G248" s="3">
        <v>0.16</v>
      </c>
      <c r="H248" t="str">
        <f t="shared" si="29"/>
        <v>Tue</v>
      </c>
      <c r="I248">
        <f t="shared" si="24"/>
        <v>0.19700000000000001</v>
      </c>
      <c r="J248">
        <f t="shared" si="25"/>
        <v>0.8</v>
      </c>
      <c r="K248">
        <f t="shared" si="26"/>
        <v>8.9599999999999999E-2</v>
      </c>
      <c r="L248">
        <f t="shared" si="27"/>
        <v>2</v>
      </c>
      <c r="M248">
        <f t="shared" si="28"/>
        <v>45</v>
      </c>
      <c r="N248" t="str">
        <f t="shared" si="30"/>
        <v>Day Shift</v>
      </c>
    </row>
    <row r="249" spans="1:14" x14ac:dyDescent="0.3">
      <c r="A249" s="3">
        <v>248</v>
      </c>
      <c r="B249" s="4">
        <v>40554</v>
      </c>
      <c r="C249" s="3">
        <v>16</v>
      </c>
      <c r="D249" s="3" t="b">
        <v>0</v>
      </c>
      <c r="E249" s="3">
        <v>2</v>
      </c>
      <c r="F249" s="3">
        <v>2</v>
      </c>
      <c r="G249" s="3">
        <v>0.16</v>
      </c>
      <c r="H249" t="str">
        <f t="shared" si="29"/>
        <v>Tue</v>
      </c>
      <c r="I249">
        <f t="shared" si="24"/>
        <v>0.1515</v>
      </c>
      <c r="J249">
        <f t="shared" si="25"/>
        <v>0.86</v>
      </c>
      <c r="K249">
        <f t="shared" si="26"/>
        <v>0.22389999999999999</v>
      </c>
      <c r="L249">
        <f t="shared" si="27"/>
        <v>4</v>
      </c>
      <c r="M249">
        <f t="shared" si="28"/>
        <v>72</v>
      </c>
      <c r="N249" t="str">
        <f t="shared" si="30"/>
        <v>Day Shift</v>
      </c>
    </row>
    <row r="250" spans="1:14" x14ac:dyDescent="0.3">
      <c r="A250" s="3">
        <v>249</v>
      </c>
      <c r="B250" s="4">
        <v>40554</v>
      </c>
      <c r="C250" s="3">
        <v>17</v>
      </c>
      <c r="D250" s="3" t="b">
        <v>0</v>
      </c>
      <c r="E250" s="3">
        <v>2</v>
      </c>
      <c r="F250" s="3">
        <v>2</v>
      </c>
      <c r="G250" s="3">
        <v>0.16</v>
      </c>
      <c r="H250" t="str">
        <f t="shared" si="29"/>
        <v>Tue</v>
      </c>
      <c r="I250">
        <f t="shared" si="24"/>
        <v>0.1515</v>
      </c>
      <c r="J250">
        <f t="shared" si="25"/>
        <v>0.86</v>
      </c>
      <c r="K250">
        <f t="shared" si="26"/>
        <v>0.22389999999999999</v>
      </c>
      <c r="L250">
        <f t="shared" si="27"/>
        <v>6</v>
      </c>
      <c r="M250">
        <f t="shared" si="28"/>
        <v>130</v>
      </c>
      <c r="N250" t="str">
        <f t="shared" si="30"/>
        <v>Day Shift</v>
      </c>
    </row>
    <row r="251" spans="1:14" x14ac:dyDescent="0.3">
      <c r="A251" s="3">
        <v>250</v>
      </c>
      <c r="B251" s="4">
        <v>40554</v>
      </c>
      <c r="C251" s="3">
        <v>18</v>
      </c>
      <c r="D251" s="3" t="b">
        <v>0</v>
      </c>
      <c r="E251" s="3">
        <v>2</v>
      </c>
      <c r="F251" s="3">
        <v>3</v>
      </c>
      <c r="G251" s="3">
        <v>0.16</v>
      </c>
      <c r="H251" t="str">
        <f t="shared" si="29"/>
        <v>Tue</v>
      </c>
      <c r="I251">
        <f t="shared" si="24"/>
        <v>0.18179999999999999</v>
      </c>
      <c r="J251">
        <f t="shared" si="25"/>
        <v>0.93</v>
      </c>
      <c r="K251">
        <f t="shared" si="26"/>
        <v>0.1045</v>
      </c>
      <c r="L251">
        <f t="shared" si="27"/>
        <v>1</v>
      </c>
      <c r="M251">
        <f t="shared" si="28"/>
        <v>94</v>
      </c>
      <c r="N251" t="str">
        <f t="shared" si="30"/>
        <v>Day Shift</v>
      </c>
    </row>
    <row r="252" spans="1:14" x14ac:dyDescent="0.3">
      <c r="A252" s="3">
        <v>251</v>
      </c>
      <c r="B252" s="4">
        <v>40554</v>
      </c>
      <c r="C252" s="3">
        <v>19</v>
      </c>
      <c r="D252" s="3" t="b">
        <v>0</v>
      </c>
      <c r="E252" s="3">
        <v>2</v>
      </c>
      <c r="F252" s="3">
        <v>3</v>
      </c>
      <c r="G252" s="3">
        <v>0.16</v>
      </c>
      <c r="H252" t="str">
        <f t="shared" si="29"/>
        <v>Tue</v>
      </c>
      <c r="I252">
        <f t="shared" si="24"/>
        <v>0.2273</v>
      </c>
      <c r="J252">
        <f t="shared" si="25"/>
        <v>0.93</v>
      </c>
      <c r="K252">
        <f t="shared" si="26"/>
        <v>0</v>
      </c>
      <c r="L252">
        <f t="shared" si="27"/>
        <v>0</v>
      </c>
      <c r="M252">
        <f t="shared" si="28"/>
        <v>51</v>
      </c>
      <c r="N252" t="str">
        <f t="shared" si="30"/>
        <v>Night shift</v>
      </c>
    </row>
    <row r="253" spans="1:14" x14ac:dyDescent="0.3">
      <c r="A253" s="3">
        <v>252</v>
      </c>
      <c r="B253" s="4">
        <v>40554</v>
      </c>
      <c r="C253" s="3">
        <v>20</v>
      </c>
      <c r="D253" s="3" t="b">
        <v>0</v>
      </c>
      <c r="E253" s="3">
        <v>2</v>
      </c>
      <c r="F253" s="3">
        <v>3</v>
      </c>
      <c r="G253" s="3">
        <v>0.16</v>
      </c>
      <c r="H253" t="str">
        <f t="shared" si="29"/>
        <v>Tue</v>
      </c>
      <c r="I253">
        <f t="shared" si="24"/>
        <v>0.1515</v>
      </c>
      <c r="J253">
        <f t="shared" si="25"/>
        <v>0.93</v>
      </c>
      <c r="K253">
        <f t="shared" si="26"/>
        <v>0.19400000000000001</v>
      </c>
      <c r="L253">
        <f t="shared" si="27"/>
        <v>0</v>
      </c>
      <c r="M253">
        <f t="shared" si="28"/>
        <v>32</v>
      </c>
      <c r="N253" t="str">
        <f t="shared" si="30"/>
        <v>Night shift</v>
      </c>
    </row>
    <row r="254" spans="1:14" x14ac:dyDescent="0.3">
      <c r="A254" s="3">
        <v>253</v>
      </c>
      <c r="B254" s="4">
        <v>40554</v>
      </c>
      <c r="C254" s="3">
        <v>21</v>
      </c>
      <c r="D254" s="3" t="b">
        <v>0</v>
      </c>
      <c r="E254" s="3">
        <v>2</v>
      </c>
      <c r="F254" s="3">
        <v>3</v>
      </c>
      <c r="G254" s="3">
        <v>0.16</v>
      </c>
      <c r="H254" t="str">
        <f t="shared" si="29"/>
        <v>Tue</v>
      </c>
      <c r="I254">
        <f t="shared" si="24"/>
        <v>0.19700000000000001</v>
      </c>
      <c r="J254">
        <f t="shared" si="25"/>
        <v>0.86</v>
      </c>
      <c r="K254">
        <f t="shared" si="26"/>
        <v>8.9599999999999999E-2</v>
      </c>
      <c r="L254">
        <f t="shared" si="27"/>
        <v>0</v>
      </c>
      <c r="M254">
        <f t="shared" si="28"/>
        <v>20</v>
      </c>
      <c r="N254" t="str">
        <f t="shared" si="30"/>
        <v>Night shift</v>
      </c>
    </row>
    <row r="255" spans="1:14" x14ac:dyDescent="0.3">
      <c r="A255" s="3">
        <v>254</v>
      </c>
      <c r="B255" s="4">
        <v>40554</v>
      </c>
      <c r="C255" s="3">
        <v>22</v>
      </c>
      <c r="D255" s="3" t="b">
        <v>0</v>
      </c>
      <c r="E255" s="3">
        <v>2</v>
      </c>
      <c r="F255" s="3">
        <v>3</v>
      </c>
      <c r="G255" s="3">
        <v>0.16</v>
      </c>
      <c r="H255" t="str">
        <f t="shared" si="29"/>
        <v>Tue</v>
      </c>
      <c r="I255">
        <f t="shared" si="24"/>
        <v>0.18179999999999999</v>
      </c>
      <c r="J255">
        <f t="shared" si="25"/>
        <v>0.93</v>
      </c>
      <c r="K255">
        <f t="shared" si="26"/>
        <v>0.1045</v>
      </c>
      <c r="L255">
        <f t="shared" si="27"/>
        <v>1</v>
      </c>
      <c r="M255">
        <f t="shared" si="28"/>
        <v>28</v>
      </c>
      <c r="N255" t="str">
        <f t="shared" si="30"/>
        <v>Night shift</v>
      </c>
    </row>
    <row r="256" spans="1:14" x14ac:dyDescent="0.3">
      <c r="A256" s="3">
        <v>255</v>
      </c>
      <c r="B256" s="4">
        <v>40554</v>
      </c>
      <c r="C256" s="3">
        <v>23</v>
      </c>
      <c r="D256" s="3" t="b">
        <v>0</v>
      </c>
      <c r="E256" s="3">
        <v>2</v>
      </c>
      <c r="F256" s="3">
        <v>3</v>
      </c>
      <c r="G256" s="3">
        <v>0.16</v>
      </c>
      <c r="H256" t="str">
        <f t="shared" si="29"/>
        <v>Tue</v>
      </c>
      <c r="I256">
        <f t="shared" si="24"/>
        <v>0.19700000000000001</v>
      </c>
      <c r="J256">
        <f t="shared" si="25"/>
        <v>0.93</v>
      </c>
      <c r="K256">
        <f t="shared" si="26"/>
        <v>8.9599999999999999E-2</v>
      </c>
      <c r="L256">
        <f t="shared" si="27"/>
        <v>1</v>
      </c>
      <c r="M256">
        <f t="shared" si="28"/>
        <v>18</v>
      </c>
      <c r="N256" t="str">
        <f t="shared" si="30"/>
        <v>Night shift</v>
      </c>
    </row>
    <row r="257" spans="1:14" x14ac:dyDescent="0.3">
      <c r="A257" s="3">
        <v>256</v>
      </c>
      <c r="B257" s="4">
        <v>40555</v>
      </c>
      <c r="C257" s="3">
        <v>0</v>
      </c>
      <c r="D257" s="3" t="b">
        <v>0</v>
      </c>
      <c r="E257" s="3">
        <v>3</v>
      </c>
      <c r="F257" s="3">
        <v>2</v>
      </c>
      <c r="G257" s="3">
        <v>0.16</v>
      </c>
      <c r="H257" t="str">
        <f t="shared" si="29"/>
        <v>Wed</v>
      </c>
      <c r="I257">
        <f t="shared" si="24"/>
        <v>0.19700000000000001</v>
      </c>
      <c r="J257">
        <f t="shared" si="25"/>
        <v>0.86</v>
      </c>
      <c r="K257">
        <f t="shared" si="26"/>
        <v>8.9599999999999999E-2</v>
      </c>
      <c r="L257">
        <f t="shared" si="27"/>
        <v>0</v>
      </c>
      <c r="M257">
        <f t="shared" si="28"/>
        <v>7</v>
      </c>
      <c r="N257" t="str">
        <f t="shared" si="30"/>
        <v>Night shift</v>
      </c>
    </row>
    <row r="258" spans="1:14" x14ac:dyDescent="0.3">
      <c r="A258" s="3">
        <v>257</v>
      </c>
      <c r="B258" s="4">
        <v>40555</v>
      </c>
      <c r="C258" s="3">
        <v>1</v>
      </c>
      <c r="D258" s="3" t="b">
        <v>0</v>
      </c>
      <c r="E258" s="3">
        <v>3</v>
      </c>
      <c r="F258" s="3">
        <v>2</v>
      </c>
      <c r="G258" s="3">
        <v>0.16</v>
      </c>
      <c r="H258" t="str">
        <f t="shared" si="29"/>
        <v>Wed</v>
      </c>
      <c r="I258">
        <f t="shared" ref="I258:I321" si="31">VLOOKUP($A258,instantc,3,FALSE)</f>
        <v>0.18179999999999999</v>
      </c>
      <c r="J258">
        <f t="shared" ref="J258:J321" si="32">VLOOKUP($A258,instantc,4,FALSE)</f>
        <v>0.86</v>
      </c>
      <c r="K258">
        <f t="shared" ref="K258:K321" si="33">VLOOKUP($A258,instantc,5,FALSE)</f>
        <v>0.1045</v>
      </c>
      <c r="L258">
        <f t="shared" ref="L258:L321" si="34">VLOOKUP($A258,instantc,6,FALSE)</f>
        <v>0</v>
      </c>
      <c r="M258">
        <f t="shared" ref="M258:M321" si="35">VLOOKUP($A258,instantc,7,FALSE)</f>
        <v>6</v>
      </c>
      <c r="N258" t="str">
        <f t="shared" si="30"/>
        <v>Night shift</v>
      </c>
    </row>
    <row r="259" spans="1:14" x14ac:dyDescent="0.3">
      <c r="A259" s="3">
        <v>258</v>
      </c>
      <c r="B259" s="4">
        <v>40555</v>
      </c>
      <c r="C259" s="3">
        <v>2</v>
      </c>
      <c r="D259" s="3" t="b">
        <v>0</v>
      </c>
      <c r="E259" s="3">
        <v>3</v>
      </c>
      <c r="F259" s="3">
        <v>1</v>
      </c>
      <c r="G259" s="3">
        <v>0.14000000000000001</v>
      </c>
      <c r="H259" t="str">
        <f t="shared" ref="H259:H322" si="36">TEXT(B259,"ddd")</f>
        <v>Wed</v>
      </c>
      <c r="I259">
        <f t="shared" si="31"/>
        <v>0.1515</v>
      </c>
      <c r="J259">
        <f t="shared" si="32"/>
        <v>0.86</v>
      </c>
      <c r="K259">
        <f t="shared" si="33"/>
        <v>0.1343</v>
      </c>
      <c r="L259">
        <f t="shared" si="34"/>
        <v>0</v>
      </c>
      <c r="M259">
        <f t="shared" si="35"/>
        <v>1</v>
      </c>
      <c r="N259" t="str">
        <f t="shared" ref="N259:N322" si="37">IF(AND(C259&gt;=6,C259&lt;=18),"Day Shift","Night shift")</f>
        <v>Night shift</v>
      </c>
    </row>
    <row r="260" spans="1:14" x14ac:dyDescent="0.3">
      <c r="A260" s="3">
        <v>259</v>
      </c>
      <c r="B260" s="4">
        <v>40555</v>
      </c>
      <c r="C260" s="3">
        <v>5</v>
      </c>
      <c r="D260" s="3" t="b">
        <v>0</v>
      </c>
      <c r="E260" s="3">
        <v>3</v>
      </c>
      <c r="F260" s="3">
        <v>1</v>
      </c>
      <c r="G260" s="3">
        <v>0.14000000000000001</v>
      </c>
      <c r="H260" t="str">
        <f t="shared" si="36"/>
        <v>Wed</v>
      </c>
      <c r="I260">
        <f t="shared" si="31"/>
        <v>0.1515</v>
      </c>
      <c r="J260">
        <f t="shared" si="32"/>
        <v>0.86</v>
      </c>
      <c r="K260">
        <f t="shared" si="33"/>
        <v>0.16420000000000001</v>
      </c>
      <c r="L260">
        <f t="shared" si="34"/>
        <v>0</v>
      </c>
      <c r="M260">
        <f t="shared" si="35"/>
        <v>5</v>
      </c>
      <c r="N260" t="str">
        <f t="shared" si="37"/>
        <v>Night shift</v>
      </c>
    </row>
    <row r="261" spans="1:14" x14ac:dyDescent="0.3">
      <c r="A261" s="3">
        <v>260</v>
      </c>
      <c r="B261" s="4">
        <v>40555</v>
      </c>
      <c r="C261" s="3">
        <v>6</v>
      </c>
      <c r="D261" s="3" t="b">
        <v>0</v>
      </c>
      <c r="E261" s="3">
        <v>3</v>
      </c>
      <c r="F261" s="3">
        <v>1</v>
      </c>
      <c r="G261" s="3">
        <v>0.12</v>
      </c>
      <c r="H261" t="str">
        <f t="shared" si="36"/>
        <v>Wed</v>
      </c>
      <c r="I261">
        <f t="shared" si="31"/>
        <v>0.1515</v>
      </c>
      <c r="J261">
        <f t="shared" si="32"/>
        <v>0.93</v>
      </c>
      <c r="K261">
        <f t="shared" si="33"/>
        <v>0.1343</v>
      </c>
      <c r="L261">
        <f t="shared" si="34"/>
        <v>0</v>
      </c>
      <c r="M261">
        <f t="shared" si="35"/>
        <v>16</v>
      </c>
      <c r="N261" t="str">
        <f t="shared" si="37"/>
        <v>Day Shift</v>
      </c>
    </row>
    <row r="262" spans="1:14" x14ac:dyDescent="0.3">
      <c r="A262" s="3">
        <v>261</v>
      </c>
      <c r="B262" s="4">
        <v>40555</v>
      </c>
      <c r="C262" s="3">
        <v>7</v>
      </c>
      <c r="D262" s="3" t="b">
        <v>0</v>
      </c>
      <c r="E262" s="3">
        <v>3</v>
      </c>
      <c r="F262" s="3">
        <v>1</v>
      </c>
      <c r="G262" s="3">
        <v>0.14000000000000001</v>
      </c>
      <c r="H262" t="str">
        <f t="shared" si="36"/>
        <v>Wed</v>
      </c>
      <c r="I262">
        <f t="shared" si="31"/>
        <v>0.1515</v>
      </c>
      <c r="J262">
        <f t="shared" si="32"/>
        <v>0.69</v>
      </c>
      <c r="K262">
        <f t="shared" si="33"/>
        <v>0.1343</v>
      </c>
      <c r="L262">
        <f t="shared" si="34"/>
        <v>0</v>
      </c>
      <c r="M262">
        <f t="shared" si="35"/>
        <v>54</v>
      </c>
      <c r="N262" t="str">
        <f t="shared" si="37"/>
        <v>Day Shift</v>
      </c>
    </row>
    <row r="263" spans="1:14" x14ac:dyDescent="0.3">
      <c r="A263" s="3">
        <v>262</v>
      </c>
      <c r="B263" s="4">
        <v>40555</v>
      </c>
      <c r="C263" s="3">
        <v>8</v>
      </c>
      <c r="D263" s="3" t="b">
        <v>0</v>
      </c>
      <c r="E263" s="3">
        <v>3</v>
      </c>
      <c r="F263" s="3">
        <v>1</v>
      </c>
      <c r="G263" s="3">
        <v>0.16</v>
      </c>
      <c r="H263" t="str">
        <f t="shared" si="36"/>
        <v>Wed</v>
      </c>
      <c r="I263">
        <f t="shared" si="31"/>
        <v>0.16669999999999999</v>
      </c>
      <c r="J263">
        <f t="shared" si="32"/>
        <v>0.59</v>
      </c>
      <c r="K263">
        <f t="shared" si="33"/>
        <v>0.16420000000000001</v>
      </c>
      <c r="L263">
        <f t="shared" si="34"/>
        <v>3</v>
      </c>
      <c r="M263">
        <f t="shared" si="35"/>
        <v>125</v>
      </c>
      <c r="N263" t="str">
        <f t="shared" si="37"/>
        <v>Day Shift</v>
      </c>
    </row>
    <row r="264" spans="1:14" x14ac:dyDescent="0.3">
      <c r="A264" s="3">
        <v>263</v>
      </c>
      <c r="B264" s="4">
        <v>40555</v>
      </c>
      <c r="C264" s="3">
        <v>9</v>
      </c>
      <c r="D264" s="3" t="b">
        <v>0</v>
      </c>
      <c r="E264" s="3">
        <v>3</v>
      </c>
      <c r="F264" s="3">
        <v>1</v>
      </c>
      <c r="G264" s="3">
        <v>0.16</v>
      </c>
      <c r="H264" t="str">
        <f t="shared" si="36"/>
        <v>Wed</v>
      </c>
      <c r="I264">
        <f t="shared" si="31"/>
        <v>0.13639999999999999</v>
      </c>
      <c r="J264">
        <f t="shared" si="32"/>
        <v>0.59</v>
      </c>
      <c r="K264">
        <f t="shared" si="33"/>
        <v>0.32840000000000003</v>
      </c>
      <c r="L264">
        <f t="shared" si="34"/>
        <v>3</v>
      </c>
      <c r="M264">
        <f t="shared" si="35"/>
        <v>78</v>
      </c>
      <c r="N264" t="str">
        <f t="shared" si="37"/>
        <v>Day Shift</v>
      </c>
    </row>
    <row r="265" spans="1:14" x14ac:dyDescent="0.3">
      <c r="A265" s="3">
        <v>264</v>
      </c>
      <c r="B265" s="4">
        <v>40555</v>
      </c>
      <c r="C265" s="3">
        <v>10</v>
      </c>
      <c r="D265" s="3" t="b">
        <v>0</v>
      </c>
      <c r="E265" s="3">
        <v>3</v>
      </c>
      <c r="F265" s="3">
        <v>1</v>
      </c>
      <c r="G265" s="3">
        <v>0.18</v>
      </c>
      <c r="H265" t="str">
        <f t="shared" si="36"/>
        <v>Wed</v>
      </c>
      <c r="I265">
        <f t="shared" si="31"/>
        <v>0.18179999999999999</v>
      </c>
      <c r="J265">
        <f t="shared" si="32"/>
        <v>0.55000000000000004</v>
      </c>
      <c r="K265">
        <f t="shared" si="33"/>
        <v>0.22389999999999999</v>
      </c>
      <c r="L265">
        <f t="shared" si="34"/>
        <v>0</v>
      </c>
      <c r="M265">
        <f t="shared" si="35"/>
        <v>39</v>
      </c>
      <c r="N265" t="str">
        <f t="shared" si="37"/>
        <v>Day Shift</v>
      </c>
    </row>
    <row r="266" spans="1:14" x14ac:dyDescent="0.3">
      <c r="A266" s="3">
        <v>265</v>
      </c>
      <c r="B266" s="4">
        <v>40555</v>
      </c>
      <c r="C266" s="3">
        <v>11</v>
      </c>
      <c r="D266" s="3" t="b">
        <v>0</v>
      </c>
      <c r="E266" s="3">
        <v>3</v>
      </c>
      <c r="F266" s="3">
        <v>1</v>
      </c>
      <c r="G266" s="3">
        <v>0.2</v>
      </c>
      <c r="H266" t="str">
        <f t="shared" si="36"/>
        <v>Wed</v>
      </c>
      <c r="I266">
        <f t="shared" si="31"/>
        <v>0.18179999999999999</v>
      </c>
      <c r="J266">
        <f t="shared" si="32"/>
        <v>0.51</v>
      </c>
      <c r="K266">
        <f t="shared" si="33"/>
        <v>0.3881</v>
      </c>
      <c r="L266">
        <f t="shared" si="34"/>
        <v>3</v>
      </c>
      <c r="M266">
        <f t="shared" si="35"/>
        <v>32</v>
      </c>
      <c r="N266" t="str">
        <f t="shared" si="37"/>
        <v>Day Shift</v>
      </c>
    </row>
    <row r="267" spans="1:14" x14ac:dyDescent="0.3">
      <c r="A267" s="3">
        <v>266</v>
      </c>
      <c r="B267" s="4">
        <v>40555</v>
      </c>
      <c r="C267" s="3">
        <v>12</v>
      </c>
      <c r="D267" s="3" t="b">
        <v>0</v>
      </c>
      <c r="E267" s="3">
        <v>3</v>
      </c>
      <c r="F267" s="3">
        <v>1</v>
      </c>
      <c r="G267" s="3">
        <v>0.2</v>
      </c>
      <c r="H267" t="str">
        <f t="shared" si="36"/>
        <v>Wed</v>
      </c>
      <c r="I267">
        <f t="shared" si="31"/>
        <v>0.1515</v>
      </c>
      <c r="J267">
        <f t="shared" si="32"/>
        <v>0.47</v>
      </c>
      <c r="K267">
        <f t="shared" si="33"/>
        <v>0.58209999999999995</v>
      </c>
      <c r="L267">
        <f t="shared" si="34"/>
        <v>3</v>
      </c>
      <c r="M267">
        <f t="shared" si="35"/>
        <v>52</v>
      </c>
      <c r="N267" t="str">
        <f t="shared" si="37"/>
        <v>Day Shift</v>
      </c>
    </row>
    <row r="268" spans="1:14" x14ac:dyDescent="0.3">
      <c r="A268" s="3">
        <v>267</v>
      </c>
      <c r="B268" s="4">
        <v>40555</v>
      </c>
      <c r="C268" s="3">
        <v>13</v>
      </c>
      <c r="D268" s="3" t="b">
        <v>0</v>
      </c>
      <c r="E268" s="3">
        <v>3</v>
      </c>
      <c r="F268" s="3">
        <v>1</v>
      </c>
      <c r="G268" s="3">
        <v>0.22</v>
      </c>
      <c r="H268" t="str">
        <f t="shared" si="36"/>
        <v>Wed</v>
      </c>
      <c r="I268">
        <f t="shared" si="31"/>
        <v>0.19700000000000001</v>
      </c>
      <c r="J268">
        <f t="shared" si="32"/>
        <v>0.44</v>
      </c>
      <c r="K268">
        <f t="shared" si="33"/>
        <v>0.35820000000000002</v>
      </c>
      <c r="L268">
        <f t="shared" si="34"/>
        <v>0</v>
      </c>
      <c r="M268">
        <f t="shared" si="35"/>
        <v>49</v>
      </c>
      <c r="N268" t="str">
        <f t="shared" si="37"/>
        <v>Day Shift</v>
      </c>
    </row>
    <row r="269" spans="1:14" x14ac:dyDescent="0.3">
      <c r="A269" s="3">
        <v>268</v>
      </c>
      <c r="B269" s="4">
        <v>40555</v>
      </c>
      <c r="C269" s="3">
        <v>14</v>
      </c>
      <c r="D269" s="3" t="b">
        <v>0</v>
      </c>
      <c r="E269" s="3">
        <v>3</v>
      </c>
      <c r="F269" s="3">
        <v>1</v>
      </c>
      <c r="G269" s="3">
        <v>0.2</v>
      </c>
      <c r="H269" t="str">
        <f t="shared" si="36"/>
        <v>Wed</v>
      </c>
      <c r="I269">
        <f t="shared" si="31"/>
        <v>0.18179999999999999</v>
      </c>
      <c r="J269">
        <f t="shared" si="32"/>
        <v>0.47</v>
      </c>
      <c r="K269">
        <f t="shared" si="33"/>
        <v>0.32840000000000003</v>
      </c>
      <c r="L269">
        <f t="shared" si="34"/>
        <v>0</v>
      </c>
      <c r="M269">
        <f t="shared" si="35"/>
        <v>44</v>
      </c>
      <c r="N269" t="str">
        <f t="shared" si="37"/>
        <v>Day Shift</v>
      </c>
    </row>
    <row r="270" spans="1:14" x14ac:dyDescent="0.3">
      <c r="A270" s="3">
        <v>269</v>
      </c>
      <c r="B270" s="4">
        <v>40555</v>
      </c>
      <c r="C270" s="3">
        <v>15</v>
      </c>
      <c r="D270" s="3" t="b">
        <v>0</v>
      </c>
      <c r="E270" s="3">
        <v>3</v>
      </c>
      <c r="F270" s="3">
        <v>1</v>
      </c>
      <c r="G270" s="3">
        <v>0.2</v>
      </c>
      <c r="H270" t="str">
        <f t="shared" si="36"/>
        <v>Wed</v>
      </c>
      <c r="I270">
        <f t="shared" si="31"/>
        <v>0.16669999999999999</v>
      </c>
      <c r="J270">
        <f t="shared" si="32"/>
        <v>0.47</v>
      </c>
      <c r="K270">
        <f t="shared" si="33"/>
        <v>0.41789999999999999</v>
      </c>
      <c r="L270">
        <f t="shared" si="34"/>
        <v>1</v>
      </c>
      <c r="M270">
        <f t="shared" si="35"/>
        <v>48</v>
      </c>
      <c r="N270" t="str">
        <f t="shared" si="37"/>
        <v>Day Shift</v>
      </c>
    </row>
    <row r="271" spans="1:14" x14ac:dyDescent="0.3">
      <c r="A271" s="3">
        <v>270</v>
      </c>
      <c r="B271" s="4">
        <v>40555</v>
      </c>
      <c r="C271" s="3">
        <v>16</v>
      </c>
      <c r="D271" s="3" t="b">
        <v>0</v>
      </c>
      <c r="E271" s="3">
        <v>3</v>
      </c>
      <c r="F271" s="3">
        <v>1</v>
      </c>
      <c r="G271" s="3">
        <v>0.22</v>
      </c>
      <c r="H271" t="str">
        <f t="shared" si="36"/>
        <v>Wed</v>
      </c>
      <c r="I271">
        <f t="shared" si="31"/>
        <v>0.19700000000000001</v>
      </c>
      <c r="J271">
        <f t="shared" si="32"/>
        <v>0.44</v>
      </c>
      <c r="K271">
        <f t="shared" si="33"/>
        <v>0.32840000000000003</v>
      </c>
      <c r="L271">
        <f t="shared" si="34"/>
        <v>5</v>
      </c>
      <c r="M271">
        <f t="shared" si="35"/>
        <v>63</v>
      </c>
      <c r="N271" t="str">
        <f t="shared" si="37"/>
        <v>Day Shift</v>
      </c>
    </row>
    <row r="272" spans="1:14" x14ac:dyDescent="0.3">
      <c r="A272" s="3">
        <v>271</v>
      </c>
      <c r="B272" s="4">
        <v>40555</v>
      </c>
      <c r="C272" s="3">
        <v>17</v>
      </c>
      <c r="D272" s="3" t="b">
        <v>0</v>
      </c>
      <c r="E272" s="3">
        <v>3</v>
      </c>
      <c r="F272" s="3">
        <v>1</v>
      </c>
      <c r="G272" s="3">
        <v>0.2</v>
      </c>
      <c r="H272" t="str">
        <f t="shared" si="36"/>
        <v>Wed</v>
      </c>
      <c r="I272">
        <f t="shared" si="31"/>
        <v>0.18179999999999999</v>
      </c>
      <c r="J272">
        <f t="shared" si="32"/>
        <v>0.47</v>
      </c>
      <c r="K272">
        <f t="shared" si="33"/>
        <v>0.35820000000000002</v>
      </c>
      <c r="L272">
        <f t="shared" si="34"/>
        <v>0</v>
      </c>
      <c r="M272">
        <f t="shared" si="35"/>
        <v>139</v>
      </c>
      <c r="N272" t="str">
        <f t="shared" si="37"/>
        <v>Day Shift</v>
      </c>
    </row>
    <row r="273" spans="1:14" x14ac:dyDescent="0.3">
      <c r="A273" s="3">
        <v>272</v>
      </c>
      <c r="B273" s="4">
        <v>40555</v>
      </c>
      <c r="C273" s="3">
        <v>18</v>
      </c>
      <c r="D273" s="3" t="b">
        <v>0</v>
      </c>
      <c r="E273" s="3">
        <v>3</v>
      </c>
      <c r="F273" s="3">
        <v>1</v>
      </c>
      <c r="G273" s="3">
        <v>0.2</v>
      </c>
      <c r="H273" t="str">
        <f t="shared" si="36"/>
        <v>Wed</v>
      </c>
      <c r="I273">
        <f t="shared" si="31"/>
        <v>0.1515</v>
      </c>
      <c r="J273">
        <f t="shared" si="32"/>
        <v>0.47</v>
      </c>
      <c r="K273">
        <f t="shared" si="33"/>
        <v>0.52239999999999998</v>
      </c>
      <c r="L273">
        <f t="shared" si="34"/>
        <v>2</v>
      </c>
      <c r="M273">
        <f t="shared" si="35"/>
        <v>135</v>
      </c>
      <c r="N273" t="str">
        <f t="shared" si="37"/>
        <v>Day Shift</v>
      </c>
    </row>
    <row r="274" spans="1:14" x14ac:dyDescent="0.3">
      <c r="A274" s="3">
        <v>273</v>
      </c>
      <c r="B274" s="4">
        <v>40555</v>
      </c>
      <c r="C274" s="3">
        <v>19</v>
      </c>
      <c r="D274" s="3" t="b">
        <v>0</v>
      </c>
      <c r="E274" s="3">
        <v>3</v>
      </c>
      <c r="F274" s="3">
        <v>1</v>
      </c>
      <c r="G274" s="3">
        <v>0.18</v>
      </c>
      <c r="H274" t="str">
        <f t="shared" si="36"/>
        <v>Wed</v>
      </c>
      <c r="I274">
        <f t="shared" si="31"/>
        <v>0.1515</v>
      </c>
      <c r="J274">
        <f t="shared" si="32"/>
        <v>0.47</v>
      </c>
      <c r="K274">
        <f t="shared" si="33"/>
        <v>0.41789999999999999</v>
      </c>
      <c r="L274">
        <f t="shared" si="34"/>
        <v>1</v>
      </c>
      <c r="M274">
        <f t="shared" si="35"/>
        <v>82</v>
      </c>
      <c r="N274" t="str">
        <f t="shared" si="37"/>
        <v>Night shift</v>
      </c>
    </row>
    <row r="275" spans="1:14" x14ac:dyDescent="0.3">
      <c r="A275" s="3">
        <v>274</v>
      </c>
      <c r="B275" s="4">
        <v>40555</v>
      </c>
      <c r="C275" s="3">
        <v>20</v>
      </c>
      <c r="D275" s="3" t="b">
        <v>0</v>
      </c>
      <c r="E275" s="3">
        <v>3</v>
      </c>
      <c r="F275" s="3">
        <v>1</v>
      </c>
      <c r="G275" s="3">
        <v>0.16</v>
      </c>
      <c r="H275" t="str">
        <f t="shared" si="36"/>
        <v>Wed</v>
      </c>
      <c r="I275">
        <f t="shared" si="31"/>
        <v>0.13639999999999999</v>
      </c>
      <c r="J275">
        <f t="shared" si="32"/>
        <v>0.5</v>
      </c>
      <c r="K275">
        <f t="shared" si="33"/>
        <v>0.32840000000000003</v>
      </c>
      <c r="L275">
        <f t="shared" si="34"/>
        <v>2</v>
      </c>
      <c r="M275">
        <f t="shared" si="35"/>
        <v>54</v>
      </c>
      <c r="N275" t="str">
        <f t="shared" si="37"/>
        <v>Night shift</v>
      </c>
    </row>
    <row r="276" spans="1:14" x14ac:dyDescent="0.3">
      <c r="A276" s="3">
        <v>275</v>
      </c>
      <c r="B276" s="4">
        <v>40555</v>
      </c>
      <c r="C276" s="3">
        <v>21</v>
      </c>
      <c r="D276" s="3" t="b">
        <v>0</v>
      </c>
      <c r="E276" s="3">
        <v>3</v>
      </c>
      <c r="F276" s="3">
        <v>1</v>
      </c>
      <c r="G276" s="3">
        <v>0.16</v>
      </c>
      <c r="H276" t="str">
        <f t="shared" si="36"/>
        <v>Wed</v>
      </c>
      <c r="I276">
        <f t="shared" si="31"/>
        <v>0.13639999999999999</v>
      </c>
      <c r="J276">
        <f t="shared" si="32"/>
        <v>0.55000000000000004</v>
      </c>
      <c r="K276">
        <f t="shared" si="33"/>
        <v>0.32840000000000003</v>
      </c>
      <c r="L276">
        <f t="shared" si="34"/>
        <v>0</v>
      </c>
      <c r="M276">
        <f t="shared" si="35"/>
        <v>57</v>
      </c>
      <c r="N276" t="str">
        <f t="shared" si="37"/>
        <v>Night shift</v>
      </c>
    </row>
    <row r="277" spans="1:14" x14ac:dyDescent="0.3">
      <c r="A277" s="3">
        <v>276</v>
      </c>
      <c r="B277" s="4">
        <v>40555</v>
      </c>
      <c r="C277" s="3">
        <v>22</v>
      </c>
      <c r="D277" s="3" t="b">
        <v>0</v>
      </c>
      <c r="E277" s="3">
        <v>3</v>
      </c>
      <c r="F277" s="3">
        <v>1</v>
      </c>
      <c r="G277" s="3">
        <v>0.16</v>
      </c>
      <c r="H277" t="str">
        <f t="shared" si="36"/>
        <v>Wed</v>
      </c>
      <c r="I277">
        <f t="shared" si="31"/>
        <v>0.1212</v>
      </c>
      <c r="J277">
        <f t="shared" si="32"/>
        <v>0.55000000000000004</v>
      </c>
      <c r="K277">
        <f t="shared" si="33"/>
        <v>0.44779999999999998</v>
      </c>
      <c r="L277">
        <f t="shared" si="34"/>
        <v>1</v>
      </c>
      <c r="M277">
        <f t="shared" si="35"/>
        <v>32</v>
      </c>
      <c r="N277" t="str">
        <f t="shared" si="37"/>
        <v>Night shift</v>
      </c>
    </row>
    <row r="278" spans="1:14" x14ac:dyDescent="0.3">
      <c r="A278" s="3">
        <v>277</v>
      </c>
      <c r="B278" s="4">
        <v>40555</v>
      </c>
      <c r="C278" s="3">
        <v>23</v>
      </c>
      <c r="D278" s="3" t="b">
        <v>0</v>
      </c>
      <c r="E278" s="3">
        <v>3</v>
      </c>
      <c r="F278" s="3">
        <v>1</v>
      </c>
      <c r="G278" s="3">
        <v>0.14000000000000001</v>
      </c>
      <c r="H278" t="str">
        <f t="shared" si="36"/>
        <v>Wed</v>
      </c>
      <c r="I278">
        <f t="shared" si="31"/>
        <v>0.1061</v>
      </c>
      <c r="J278">
        <f t="shared" si="32"/>
        <v>0.59</v>
      </c>
      <c r="K278">
        <f t="shared" si="33"/>
        <v>0.41789999999999999</v>
      </c>
      <c r="L278">
        <f t="shared" si="34"/>
        <v>1</v>
      </c>
      <c r="M278">
        <f t="shared" si="35"/>
        <v>19</v>
      </c>
      <c r="N278" t="str">
        <f t="shared" si="37"/>
        <v>Night shift</v>
      </c>
    </row>
    <row r="279" spans="1:14" x14ac:dyDescent="0.3">
      <c r="A279" s="3">
        <v>278</v>
      </c>
      <c r="B279" s="4">
        <v>40556</v>
      </c>
      <c r="C279" s="3">
        <v>0</v>
      </c>
      <c r="D279" s="3" t="b">
        <v>0</v>
      </c>
      <c r="E279" s="3">
        <v>4</v>
      </c>
      <c r="F279" s="3">
        <v>1</v>
      </c>
      <c r="G279" s="3">
        <v>0.14000000000000001</v>
      </c>
      <c r="H279" t="str">
        <f t="shared" si="36"/>
        <v>Thu</v>
      </c>
      <c r="I279">
        <f t="shared" si="31"/>
        <v>0.1212</v>
      </c>
      <c r="J279">
        <f t="shared" si="32"/>
        <v>0.59</v>
      </c>
      <c r="K279">
        <f t="shared" si="33"/>
        <v>0.28360000000000002</v>
      </c>
      <c r="L279">
        <f t="shared" si="34"/>
        <v>1</v>
      </c>
      <c r="M279">
        <f t="shared" si="35"/>
        <v>6</v>
      </c>
      <c r="N279" t="str">
        <f t="shared" si="37"/>
        <v>Night shift</v>
      </c>
    </row>
    <row r="280" spans="1:14" x14ac:dyDescent="0.3">
      <c r="A280" s="3">
        <v>279</v>
      </c>
      <c r="B280" s="4">
        <v>40556</v>
      </c>
      <c r="C280" s="3">
        <v>1</v>
      </c>
      <c r="D280" s="3" t="b">
        <v>0</v>
      </c>
      <c r="E280" s="3">
        <v>4</v>
      </c>
      <c r="F280" s="3">
        <v>1</v>
      </c>
      <c r="G280" s="3">
        <v>0.14000000000000001</v>
      </c>
      <c r="H280" t="str">
        <f t="shared" si="36"/>
        <v>Thu</v>
      </c>
      <c r="I280">
        <f t="shared" si="31"/>
        <v>0.1212</v>
      </c>
      <c r="J280">
        <f t="shared" si="32"/>
        <v>0.5</v>
      </c>
      <c r="K280">
        <f t="shared" si="33"/>
        <v>0.28360000000000002</v>
      </c>
      <c r="L280">
        <f t="shared" si="34"/>
        <v>0</v>
      </c>
      <c r="M280">
        <f t="shared" si="35"/>
        <v>2</v>
      </c>
      <c r="N280" t="str">
        <f t="shared" si="37"/>
        <v>Night shift</v>
      </c>
    </row>
    <row r="281" spans="1:14" x14ac:dyDescent="0.3">
      <c r="A281" s="3">
        <v>280</v>
      </c>
      <c r="B281" s="4">
        <v>40556</v>
      </c>
      <c r="C281" s="3">
        <v>2</v>
      </c>
      <c r="D281" s="3" t="b">
        <v>0</v>
      </c>
      <c r="E281" s="3">
        <v>4</v>
      </c>
      <c r="F281" s="3">
        <v>1</v>
      </c>
      <c r="G281" s="3">
        <v>0.14000000000000001</v>
      </c>
      <c r="H281" t="str">
        <f t="shared" si="36"/>
        <v>Thu</v>
      </c>
      <c r="I281">
        <f t="shared" si="31"/>
        <v>0.1212</v>
      </c>
      <c r="J281">
        <f t="shared" si="32"/>
        <v>0.5</v>
      </c>
      <c r="K281">
        <f t="shared" si="33"/>
        <v>0.35820000000000002</v>
      </c>
      <c r="L281">
        <f t="shared" si="34"/>
        <v>0</v>
      </c>
      <c r="M281">
        <f t="shared" si="35"/>
        <v>2</v>
      </c>
      <c r="N281" t="str">
        <f t="shared" si="37"/>
        <v>Night shift</v>
      </c>
    </row>
    <row r="282" spans="1:14" x14ac:dyDescent="0.3">
      <c r="A282" s="3">
        <v>281</v>
      </c>
      <c r="B282" s="4">
        <v>40556</v>
      </c>
      <c r="C282" s="3">
        <v>3</v>
      </c>
      <c r="D282" s="3" t="b">
        <v>0</v>
      </c>
      <c r="E282" s="3">
        <v>4</v>
      </c>
      <c r="F282" s="3">
        <v>1</v>
      </c>
      <c r="G282" s="3">
        <v>0.14000000000000001</v>
      </c>
      <c r="H282" t="str">
        <f t="shared" si="36"/>
        <v>Thu</v>
      </c>
      <c r="I282">
        <f t="shared" si="31"/>
        <v>0.1212</v>
      </c>
      <c r="J282">
        <f t="shared" si="32"/>
        <v>0.5</v>
      </c>
      <c r="K282">
        <f t="shared" si="33"/>
        <v>0.32840000000000003</v>
      </c>
      <c r="L282">
        <f t="shared" si="34"/>
        <v>0</v>
      </c>
      <c r="M282">
        <f t="shared" si="35"/>
        <v>3</v>
      </c>
      <c r="N282" t="str">
        <f t="shared" si="37"/>
        <v>Night shift</v>
      </c>
    </row>
    <row r="283" spans="1:14" x14ac:dyDescent="0.3">
      <c r="A283" s="3">
        <v>282</v>
      </c>
      <c r="B283" s="4">
        <v>40556</v>
      </c>
      <c r="C283" s="3">
        <v>4</v>
      </c>
      <c r="D283" s="3" t="b">
        <v>0</v>
      </c>
      <c r="E283" s="3">
        <v>4</v>
      </c>
      <c r="F283" s="3">
        <v>1</v>
      </c>
      <c r="G283" s="3">
        <v>0.14000000000000001</v>
      </c>
      <c r="H283" t="str">
        <f t="shared" si="36"/>
        <v>Thu</v>
      </c>
      <c r="I283">
        <f t="shared" si="31"/>
        <v>0.1212</v>
      </c>
      <c r="J283">
        <f t="shared" si="32"/>
        <v>0.5</v>
      </c>
      <c r="K283">
        <f t="shared" si="33"/>
        <v>0.25369999999999998</v>
      </c>
      <c r="L283">
        <f t="shared" si="34"/>
        <v>0</v>
      </c>
      <c r="M283">
        <f t="shared" si="35"/>
        <v>4</v>
      </c>
      <c r="N283" t="str">
        <f t="shared" si="37"/>
        <v>Night shift</v>
      </c>
    </row>
    <row r="284" spans="1:14" x14ac:dyDescent="0.3">
      <c r="A284" s="3">
        <v>283</v>
      </c>
      <c r="B284" s="4">
        <v>40556</v>
      </c>
      <c r="C284" s="3">
        <v>5</v>
      </c>
      <c r="D284" s="3" t="b">
        <v>0</v>
      </c>
      <c r="E284" s="3">
        <v>4</v>
      </c>
      <c r="F284" s="3">
        <v>1</v>
      </c>
      <c r="G284" s="3">
        <v>0.14000000000000001</v>
      </c>
      <c r="H284" t="str">
        <f t="shared" si="36"/>
        <v>Thu</v>
      </c>
      <c r="I284">
        <f t="shared" si="31"/>
        <v>0.1212</v>
      </c>
      <c r="J284">
        <f t="shared" si="32"/>
        <v>0.5</v>
      </c>
      <c r="K284">
        <f t="shared" si="33"/>
        <v>0.29849999999999999</v>
      </c>
      <c r="L284">
        <f t="shared" si="34"/>
        <v>0</v>
      </c>
      <c r="M284">
        <f t="shared" si="35"/>
        <v>3</v>
      </c>
      <c r="N284" t="str">
        <f t="shared" si="37"/>
        <v>Night shift</v>
      </c>
    </row>
    <row r="285" spans="1:14" x14ac:dyDescent="0.3">
      <c r="A285" s="3">
        <v>284</v>
      </c>
      <c r="B285" s="4">
        <v>40556</v>
      </c>
      <c r="C285" s="3">
        <v>6</v>
      </c>
      <c r="D285" s="3" t="b">
        <v>0</v>
      </c>
      <c r="E285" s="3">
        <v>4</v>
      </c>
      <c r="F285" s="3">
        <v>1</v>
      </c>
      <c r="G285" s="3">
        <v>0.12</v>
      </c>
      <c r="H285" t="str">
        <f t="shared" si="36"/>
        <v>Thu</v>
      </c>
      <c r="I285">
        <f t="shared" si="31"/>
        <v>0.1515</v>
      </c>
      <c r="J285">
        <f t="shared" si="32"/>
        <v>0.54</v>
      </c>
      <c r="K285">
        <f t="shared" si="33"/>
        <v>0.1343</v>
      </c>
      <c r="L285">
        <f t="shared" si="34"/>
        <v>0</v>
      </c>
      <c r="M285">
        <f t="shared" si="35"/>
        <v>28</v>
      </c>
      <c r="N285" t="str">
        <f t="shared" si="37"/>
        <v>Day Shift</v>
      </c>
    </row>
    <row r="286" spans="1:14" x14ac:dyDescent="0.3">
      <c r="A286" s="3">
        <v>285</v>
      </c>
      <c r="B286" s="4">
        <v>40556</v>
      </c>
      <c r="C286" s="3">
        <v>7</v>
      </c>
      <c r="D286" s="3" t="b">
        <v>0</v>
      </c>
      <c r="E286" s="3">
        <v>4</v>
      </c>
      <c r="F286" s="3">
        <v>1</v>
      </c>
      <c r="G286" s="3">
        <v>0.12</v>
      </c>
      <c r="H286" t="str">
        <f t="shared" si="36"/>
        <v>Thu</v>
      </c>
      <c r="I286">
        <f t="shared" si="31"/>
        <v>0.1515</v>
      </c>
      <c r="J286">
        <f t="shared" si="32"/>
        <v>0.54</v>
      </c>
      <c r="K286">
        <f t="shared" si="33"/>
        <v>0.1343</v>
      </c>
      <c r="L286">
        <f t="shared" si="34"/>
        <v>0</v>
      </c>
      <c r="M286">
        <f t="shared" si="35"/>
        <v>72</v>
      </c>
      <c r="N286" t="str">
        <f t="shared" si="37"/>
        <v>Day Shift</v>
      </c>
    </row>
    <row r="287" spans="1:14" x14ac:dyDescent="0.3">
      <c r="A287" s="3">
        <v>286</v>
      </c>
      <c r="B287" s="4">
        <v>40556</v>
      </c>
      <c r="C287" s="3">
        <v>8</v>
      </c>
      <c r="D287" s="3" t="b">
        <v>0</v>
      </c>
      <c r="E287" s="3">
        <v>4</v>
      </c>
      <c r="F287" s="3">
        <v>1</v>
      </c>
      <c r="G287" s="3">
        <v>0.14000000000000001</v>
      </c>
      <c r="H287" t="str">
        <f t="shared" si="36"/>
        <v>Thu</v>
      </c>
      <c r="I287">
        <f t="shared" si="31"/>
        <v>0.13639999999999999</v>
      </c>
      <c r="J287">
        <f t="shared" si="32"/>
        <v>0.5</v>
      </c>
      <c r="K287">
        <f t="shared" si="33"/>
        <v>0.19400000000000001</v>
      </c>
      <c r="L287">
        <f t="shared" si="34"/>
        <v>5</v>
      </c>
      <c r="M287">
        <f t="shared" si="35"/>
        <v>197</v>
      </c>
      <c r="N287" t="str">
        <f t="shared" si="37"/>
        <v>Day Shift</v>
      </c>
    </row>
    <row r="288" spans="1:14" x14ac:dyDescent="0.3">
      <c r="A288" s="3">
        <v>287</v>
      </c>
      <c r="B288" s="4">
        <v>40556</v>
      </c>
      <c r="C288" s="3">
        <v>9</v>
      </c>
      <c r="D288" s="3" t="b">
        <v>0</v>
      </c>
      <c r="E288" s="3">
        <v>4</v>
      </c>
      <c r="F288" s="3">
        <v>1</v>
      </c>
      <c r="G288" s="3">
        <v>0.14000000000000001</v>
      </c>
      <c r="H288" t="str">
        <f t="shared" si="36"/>
        <v>Thu</v>
      </c>
      <c r="I288">
        <f t="shared" si="31"/>
        <v>0.1212</v>
      </c>
      <c r="J288">
        <f t="shared" si="32"/>
        <v>0.5</v>
      </c>
      <c r="K288">
        <f t="shared" si="33"/>
        <v>0.32840000000000003</v>
      </c>
      <c r="L288">
        <f t="shared" si="34"/>
        <v>2</v>
      </c>
      <c r="M288">
        <f t="shared" si="35"/>
        <v>137</v>
      </c>
      <c r="N288" t="str">
        <f t="shared" si="37"/>
        <v>Day Shift</v>
      </c>
    </row>
    <row r="289" spans="1:14" x14ac:dyDescent="0.3">
      <c r="A289" s="3">
        <v>288</v>
      </c>
      <c r="B289" s="4">
        <v>40556</v>
      </c>
      <c r="C289" s="3">
        <v>10</v>
      </c>
      <c r="D289" s="3" t="b">
        <v>0</v>
      </c>
      <c r="E289" s="3">
        <v>4</v>
      </c>
      <c r="F289" s="3">
        <v>2</v>
      </c>
      <c r="G289" s="3">
        <v>0.16</v>
      </c>
      <c r="H289" t="str">
        <f t="shared" si="36"/>
        <v>Thu</v>
      </c>
      <c r="I289">
        <f t="shared" si="31"/>
        <v>0.13639999999999999</v>
      </c>
      <c r="J289">
        <f t="shared" si="32"/>
        <v>0.5</v>
      </c>
      <c r="K289">
        <f t="shared" si="33"/>
        <v>0.35820000000000002</v>
      </c>
      <c r="L289">
        <f t="shared" si="34"/>
        <v>2</v>
      </c>
      <c r="M289">
        <f t="shared" si="35"/>
        <v>36</v>
      </c>
      <c r="N289" t="str">
        <f t="shared" si="37"/>
        <v>Day Shift</v>
      </c>
    </row>
    <row r="290" spans="1:14" x14ac:dyDescent="0.3">
      <c r="A290" s="3">
        <v>289</v>
      </c>
      <c r="B290" s="4">
        <v>40556</v>
      </c>
      <c r="C290" s="3">
        <v>11</v>
      </c>
      <c r="D290" s="3" t="b">
        <v>0</v>
      </c>
      <c r="E290" s="3">
        <v>4</v>
      </c>
      <c r="F290" s="3">
        <v>2</v>
      </c>
      <c r="G290" s="3">
        <v>0.2</v>
      </c>
      <c r="H290" t="str">
        <f t="shared" si="36"/>
        <v>Thu</v>
      </c>
      <c r="I290">
        <f t="shared" si="31"/>
        <v>0.16669999999999999</v>
      </c>
      <c r="J290">
        <f t="shared" si="32"/>
        <v>0.44</v>
      </c>
      <c r="K290">
        <f t="shared" si="33"/>
        <v>0.44779999999999998</v>
      </c>
      <c r="L290">
        <f t="shared" si="34"/>
        <v>4</v>
      </c>
      <c r="M290">
        <f t="shared" si="35"/>
        <v>33</v>
      </c>
      <c r="N290" t="str">
        <f t="shared" si="37"/>
        <v>Day Shift</v>
      </c>
    </row>
    <row r="291" spans="1:14" x14ac:dyDescent="0.3">
      <c r="A291" s="3">
        <v>290</v>
      </c>
      <c r="B291" s="4">
        <v>40556</v>
      </c>
      <c r="C291" s="3">
        <v>12</v>
      </c>
      <c r="D291" s="3" t="b">
        <v>0</v>
      </c>
      <c r="E291" s="3">
        <v>4</v>
      </c>
      <c r="F291" s="3">
        <v>1</v>
      </c>
      <c r="G291" s="3">
        <v>0.2</v>
      </c>
      <c r="H291" t="str">
        <f t="shared" si="36"/>
        <v>Thu</v>
      </c>
      <c r="I291">
        <f t="shared" si="31"/>
        <v>0.16669999999999999</v>
      </c>
      <c r="J291">
        <f t="shared" si="32"/>
        <v>0.44</v>
      </c>
      <c r="K291">
        <f t="shared" si="33"/>
        <v>0.41789999999999999</v>
      </c>
      <c r="L291">
        <f t="shared" si="34"/>
        <v>3</v>
      </c>
      <c r="M291">
        <f t="shared" si="35"/>
        <v>49</v>
      </c>
      <c r="N291" t="str">
        <f t="shared" si="37"/>
        <v>Day Shift</v>
      </c>
    </row>
    <row r="292" spans="1:14" x14ac:dyDescent="0.3">
      <c r="A292" s="3">
        <v>291</v>
      </c>
      <c r="B292" s="4">
        <v>40556</v>
      </c>
      <c r="C292" s="3">
        <v>13</v>
      </c>
      <c r="D292" s="3" t="b">
        <v>0</v>
      </c>
      <c r="E292" s="3">
        <v>4</v>
      </c>
      <c r="F292" s="3">
        <v>1</v>
      </c>
      <c r="G292" s="3">
        <v>0.22</v>
      </c>
      <c r="H292" t="str">
        <f t="shared" si="36"/>
        <v>Thu</v>
      </c>
      <c r="I292">
        <f t="shared" si="31"/>
        <v>0.19700000000000001</v>
      </c>
      <c r="J292">
        <f t="shared" si="32"/>
        <v>0.41</v>
      </c>
      <c r="K292">
        <f t="shared" si="33"/>
        <v>0.44779999999999998</v>
      </c>
      <c r="L292">
        <f t="shared" si="34"/>
        <v>2</v>
      </c>
      <c r="M292">
        <f t="shared" si="35"/>
        <v>81</v>
      </c>
      <c r="N292" t="str">
        <f t="shared" si="37"/>
        <v>Day Shift</v>
      </c>
    </row>
    <row r="293" spans="1:14" x14ac:dyDescent="0.3">
      <c r="A293" s="3">
        <v>292</v>
      </c>
      <c r="B293" s="4">
        <v>40556</v>
      </c>
      <c r="C293" s="3">
        <v>14</v>
      </c>
      <c r="D293" s="3" t="b">
        <v>0</v>
      </c>
      <c r="E293" s="3">
        <v>4</v>
      </c>
      <c r="F293" s="3">
        <v>1</v>
      </c>
      <c r="G293" s="3">
        <v>0.22</v>
      </c>
      <c r="H293" t="str">
        <f t="shared" si="36"/>
        <v>Thu</v>
      </c>
      <c r="I293">
        <f t="shared" si="31"/>
        <v>0.19700000000000001</v>
      </c>
      <c r="J293">
        <f t="shared" si="32"/>
        <v>0.41</v>
      </c>
      <c r="K293">
        <f t="shared" si="33"/>
        <v>0.3881</v>
      </c>
      <c r="L293">
        <f t="shared" si="34"/>
        <v>3</v>
      </c>
      <c r="M293">
        <f t="shared" si="35"/>
        <v>39</v>
      </c>
      <c r="N293" t="str">
        <f t="shared" si="37"/>
        <v>Day Shift</v>
      </c>
    </row>
    <row r="294" spans="1:14" x14ac:dyDescent="0.3">
      <c r="A294" s="3">
        <v>293</v>
      </c>
      <c r="B294" s="4">
        <v>40556</v>
      </c>
      <c r="C294" s="3">
        <v>15</v>
      </c>
      <c r="D294" s="3" t="b">
        <v>0</v>
      </c>
      <c r="E294" s="3">
        <v>4</v>
      </c>
      <c r="F294" s="3">
        <v>1</v>
      </c>
      <c r="G294" s="3">
        <v>0.24</v>
      </c>
      <c r="H294" t="str">
        <f t="shared" si="36"/>
        <v>Thu</v>
      </c>
      <c r="I294">
        <f t="shared" si="31"/>
        <v>0.21210000000000001</v>
      </c>
      <c r="J294">
        <f t="shared" si="32"/>
        <v>0.38</v>
      </c>
      <c r="K294">
        <f t="shared" si="33"/>
        <v>0.29849999999999999</v>
      </c>
      <c r="L294">
        <f t="shared" si="34"/>
        <v>5</v>
      </c>
      <c r="M294">
        <f t="shared" si="35"/>
        <v>55</v>
      </c>
      <c r="N294" t="str">
        <f t="shared" si="37"/>
        <v>Day Shift</v>
      </c>
    </row>
    <row r="295" spans="1:14" x14ac:dyDescent="0.3">
      <c r="A295" s="3">
        <v>294</v>
      </c>
      <c r="B295" s="4">
        <v>40556</v>
      </c>
      <c r="C295" s="3">
        <v>16</v>
      </c>
      <c r="D295" s="3" t="b">
        <v>0</v>
      </c>
      <c r="E295" s="3">
        <v>4</v>
      </c>
      <c r="F295" s="3">
        <v>1</v>
      </c>
      <c r="G295" s="3">
        <v>0.24</v>
      </c>
      <c r="H295" t="str">
        <f t="shared" si="36"/>
        <v>Thu</v>
      </c>
      <c r="I295">
        <f t="shared" si="31"/>
        <v>0.21210000000000001</v>
      </c>
      <c r="J295">
        <f t="shared" si="32"/>
        <v>0.38</v>
      </c>
      <c r="K295">
        <f t="shared" si="33"/>
        <v>0.35820000000000002</v>
      </c>
      <c r="L295">
        <f t="shared" si="34"/>
        <v>2</v>
      </c>
      <c r="M295">
        <f t="shared" si="35"/>
        <v>76</v>
      </c>
      <c r="N295" t="str">
        <f t="shared" si="37"/>
        <v>Day Shift</v>
      </c>
    </row>
    <row r="296" spans="1:14" x14ac:dyDescent="0.3">
      <c r="A296" s="3">
        <v>295</v>
      </c>
      <c r="B296" s="4">
        <v>40556</v>
      </c>
      <c r="C296" s="3">
        <v>17</v>
      </c>
      <c r="D296" s="3" t="b">
        <v>0</v>
      </c>
      <c r="E296" s="3">
        <v>4</v>
      </c>
      <c r="F296" s="3">
        <v>1</v>
      </c>
      <c r="G296" s="3">
        <v>0.2</v>
      </c>
      <c r="H296" t="str">
        <f t="shared" si="36"/>
        <v>Thu</v>
      </c>
      <c r="I296">
        <f t="shared" si="31"/>
        <v>0.18179999999999999</v>
      </c>
      <c r="J296">
        <f t="shared" si="32"/>
        <v>0.4</v>
      </c>
      <c r="K296">
        <f t="shared" si="33"/>
        <v>0.28360000000000002</v>
      </c>
      <c r="L296">
        <f t="shared" si="34"/>
        <v>4</v>
      </c>
      <c r="M296">
        <f t="shared" si="35"/>
        <v>158</v>
      </c>
      <c r="N296" t="str">
        <f t="shared" si="37"/>
        <v>Day Shift</v>
      </c>
    </row>
    <row r="297" spans="1:14" x14ac:dyDescent="0.3">
      <c r="A297" s="3">
        <v>296</v>
      </c>
      <c r="B297" s="4">
        <v>40556</v>
      </c>
      <c r="C297" s="3">
        <v>18</v>
      </c>
      <c r="D297" s="3" t="b">
        <v>0</v>
      </c>
      <c r="E297" s="3">
        <v>4</v>
      </c>
      <c r="F297" s="3">
        <v>1</v>
      </c>
      <c r="G297" s="3">
        <v>0.2</v>
      </c>
      <c r="H297" t="str">
        <f t="shared" si="36"/>
        <v>Thu</v>
      </c>
      <c r="I297">
        <f t="shared" si="31"/>
        <v>0.18179999999999999</v>
      </c>
      <c r="J297">
        <f t="shared" si="32"/>
        <v>0.4</v>
      </c>
      <c r="K297">
        <f t="shared" si="33"/>
        <v>0.32840000000000003</v>
      </c>
      <c r="L297">
        <f t="shared" si="34"/>
        <v>3</v>
      </c>
      <c r="M297">
        <f t="shared" si="35"/>
        <v>141</v>
      </c>
      <c r="N297" t="str">
        <f t="shared" si="37"/>
        <v>Day Shift</v>
      </c>
    </row>
    <row r="298" spans="1:14" x14ac:dyDescent="0.3">
      <c r="A298" s="3">
        <v>297</v>
      </c>
      <c r="B298" s="4">
        <v>40556</v>
      </c>
      <c r="C298" s="3">
        <v>19</v>
      </c>
      <c r="D298" s="3" t="b">
        <v>0</v>
      </c>
      <c r="E298" s="3">
        <v>4</v>
      </c>
      <c r="F298" s="3">
        <v>1</v>
      </c>
      <c r="G298" s="3">
        <v>0.16</v>
      </c>
      <c r="H298" t="str">
        <f t="shared" si="36"/>
        <v>Thu</v>
      </c>
      <c r="I298">
        <f t="shared" si="31"/>
        <v>0.1515</v>
      </c>
      <c r="J298">
        <f t="shared" si="32"/>
        <v>0.47</v>
      </c>
      <c r="K298">
        <f t="shared" si="33"/>
        <v>0.25369999999999998</v>
      </c>
      <c r="L298">
        <f t="shared" si="34"/>
        <v>1</v>
      </c>
      <c r="M298">
        <f t="shared" si="35"/>
        <v>98</v>
      </c>
      <c r="N298" t="str">
        <f t="shared" si="37"/>
        <v>Night shift</v>
      </c>
    </row>
    <row r="299" spans="1:14" x14ac:dyDescent="0.3">
      <c r="A299" s="3">
        <v>298</v>
      </c>
      <c r="B299" s="4">
        <v>40556</v>
      </c>
      <c r="C299" s="3">
        <v>20</v>
      </c>
      <c r="D299" s="3" t="b">
        <v>0</v>
      </c>
      <c r="E299" s="3">
        <v>4</v>
      </c>
      <c r="F299" s="3">
        <v>1</v>
      </c>
      <c r="G299" s="3">
        <v>0.16</v>
      </c>
      <c r="H299" t="str">
        <f t="shared" si="36"/>
        <v>Thu</v>
      </c>
      <c r="I299">
        <f t="shared" si="31"/>
        <v>0.1515</v>
      </c>
      <c r="J299">
        <f t="shared" si="32"/>
        <v>0.47</v>
      </c>
      <c r="K299">
        <f t="shared" si="33"/>
        <v>0.22389999999999999</v>
      </c>
      <c r="L299">
        <f t="shared" si="34"/>
        <v>0</v>
      </c>
      <c r="M299">
        <f t="shared" si="35"/>
        <v>64</v>
      </c>
      <c r="N299" t="str">
        <f t="shared" si="37"/>
        <v>Night shift</v>
      </c>
    </row>
    <row r="300" spans="1:14" x14ac:dyDescent="0.3">
      <c r="A300" s="3">
        <v>299</v>
      </c>
      <c r="B300" s="4">
        <v>40556</v>
      </c>
      <c r="C300" s="3">
        <v>21</v>
      </c>
      <c r="D300" s="3" t="b">
        <v>0</v>
      </c>
      <c r="E300" s="3">
        <v>4</v>
      </c>
      <c r="F300" s="3">
        <v>1</v>
      </c>
      <c r="G300" s="3">
        <v>0.14000000000000001</v>
      </c>
      <c r="H300" t="str">
        <f t="shared" si="36"/>
        <v>Thu</v>
      </c>
      <c r="I300">
        <f t="shared" si="31"/>
        <v>0.1212</v>
      </c>
      <c r="J300">
        <f t="shared" si="32"/>
        <v>0.46</v>
      </c>
      <c r="K300">
        <f t="shared" si="33"/>
        <v>0.29849999999999999</v>
      </c>
      <c r="L300">
        <f t="shared" si="34"/>
        <v>0</v>
      </c>
      <c r="M300">
        <f t="shared" si="35"/>
        <v>40</v>
      </c>
      <c r="N300" t="str">
        <f t="shared" si="37"/>
        <v>Night shift</v>
      </c>
    </row>
    <row r="301" spans="1:14" x14ac:dyDescent="0.3">
      <c r="A301" s="3">
        <v>300</v>
      </c>
      <c r="B301" s="4">
        <v>40556</v>
      </c>
      <c r="C301" s="3">
        <v>22</v>
      </c>
      <c r="D301" s="3" t="b">
        <v>0</v>
      </c>
      <c r="E301" s="3">
        <v>4</v>
      </c>
      <c r="F301" s="3">
        <v>1</v>
      </c>
      <c r="G301" s="3">
        <v>0.14000000000000001</v>
      </c>
      <c r="H301" t="str">
        <f t="shared" si="36"/>
        <v>Thu</v>
      </c>
      <c r="I301">
        <f t="shared" si="31"/>
        <v>0.1212</v>
      </c>
      <c r="J301">
        <f t="shared" si="32"/>
        <v>0.46</v>
      </c>
      <c r="K301">
        <f t="shared" si="33"/>
        <v>0.32840000000000003</v>
      </c>
      <c r="L301">
        <f t="shared" si="34"/>
        <v>0</v>
      </c>
      <c r="M301">
        <f t="shared" si="35"/>
        <v>30</v>
      </c>
      <c r="N301" t="str">
        <f t="shared" si="37"/>
        <v>Night shift</v>
      </c>
    </row>
    <row r="302" spans="1:14" x14ac:dyDescent="0.3">
      <c r="A302" s="3">
        <v>301</v>
      </c>
      <c r="B302" s="4">
        <v>40556</v>
      </c>
      <c r="C302" s="3">
        <v>23</v>
      </c>
      <c r="D302" s="3" t="b">
        <v>0</v>
      </c>
      <c r="E302" s="3">
        <v>4</v>
      </c>
      <c r="F302" s="3">
        <v>1</v>
      </c>
      <c r="G302" s="3">
        <v>0.12</v>
      </c>
      <c r="H302" t="str">
        <f t="shared" si="36"/>
        <v>Thu</v>
      </c>
      <c r="I302">
        <f t="shared" si="31"/>
        <v>0.13639999999999999</v>
      </c>
      <c r="J302">
        <f t="shared" si="32"/>
        <v>0.5</v>
      </c>
      <c r="K302">
        <f t="shared" si="33"/>
        <v>0.19400000000000001</v>
      </c>
      <c r="L302">
        <f t="shared" si="34"/>
        <v>1</v>
      </c>
      <c r="M302">
        <f t="shared" si="35"/>
        <v>14</v>
      </c>
      <c r="N302" t="str">
        <f t="shared" si="37"/>
        <v>Night shift</v>
      </c>
    </row>
    <row r="303" spans="1:14" x14ac:dyDescent="0.3">
      <c r="A303" s="3">
        <v>302</v>
      </c>
      <c r="B303" s="4">
        <v>40557</v>
      </c>
      <c r="C303" s="3">
        <v>0</v>
      </c>
      <c r="D303" s="3" t="b">
        <v>0</v>
      </c>
      <c r="E303" s="3">
        <v>5</v>
      </c>
      <c r="F303" s="3">
        <v>1</v>
      </c>
      <c r="G303" s="3">
        <v>0.12</v>
      </c>
      <c r="H303" t="str">
        <f t="shared" si="36"/>
        <v>Fri</v>
      </c>
      <c r="I303">
        <f t="shared" si="31"/>
        <v>0.13639999999999999</v>
      </c>
      <c r="J303">
        <f t="shared" si="32"/>
        <v>0.5</v>
      </c>
      <c r="K303">
        <f t="shared" si="33"/>
        <v>0.19400000000000001</v>
      </c>
      <c r="L303">
        <f t="shared" si="34"/>
        <v>0</v>
      </c>
      <c r="M303">
        <f t="shared" si="35"/>
        <v>14</v>
      </c>
      <c r="N303" t="str">
        <f t="shared" si="37"/>
        <v>Night shift</v>
      </c>
    </row>
    <row r="304" spans="1:14" x14ac:dyDescent="0.3">
      <c r="A304" s="3">
        <v>303</v>
      </c>
      <c r="B304" s="4">
        <v>40557</v>
      </c>
      <c r="C304" s="3">
        <v>1</v>
      </c>
      <c r="D304" s="3" t="b">
        <v>0</v>
      </c>
      <c r="E304" s="3">
        <v>5</v>
      </c>
      <c r="F304" s="3">
        <v>1</v>
      </c>
      <c r="G304" s="3">
        <v>0.1</v>
      </c>
      <c r="H304" t="str">
        <f t="shared" si="36"/>
        <v>Fri</v>
      </c>
      <c r="I304">
        <f t="shared" si="31"/>
        <v>0.1212</v>
      </c>
      <c r="J304">
        <f t="shared" si="32"/>
        <v>0.54</v>
      </c>
      <c r="K304">
        <f t="shared" si="33"/>
        <v>0.16420000000000001</v>
      </c>
      <c r="L304">
        <f t="shared" si="34"/>
        <v>0</v>
      </c>
      <c r="M304">
        <f t="shared" si="35"/>
        <v>5</v>
      </c>
      <c r="N304" t="str">
        <f t="shared" si="37"/>
        <v>Night shift</v>
      </c>
    </row>
    <row r="305" spans="1:14" x14ac:dyDescent="0.3">
      <c r="A305" s="3">
        <v>304</v>
      </c>
      <c r="B305" s="4">
        <v>40557</v>
      </c>
      <c r="C305" s="3">
        <v>2</v>
      </c>
      <c r="D305" s="3" t="b">
        <v>0</v>
      </c>
      <c r="E305" s="3">
        <v>5</v>
      </c>
      <c r="F305" s="3">
        <v>1</v>
      </c>
      <c r="G305" s="3">
        <v>0.1</v>
      </c>
      <c r="H305" t="str">
        <f t="shared" si="36"/>
        <v>Fri</v>
      </c>
      <c r="I305">
        <f t="shared" si="31"/>
        <v>0.1212</v>
      </c>
      <c r="J305">
        <f t="shared" si="32"/>
        <v>0.54</v>
      </c>
      <c r="K305">
        <f t="shared" si="33"/>
        <v>0.1343</v>
      </c>
      <c r="L305">
        <f t="shared" si="34"/>
        <v>0</v>
      </c>
      <c r="M305">
        <f t="shared" si="35"/>
        <v>1</v>
      </c>
      <c r="N305" t="str">
        <f t="shared" si="37"/>
        <v>Night shift</v>
      </c>
    </row>
    <row r="306" spans="1:14" x14ac:dyDescent="0.3">
      <c r="A306" s="3">
        <v>305</v>
      </c>
      <c r="B306" s="4">
        <v>40557</v>
      </c>
      <c r="C306" s="3">
        <v>3</v>
      </c>
      <c r="D306" s="3" t="b">
        <v>0</v>
      </c>
      <c r="E306" s="3">
        <v>5</v>
      </c>
      <c r="F306" s="3">
        <v>1</v>
      </c>
      <c r="G306" s="3">
        <v>0.1</v>
      </c>
      <c r="H306" t="str">
        <f t="shared" si="36"/>
        <v>Fri</v>
      </c>
      <c r="I306">
        <f t="shared" si="31"/>
        <v>0.13639999999999999</v>
      </c>
      <c r="J306">
        <f t="shared" si="32"/>
        <v>0.54</v>
      </c>
      <c r="K306">
        <f t="shared" si="33"/>
        <v>0.1045</v>
      </c>
      <c r="L306">
        <f t="shared" si="34"/>
        <v>0</v>
      </c>
      <c r="M306">
        <f t="shared" si="35"/>
        <v>1</v>
      </c>
      <c r="N306" t="str">
        <f t="shared" si="37"/>
        <v>Night shift</v>
      </c>
    </row>
    <row r="307" spans="1:14" x14ac:dyDescent="0.3">
      <c r="A307" s="3">
        <v>306</v>
      </c>
      <c r="B307" s="4">
        <v>40557</v>
      </c>
      <c r="C307" s="3">
        <v>5</v>
      </c>
      <c r="D307" s="3" t="b">
        <v>0</v>
      </c>
      <c r="E307" s="3">
        <v>5</v>
      </c>
      <c r="F307" s="3">
        <v>1</v>
      </c>
      <c r="G307" s="3">
        <v>0.1</v>
      </c>
      <c r="H307" t="str">
        <f t="shared" si="36"/>
        <v>Fri</v>
      </c>
      <c r="I307">
        <f t="shared" si="31"/>
        <v>0.13639999999999999</v>
      </c>
      <c r="J307">
        <f t="shared" si="32"/>
        <v>0.54</v>
      </c>
      <c r="K307">
        <f t="shared" si="33"/>
        <v>8.9599999999999999E-2</v>
      </c>
      <c r="L307">
        <f t="shared" si="34"/>
        <v>0</v>
      </c>
      <c r="M307">
        <f t="shared" si="35"/>
        <v>8</v>
      </c>
      <c r="N307" t="str">
        <f t="shared" si="37"/>
        <v>Night shift</v>
      </c>
    </row>
    <row r="308" spans="1:14" x14ac:dyDescent="0.3">
      <c r="A308" s="3">
        <v>307</v>
      </c>
      <c r="B308" s="4">
        <v>40557</v>
      </c>
      <c r="C308" s="3">
        <v>6</v>
      </c>
      <c r="D308" s="3" t="b">
        <v>0</v>
      </c>
      <c r="E308" s="3">
        <v>5</v>
      </c>
      <c r="F308" s="3">
        <v>1</v>
      </c>
      <c r="G308" s="3">
        <v>0.1</v>
      </c>
      <c r="H308" t="str">
        <f t="shared" si="36"/>
        <v>Fri</v>
      </c>
      <c r="I308">
        <f t="shared" si="31"/>
        <v>0.18179999999999999</v>
      </c>
      <c r="J308">
        <f t="shared" si="32"/>
        <v>0.54</v>
      </c>
      <c r="K308">
        <f t="shared" si="33"/>
        <v>0</v>
      </c>
      <c r="L308">
        <f t="shared" si="34"/>
        <v>0</v>
      </c>
      <c r="M308">
        <f t="shared" si="35"/>
        <v>17</v>
      </c>
      <c r="N308" t="str">
        <f t="shared" si="37"/>
        <v>Day Shift</v>
      </c>
    </row>
    <row r="309" spans="1:14" x14ac:dyDescent="0.3">
      <c r="A309" s="3">
        <v>308</v>
      </c>
      <c r="B309" s="4">
        <v>40557</v>
      </c>
      <c r="C309" s="3">
        <v>7</v>
      </c>
      <c r="D309" s="3" t="b">
        <v>0</v>
      </c>
      <c r="E309" s="3">
        <v>5</v>
      </c>
      <c r="F309" s="3">
        <v>1</v>
      </c>
      <c r="G309" s="3">
        <v>0.1</v>
      </c>
      <c r="H309" t="str">
        <f t="shared" si="36"/>
        <v>Fri</v>
      </c>
      <c r="I309">
        <f t="shared" si="31"/>
        <v>0.1212</v>
      </c>
      <c r="J309">
        <f t="shared" si="32"/>
        <v>0.74</v>
      </c>
      <c r="K309">
        <f t="shared" si="33"/>
        <v>0.16420000000000001</v>
      </c>
      <c r="L309">
        <f t="shared" si="34"/>
        <v>0</v>
      </c>
      <c r="M309">
        <f t="shared" si="35"/>
        <v>70</v>
      </c>
      <c r="N309" t="str">
        <f t="shared" si="37"/>
        <v>Day Shift</v>
      </c>
    </row>
    <row r="310" spans="1:14" x14ac:dyDescent="0.3">
      <c r="A310" s="3">
        <v>309</v>
      </c>
      <c r="B310" s="4">
        <v>40557</v>
      </c>
      <c r="C310" s="3">
        <v>8</v>
      </c>
      <c r="D310" s="3" t="b">
        <v>0</v>
      </c>
      <c r="E310" s="3">
        <v>5</v>
      </c>
      <c r="F310" s="3">
        <v>1</v>
      </c>
      <c r="G310" s="3">
        <v>0.12</v>
      </c>
      <c r="H310" t="str">
        <f t="shared" si="36"/>
        <v>Fri</v>
      </c>
      <c r="I310">
        <f t="shared" si="31"/>
        <v>0.16669999999999999</v>
      </c>
      <c r="J310">
        <f t="shared" si="32"/>
        <v>0.68</v>
      </c>
      <c r="K310">
        <f t="shared" si="33"/>
        <v>0</v>
      </c>
      <c r="L310">
        <f t="shared" si="34"/>
        <v>2</v>
      </c>
      <c r="M310">
        <f t="shared" si="35"/>
        <v>156</v>
      </c>
      <c r="N310" t="str">
        <f t="shared" si="37"/>
        <v>Day Shift</v>
      </c>
    </row>
    <row r="311" spans="1:14" x14ac:dyDescent="0.3">
      <c r="A311" s="3">
        <v>310</v>
      </c>
      <c r="B311" s="4">
        <v>40557</v>
      </c>
      <c r="C311" s="3">
        <v>9</v>
      </c>
      <c r="D311" s="3" t="b">
        <v>0</v>
      </c>
      <c r="E311" s="3">
        <v>5</v>
      </c>
      <c r="F311" s="3">
        <v>1</v>
      </c>
      <c r="G311" s="3">
        <v>0.14000000000000001</v>
      </c>
      <c r="H311" t="str">
        <f t="shared" si="36"/>
        <v>Fri</v>
      </c>
      <c r="I311">
        <f t="shared" si="31"/>
        <v>0.1515</v>
      </c>
      <c r="J311">
        <f t="shared" si="32"/>
        <v>0.69</v>
      </c>
      <c r="K311">
        <f t="shared" si="33"/>
        <v>0.1343</v>
      </c>
      <c r="L311">
        <f t="shared" si="34"/>
        <v>0</v>
      </c>
      <c r="M311">
        <f t="shared" si="35"/>
        <v>117</v>
      </c>
      <c r="N311" t="str">
        <f t="shared" si="37"/>
        <v>Day Shift</v>
      </c>
    </row>
    <row r="312" spans="1:14" x14ac:dyDescent="0.3">
      <c r="A312" s="3">
        <v>311</v>
      </c>
      <c r="B312" s="4">
        <v>40557</v>
      </c>
      <c r="C312" s="3">
        <v>10</v>
      </c>
      <c r="D312" s="3" t="b">
        <v>0</v>
      </c>
      <c r="E312" s="3">
        <v>5</v>
      </c>
      <c r="F312" s="3">
        <v>1</v>
      </c>
      <c r="G312" s="3">
        <v>0.18</v>
      </c>
      <c r="H312" t="str">
        <f t="shared" si="36"/>
        <v>Fri</v>
      </c>
      <c r="I312">
        <f t="shared" si="31"/>
        <v>0.18179999999999999</v>
      </c>
      <c r="J312">
        <f t="shared" si="32"/>
        <v>0.55000000000000004</v>
      </c>
      <c r="K312">
        <f t="shared" si="33"/>
        <v>0.19400000000000001</v>
      </c>
      <c r="L312">
        <f t="shared" si="34"/>
        <v>4</v>
      </c>
      <c r="M312">
        <f t="shared" si="35"/>
        <v>40</v>
      </c>
      <c r="N312" t="str">
        <f t="shared" si="37"/>
        <v>Day Shift</v>
      </c>
    </row>
    <row r="313" spans="1:14" x14ac:dyDescent="0.3">
      <c r="A313" s="3">
        <v>312</v>
      </c>
      <c r="B313" s="4">
        <v>40557</v>
      </c>
      <c r="C313" s="3">
        <v>11</v>
      </c>
      <c r="D313" s="3" t="b">
        <v>0</v>
      </c>
      <c r="E313" s="3">
        <v>5</v>
      </c>
      <c r="F313" s="3">
        <v>1</v>
      </c>
      <c r="G313" s="3">
        <v>0.18</v>
      </c>
      <c r="H313" t="str">
        <f t="shared" si="36"/>
        <v>Fri</v>
      </c>
      <c r="I313">
        <f t="shared" si="31"/>
        <v>0.16669999999999999</v>
      </c>
      <c r="J313">
        <f t="shared" si="32"/>
        <v>0.51</v>
      </c>
      <c r="K313">
        <f t="shared" si="33"/>
        <v>0.28360000000000002</v>
      </c>
      <c r="L313">
        <f t="shared" si="34"/>
        <v>6</v>
      </c>
      <c r="M313">
        <f t="shared" si="35"/>
        <v>47</v>
      </c>
      <c r="N313" t="str">
        <f t="shared" si="37"/>
        <v>Day Shift</v>
      </c>
    </row>
    <row r="314" spans="1:14" x14ac:dyDescent="0.3">
      <c r="A314" s="3">
        <v>313</v>
      </c>
      <c r="B314" s="4">
        <v>40557</v>
      </c>
      <c r="C314" s="3">
        <v>12</v>
      </c>
      <c r="D314" s="3" t="b">
        <v>0</v>
      </c>
      <c r="E314" s="3">
        <v>5</v>
      </c>
      <c r="F314" s="3">
        <v>1</v>
      </c>
      <c r="G314" s="3">
        <v>0.2</v>
      </c>
      <c r="H314" t="str">
        <f t="shared" si="36"/>
        <v>Fri</v>
      </c>
      <c r="I314">
        <f t="shared" si="31"/>
        <v>0.19700000000000001</v>
      </c>
      <c r="J314">
        <f t="shared" si="32"/>
        <v>0.44</v>
      </c>
      <c r="K314">
        <f t="shared" si="33"/>
        <v>0.25369999999999998</v>
      </c>
      <c r="L314">
        <f t="shared" si="34"/>
        <v>2</v>
      </c>
      <c r="M314">
        <f t="shared" si="35"/>
        <v>59</v>
      </c>
      <c r="N314" t="str">
        <f t="shared" si="37"/>
        <v>Day Shift</v>
      </c>
    </row>
    <row r="315" spans="1:14" x14ac:dyDescent="0.3">
      <c r="A315" s="3">
        <v>314</v>
      </c>
      <c r="B315" s="4">
        <v>40557</v>
      </c>
      <c r="C315" s="3">
        <v>13</v>
      </c>
      <c r="D315" s="3" t="b">
        <v>0</v>
      </c>
      <c r="E315" s="3">
        <v>5</v>
      </c>
      <c r="F315" s="3">
        <v>1</v>
      </c>
      <c r="G315" s="3">
        <v>0.22</v>
      </c>
      <c r="H315" t="str">
        <f t="shared" si="36"/>
        <v>Fri</v>
      </c>
      <c r="I315">
        <f t="shared" si="31"/>
        <v>0.19700000000000001</v>
      </c>
      <c r="J315">
        <f t="shared" si="32"/>
        <v>0.37</v>
      </c>
      <c r="K315">
        <f t="shared" si="33"/>
        <v>0.3881</v>
      </c>
      <c r="L315">
        <f t="shared" si="34"/>
        <v>4</v>
      </c>
      <c r="M315">
        <f t="shared" si="35"/>
        <v>73</v>
      </c>
      <c r="N315" t="str">
        <f t="shared" si="37"/>
        <v>Day Shift</v>
      </c>
    </row>
    <row r="316" spans="1:14" x14ac:dyDescent="0.3">
      <c r="A316" s="3">
        <v>315</v>
      </c>
      <c r="B316" s="4">
        <v>40557</v>
      </c>
      <c r="C316" s="3">
        <v>14</v>
      </c>
      <c r="D316" s="3" t="b">
        <v>0</v>
      </c>
      <c r="E316" s="3">
        <v>5</v>
      </c>
      <c r="F316" s="3">
        <v>1</v>
      </c>
      <c r="G316" s="3">
        <v>0.22</v>
      </c>
      <c r="H316" t="str">
        <f t="shared" si="36"/>
        <v>Fri</v>
      </c>
      <c r="I316">
        <f t="shared" si="31"/>
        <v>0.21210000000000001</v>
      </c>
      <c r="J316">
        <f t="shared" si="32"/>
        <v>0.41</v>
      </c>
      <c r="K316">
        <f t="shared" si="33"/>
        <v>0.28360000000000002</v>
      </c>
      <c r="L316">
        <f t="shared" si="34"/>
        <v>5</v>
      </c>
      <c r="M316">
        <f t="shared" si="35"/>
        <v>59</v>
      </c>
      <c r="N316" t="str">
        <f t="shared" si="37"/>
        <v>Day Shift</v>
      </c>
    </row>
    <row r="317" spans="1:14" x14ac:dyDescent="0.3">
      <c r="A317" s="3">
        <v>316</v>
      </c>
      <c r="B317" s="4">
        <v>40557</v>
      </c>
      <c r="C317" s="3">
        <v>15</v>
      </c>
      <c r="D317" s="3" t="b">
        <v>0</v>
      </c>
      <c r="E317" s="3">
        <v>5</v>
      </c>
      <c r="F317" s="3">
        <v>1</v>
      </c>
      <c r="G317" s="3">
        <v>0.24</v>
      </c>
      <c r="H317" t="str">
        <f t="shared" si="36"/>
        <v>Fri</v>
      </c>
      <c r="I317">
        <f t="shared" si="31"/>
        <v>0.2424</v>
      </c>
      <c r="J317">
        <f t="shared" si="32"/>
        <v>0.38</v>
      </c>
      <c r="K317">
        <f t="shared" si="33"/>
        <v>0.16420000000000001</v>
      </c>
      <c r="L317">
        <f t="shared" si="34"/>
        <v>9</v>
      </c>
      <c r="M317">
        <f t="shared" si="35"/>
        <v>59</v>
      </c>
      <c r="N317" t="str">
        <f t="shared" si="37"/>
        <v>Day Shift</v>
      </c>
    </row>
    <row r="318" spans="1:14" x14ac:dyDescent="0.3">
      <c r="A318" s="3">
        <v>317</v>
      </c>
      <c r="B318" s="4">
        <v>40557</v>
      </c>
      <c r="C318" s="3">
        <v>16</v>
      </c>
      <c r="D318" s="3" t="b">
        <v>0</v>
      </c>
      <c r="E318" s="3">
        <v>5</v>
      </c>
      <c r="F318" s="3">
        <v>1</v>
      </c>
      <c r="G318" s="3">
        <v>0.22</v>
      </c>
      <c r="H318" t="str">
        <f t="shared" si="36"/>
        <v>Fri</v>
      </c>
      <c r="I318">
        <f t="shared" si="31"/>
        <v>0.2424</v>
      </c>
      <c r="J318">
        <f t="shared" si="32"/>
        <v>0.41</v>
      </c>
      <c r="K318">
        <f t="shared" si="33"/>
        <v>0.1045</v>
      </c>
      <c r="L318">
        <f t="shared" si="34"/>
        <v>3</v>
      </c>
      <c r="M318">
        <f t="shared" si="35"/>
        <v>87</v>
      </c>
      <c r="N318" t="str">
        <f t="shared" si="37"/>
        <v>Day Shift</v>
      </c>
    </row>
    <row r="319" spans="1:14" x14ac:dyDescent="0.3">
      <c r="A319" s="3">
        <v>318</v>
      </c>
      <c r="B319" s="4">
        <v>40557</v>
      </c>
      <c r="C319" s="3">
        <v>17</v>
      </c>
      <c r="D319" s="3" t="b">
        <v>0</v>
      </c>
      <c r="E319" s="3">
        <v>5</v>
      </c>
      <c r="F319" s="3">
        <v>1</v>
      </c>
      <c r="G319" s="3">
        <v>0.22</v>
      </c>
      <c r="H319" t="str">
        <f t="shared" si="36"/>
        <v>Fri</v>
      </c>
      <c r="I319">
        <f t="shared" si="31"/>
        <v>0.2273</v>
      </c>
      <c r="J319">
        <f t="shared" si="32"/>
        <v>0.41</v>
      </c>
      <c r="K319">
        <f t="shared" si="33"/>
        <v>0.16420000000000001</v>
      </c>
      <c r="L319">
        <f t="shared" si="34"/>
        <v>4</v>
      </c>
      <c r="M319">
        <f t="shared" si="35"/>
        <v>155</v>
      </c>
      <c r="N319" t="str">
        <f t="shared" si="37"/>
        <v>Day Shift</v>
      </c>
    </row>
    <row r="320" spans="1:14" x14ac:dyDescent="0.3">
      <c r="A320" s="3">
        <v>319</v>
      </c>
      <c r="B320" s="4">
        <v>40557</v>
      </c>
      <c r="C320" s="3">
        <v>18</v>
      </c>
      <c r="D320" s="3" t="b">
        <v>0</v>
      </c>
      <c r="E320" s="3">
        <v>5</v>
      </c>
      <c r="F320" s="3">
        <v>1</v>
      </c>
      <c r="G320" s="3">
        <v>0.2</v>
      </c>
      <c r="H320" t="str">
        <f t="shared" si="36"/>
        <v>Fri</v>
      </c>
      <c r="I320">
        <f t="shared" si="31"/>
        <v>0.2576</v>
      </c>
      <c r="J320">
        <f t="shared" si="32"/>
        <v>0.47</v>
      </c>
      <c r="K320">
        <f t="shared" si="33"/>
        <v>0</v>
      </c>
      <c r="L320">
        <f t="shared" si="34"/>
        <v>5</v>
      </c>
      <c r="M320">
        <f t="shared" si="35"/>
        <v>134</v>
      </c>
      <c r="N320" t="str">
        <f t="shared" si="37"/>
        <v>Day Shift</v>
      </c>
    </row>
    <row r="321" spans="1:14" x14ac:dyDescent="0.3">
      <c r="A321" s="3">
        <v>320</v>
      </c>
      <c r="B321" s="4">
        <v>40557</v>
      </c>
      <c r="C321" s="3">
        <v>19</v>
      </c>
      <c r="D321" s="3" t="b">
        <v>0</v>
      </c>
      <c r="E321" s="3">
        <v>5</v>
      </c>
      <c r="F321" s="3">
        <v>1</v>
      </c>
      <c r="G321" s="3">
        <v>0.16</v>
      </c>
      <c r="H321" t="str">
        <f t="shared" si="36"/>
        <v>Fri</v>
      </c>
      <c r="I321">
        <f t="shared" si="31"/>
        <v>0.19700000000000001</v>
      </c>
      <c r="J321">
        <f t="shared" si="32"/>
        <v>0.59</v>
      </c>
      <c r="K321">
        <f t="shared" si="33"/>
        <v>8.9599999999999999E-2</v>
      </c>
      <c r="L321">
        <f t="shared" si="34"/>
        <v>3</v>
      </c>
      <c r="M321">
        <f t="shared" si="35"/>
        <v>89</v>
      </c>
      <c r="N321" t="str">
        <f t="shared" si="37"/>
        <v>Night shift</v>
      </c>
    </row>
    <row r="322" spans="1:14" x14ac:dyDescent="0.3">
      <c r="A322" s="3">
        <v>321</v>
      </c>
      <c r="B322" s="4">
        <v>40557</v>
      </c>
      <c r="C322" s="3">
        <v>20</v>
      </c>
      <c r="D322" s="3" t="b">
        <v>0</v>
      </c>
      <c r="E322" s="3">
        <v>5</v>
      </c>
      <c r="F322" s="3">
        <v>1</v>
      </c>
      <c r="G322" s="3">
        <v>0.18</v>
      </c>
      <c r="H322" t="str">
        <f t="shared" si="36"/>
        <v>Fri</v>
      </c>
      <c r="I322">
        <f t="shared" ref="I322:I385" si="38">VLOOKUP($A322,instantc,3,FALSE)</f>
        <v>0.2424</v>
      </c>
      <c r="J322">
        <f t="shared" ref="J322:J385" si="39">VLOOKUP($A322,instantc,4,FALSE)</f>
        <v>0.59</v>
      </c>
      <c r="K322">
        <f t="shared" ref="K322:K385" si="40">VLOOKUP($A322,instantc,5,FALSE)</f>
        <v>0</v>
      </c>
      <c r="L322">
        <f t="shared" ref="L322:L385" si="41">VLOOKUP($A322,instantc,6,FALSE)</f>
        <v>0</v>
      </c>
      <c r="M322">
        <f t="shared" ref="M322:M385" si="42">VLOOKUP($A322,instantc,7,FALSE)</f>
        <v>68</v>
      </c>
      <c r="N322" t="str">
        <f t="shared" si="37"/>
        <v>Night shift</v>
      </c>
    </row>
    <row r="323" spans="1:14" x14ac:dyDescent="0.3">
      <c r="A323" s="3">
        <v>322</v>
      </c>
      <c r="B323" s="4">
        <v>40557</v>
      </c>
      <c r="C323" s="3">
        <v>21</v>
      </c>
      <c r="D323" s="3" t="b">
        <v>0</v>
      </c>
      <c r="E323" s="3">
        <v>5</v>
      </c>
      <c r="F323" s="3">
        <v>1</v>
      </c>
      <c r="G323" s="3">
        <v>0.16</v>
      </c>
      <c r="H323" t="str">
        <f t="shared" ref="H323:H386" si="43">TEXT(B323,"ddd")</f>
        <v>Fri</v>
      </c>
      <c r="I323">
        <f t="shared" si="38"/>
        <v>0.2273</v>
      </c>
      <c r="J323">
        <f t="shared" si="39"/>
        <v>0.69</v>
      </c>
      <c r="K323">
        <f t="shared" si="40"/>
        <v>0</v>
      </c>
      <c r="L323">
        <f t="shared" si="41"/>
        <v>4</v>
      </c>
      <c r="M323">
        <f t="shared" si="42"/>
        <v>48</v>
      </c>
      <c r="N323" t="str">
        <f t="shared" ref="N323:N386" si="44">IF(AND(C323&gt;=6,C323&lt;=18),"Day Shift","Night shift")</f>
        <v>Night shift</v>
      </c>
    </row>
    <row r="324" spans="1:14" x14ac:dyDescent="0.3">
      <c r="A324" s="3">
        <v>323</v>
      </c>
      <c r="B324" s="4">
        <v>40557</v>
      </c>
      <c r="C324" s="3">
        <v>22</v>
      </c>
      <c r="D324" s="3" t="b">
        <v>0</v>
      </c>
      <c r="E324" s="3">
        <v>5</v>
      </c>
      <c r="F324" s="3">
        <v>2</v>
      </c>
      <c r="G324" s="3">
        <v>0.16</v>
      </c>
      <c r="H324" t="str">
        <f t="shared" si="43"/>
        <v>Fri</v>
      </c>
      <c r="I324">
        <f t="shared" si="38"/>
        <v>0.2273</v>
      </c>
      <c r="J324">
        <f t="shared" si="39"/>
        <v>0.69</v>
      </c>
      <c r="K324">
        <f t="shared" si="40"/>
        <v>0</v>
      </c>
      <c r="L324">
        <f t="shared" si="41"/>
        <v>2</v>
      </c>
      <c r="M324">
        <f t="shared" si="42"/>
        <v>34</v>
      </c>
      <c r="N324" t="str">
        <f t="shared" si="44"/>
        <v>Night shift</v>
      </c>
    </row>
    <row r="325" spans="1:14" x14ac:dyDescent="0.3">
      <c r="A325" s="3">
        <v>324</v>
      </c>
      <c r="B325" s="4">
        <v>40557</v>
      </c>
      <c r="C325" s="3">
        <v>23</v>
      </c>
      <c r="D325" s="3" t="b">
        <v>0</v>
      </c>
      <c r="E325" s="3">
        <v>5</v>
      </c>
      <c r="F325" s="3">
        <v>2</v>
      </c>
      <c r="G325" s="3">
        <v>0.18</v>
      </c>
      <c r="H325" t="str">
        <f t="shared" si="43"/>
        <v>Fri</v>
      </c>
      <c r="I325">
        <f t="shared" si="38"/>
        <v>0.2424</v>
      </c>
      <c r="J325">
        <f t="shared" si="39"/>
        <v>0.55000000000000004</v>
      </c>
      <c r="K325">
        <f t="shared" si="40"/>
        <v>0</v>
      </c>
      <c r="L325">
        <f t="shared" si="41"/>
        <v>1</v>
      </c>
      <c r="M325">
        <f t="shared" si="42"/>
        <v>26</v>
      </c>
      <c r="N325" t="str">
        <f t="shared" si="44"/>
        <v>Night shift</v>
      </c>
    </row>
    <row r="326" spans="1:14" x14ac:dyDescent="0.3">
      <c r="A326" s="3">
        <v>325</v>
      </c>
      <c r="B326" s="4">
        <v>40558</v>
      </c>
      <c r="C326" s="3">
        <v>0</v>
      </c>
      <c r="D326" s="3" t="b">
        <v>0</v>
      </c>
      <c r="E326" s="3">
        <v>6</v>
      </c>
      <c r="F326" s="3">
        <v>1</v>
      </c>
      <c r="G326" s="3">
        <v>0.18</v>
      </c>
      <c r="H326" t="str">
        <f t="shared" si="43"/>
        <v>Sat</v>
      </c>
      <c r="I326">
        <f t="shared" si="38"/>
        <v>0.2424</v>
      </c>
      <c r="J326">
        <f t="shared" si="39"/>
        <v>0.55000000000000004</v>
      </c>
      <c r="K326">
        <f t="shared" si="40"/>
        <v>0</v>
      </c>
      <c r="L326">
        <f t="shared" si="41"/>
        <v>3</v>
      </c>
      <c r="M326">
        <f t="shared" si="42"/>
        <v>25</v>
      </c>
      <c r="N326" t="str">
        <f t="shared" si="44"/>
        <v>Night shift</v>
      </c>
    </row>
    <row r="327" spans="1:14" x14ac:dyDescent="0.3">
      <c r="A327" s="3">
        <v>326</v>
      </c>
      <c r="B327" s="4">
        <v>40558</v>
      </c>
      <c r="C327" s="3">
        <v>1</v>
      </c>
      <c r="D327" s="3" t="b">
        <v>0</v>
      </c>
      <c r="E327" s="3">
        <v>6</v>
      </c>
      <c r="F327" s="3">
        <v>2</v>
      </c>
      <c r="G327" s="3">
        <v>0.16</v>
      </c>
      <c r="H327" t="str">
        <f t="shared" si="43"/>
        <v>Sat</v>
      </c>
      <c r="I327">
        <f t="shared" si="38"/>
        <v>0.19700000000000001</v>
      </c>
      <c r="J327">
        <f t="shared" si="39"/>
        <v>0.59</v>
      </c>
      <c r="K327">
        <f t="shared" si="40"/>
        <v>8.9599999999999999E-2</v>
      </c>
      <c r="L327">
        <f t="shared" si="41"/>
        <v>2</v>
      </c>
      <c r="M327">
        <f t="shared" si="42"/>
        <v>18</v>
      </c>
      <c r="N327" t="str">
        <f t="shared" si="44"/>
        <v>Night shift</v>
      </c>
    </row>
    <row r="328" spans="1:14" x14ac:dyDescent="0.3">
      <c r="A328" s="3">
        <v>327</v>
      </c>
      <c r="B328" s="4">
        <v>40558</v>
      </c>
      <c r="C328" s="3">
        <v>2</v>
      </c>
      <c r="D328" s="3" t="b">
        <v>0</v>
      </c>
      <c r="E328" s="3">
        <v>6</v>
      </c>
      <c r="F328" s="3">
        <v>2</v>
      </c>
      <c r="G328" s="3">
        <v>0.16</v>
      </c>
      <c r="H328" t="str">
        <f t="shared" si="43"/>
        <v>Sat</v>
      </c>
      <c r="I328">
        <f t="shared" si="38"/>
        <v>0.19700000000000001</v>
      </c>
      <c r="J328">
        <f t="shared" si="39"/>
        <v>0.59</v>
      </c>
      <c r="K328">
        <f t="shared" si="40"/>
        <v>8.9599999999999999E-2</v>
      </c>
      <c r="L328">
        <f t="shared" si="41"/>
        <v>0</v>
      </c>
      <c r="M328">
        <f t="shared" si="42"/>
        <v>12</v>
      </c>
      <c r="N328" t="str">
        <f t="shared" si="44"/>
        <v>Night shift</v>
      </c>
    </row>
    <row r="329" spans="1:14" x14ac:dyDescent="0.3">
      <c r="A329" s="3">
        <v>328</v>
      </c>
      <c r="B329" s="4">
        <v>40558</v>
      </c>
      <c r="C329" s="3">
        <v>3</v>
      </c>
      <c r="D329" s="3" t="b">
        <v>0</v>
      </c>
      <c r="E329" s="3">
        <v>6</v>
      </c>
      <c r="F329" s="3">
        <v>2</v>
      </c>
      <c r="G329" s="3">
        <v>0.16</v>
      </c>
      <c r="H329" t="str">
        <f t="shared" si="43"/>
        <v>Sat</v>
      </c>
      <c r="I329">
        <f t="shared" si="38"/>
        <v>0.2273</v>
      </c>
      <c r="J329">
        <f t="shared" si="39"/>
        <v>0.59</v>
      </c>
      <c r="K329">
        <f t="shared" si="40"/>
        <v>0</v>
      </c>
      <c r="L329">
        <f t="shared" si="41"/>
        <v>1</v>
      </c>
      <c r="M329">
        <f t="shared" si="42"/>
        <v>7</v>
      </c>
      <c r="N329" t="str">
        <f t="shared" si="44"/>
        <v>Night shift</v>
      </c>
    </row>
    <row r="330" spans="1:14" x14ac:dyDescent="0.3">
      <c r="A330" s="3">
        <v>329</v>
      </c>
      <c r="B330" s="4">
        <v>40558</v>
      </c>
      <c r="C330" s="3">
        <v>4</v>
      </c>
      <c r="D330" s="3" t="b">
        <v>0</v>
      </c>
      <c r="E330" s="3">
        <v>6</v>
      </c>
      <c r="F330" s="3">
        <v>2</v>
      </c>
      <c r="G330" s="3">
        <v>0.16</v>
      </c>
      <c r="H330" t="str">
        <f t="shared" si="43"/>
        <v>Sat</v>
      </c>
      <c r="I330">
        <f t="shared" si="38"/>
        <v>0.2273</v>
      </c>
      <c r="J330">
        <f t="shared" si="39"/>
        <v>0.59</v>
      </c>
      <c r="K330">
        <f t="shared" si="40"/>
        <v>0</v>
      </c>
      <c r="L330">
        <f t="shared" si="41"/>
        <v>0</v>
      </c>
      <c r="M330">
        <f t="shared" si="42"/>
        <v>5</v>
      </c>
      <c r="N330" t="str">
        <f t="shared" si="44"/>
        <v>Night shift</v>
      </c>
    </row>
    <row r="331" spans="1:14" x14ac:dyDescent="0.3">
      <c r="A331" s="3">
        <v>330</v>
      </c>
      <c r="B331" s="4">
        <v>40558</v>
      </c>
      <c r="C331" s="3">
        <v>5</v>
      </c>
      <c r="D331" s="3" t="b">
        <v>0</v>
      </c>
      <c r="E331" s="3">
        <v>6</v>
      </c>
      <c r="F331" s="3">
        <v>1</v>
      </c>
      <c r="G331" s="3">
        <v>0.16</v>
      </c>
      <c r="H331" t="str">
        <f t="shared" si="43"/>
        <v>Sat</v>
      </c>
      <c r="I331">
        <f t="shared" si="38"/>
        <v>0.2273</v>
      </c>
      <c r="J331">
        <f t="shared" si="39"/>
        <v>0.59</v>
      </c>
      <c r="K331">
        <f t="shared" si="40"/>
        <v>0</v>
      </c>
      <c r="L331">
        <f t="shared" si="41"/>
        <v>0</v>
      </c>
      <c r="M331">
        <f t="shared" si="42"/>
        <v>1</v>
      </c>
      <c r="N331" t="str">
        <f t="shared" si="44"/>
        <v>Night shift</v>
      </c>
    </row>
    <row r="332" spans="1:14" x14ac:dyDescent="0.3">
      <c r="A332" s="3">
        <v>331</v>
      </c>
      <c r="B332" s="4">
        <v>40558</v>
      </c>
      <c r="C332" s="3">
        <v>6</v>
      </c>
      <c r="D332" s="3" t="b">
        <v>0</v>
      </c>
      <c r="E332" s="3">
        <v>6</v>
      </c>
      <c r="F332" s="3">
        <v>1</v>
      </c>
      <c r="G332" s="3">
        <v>0.14000000000000001</v>
      </c>
      <c r="H332" t="str">
        <f t="shared" si="43"/>
        <v>Sat</v>
      </c>
      <c r="I332">
        <f t="shared" si="38"/>
        <v>0.16669999999999999</v>
      </c>
      <c r="J332">
        <f t="shared" si="39"/>
        <v>0.63</v>
      </c>
      <c r="K332">
        <f t="shared" si="40"/>
        <v>0.1045</v>
      </c>
      <c r="L332">
        <f t="shared" si="41"/>
        <v>1</v>
      </c>
      <c r="M332">
        <f t="shared" si="42"/>
        <v>2</v>
      </c>
      <c r="N332" t="str">
        <f t="shared" si="44"/>
        <v>Day Shift</v>
      </c>
    </row>
    <row r="333" spans="1:14" x14ac:dyDescent="0.3">
      <c r="A333" s="3">
        <v>332</v>
      </c>
      <c r="B333" s="4">
        <v>40558</v>
      </c>
      <c r="C333" s="3">
        <v>7</v>
      </c>
      <c r="D333" s="3" t="b">
        <v>0</v>
      </c>
      <c r="E333" s="3">
        <v>6</v>
      </c>
      <c r="F333" s="3">
        <v>1</v>
      </c>
      <c r="G333" s="3">
        <v>0.14000000000000001</v>
      </c>
      <c r="H333" t="str">
        <f t="shared" si="43"/>
        <v>Sat</v>
      </c>
      <c r="I333">
        <f t="shared" si="38"/>
        <v>0.21210000000000001</v>
      </c>
      <c r="J333">
        <f t="shared" si="39"/>
        <v>0.63</v>
      </c>
      <c r="K333">
        <f t="shared" si="40"/>
        <v>0</v>
      </c>
      <c r="L333">
        <f t="shared" si="41"/>
        <v>1</v>
      </c>
      <c r="M333">
        <f t="shared" si="42"/>
        <v>9</v>
      </c>
      <c r="N333" t="str">
        <f t="shared" si="44"/>
        <v>Day Shift</v>
      </c>
    </row>
    <row r="334" spans="1:14" x14ac:dyDescent="0.3">
      <c r="A334" s="3">
        <v>333</v>
      </c>
      <c r="B334" s="4">
        <v>40558</v>
      </c>
      <c r="C334" s="3">
        <v>8</v>
      </c>
      <c r="D334" s="3" t="b">
        <v>0</v>
      </c>
      <c r="E334" s="3">
        <v>6</v>
      </c>
      <c r="F334" s="3">
        <v>1</v>
      </c>
      <c r="G334" s="3">
        <v>0.14000000000000001</v>
      </c>
      <c r="H334" t="str">
        <f t="shared" si="43"/>
        <v>Sat</v>
      </c>
      <c r="I334">
        <f t="shared" si="38"/>
        <v>0.1515</v>
      </c>
      <c r="J334">
        <f t="shared" si="39"/>
        <v>0.63</v>
      </c>
      <c r="K334">
        <f t="shared" si="40"/>
        <v>0.1343</v>
      </c>
      <c r="L334">
        <f t="shared" si="41"/>
        <v>1</v>
      </c>
      <c r="M334">
        <f t="shared" si="42"/>
        <v>22</v>
      </c>
      <c r="N334" t="str">
        <f t="shared" si="44"/>
        <v>Day Shift</v>
      </c>
    </row>
    <row r="335" spans="1:14" x14ac:dyDescent="0.3">
      <c r="A335" s="3">
        <v>334</v>
      </c>
      <c r="B335" s="4">
        <v>40558</v>
      </c>
      <c r="C335" s="3">
        <v>9</v>
      </c>
      <c r="D335" s="3" t="b">
        <v>0</v>
      </c>
      <c r="E335" s="3">
        <v>6</v>
      </c>
      <c r="F335" s="3">
        <v>1</v>
      </c>
      <c r="G335" s="3">
        <v>0.16</v>
      </c>
      <c r="H335" t="str">
        <f t="shared" si="43"/>
        <v>Sat</v>
      </c>
      <c r="I335">
        <f t="shared" si="38"/>
        <v>0.18179999999999999</v>
      </c>
      <c r="J335">
        <f t="shared" si="39"/>
        <v>0.64</v>
      </c>
      <c r="K335">
        <f t="shared" si="40"/>
        <v>0.1343</v>
      </c>
      <c r="L335">
        <f t="shared" si="41"/>
        <v>2</v>
      </c>
      <c r="M335">
        <f t="shared" si="42"/>
        <v>31</v>
      </c>
      <c r="N335" t="str">
        <f t="shared" si="44"/>
        <v>Day Shift</v>
      </c>
    </row>
    <row r="336" spans="1:14" x14ac:dyDescent="0.3">
      <c r="A336" s="3">
        <v>335</v>
      </c>
      <c r="B336" s="4">
        <v>40558</v>
      </c>
      <c r="C336" s="3">
        <v>10</v>
      </c>
      <c r="D336" s="3" t="b">
        <v>0</v>
      </c>
      <c r="E336" s="3">
        <v>6</v>
      </c>
      <c r="F336" s="3">
        <v>1</v>
      </c>
      <c r="G336" s="3">
        <v>0.18</v>
      </c>
      <c r="H336" t="str">
        <f t="shared" si="43"/>
        <v>Sat</v>
      </c>
      <c r="I336">
        <f t="shared" si="38"/>
        <v>0.19700000000000001</v>
      </c>
      <c r="J336">
        <f t="shared" si="39"/>
        <v>0.59</v>
      </c>
      <c r="K336">
        <f t="shared" si="40"/>
        <v>0.16420000000000001</v>
      </c>
      <c r="L336">
        <f t="shared" si="41"/>
        <v>2</v>
      </c>
      <c r="M336">
        <f t="shared" si="42"/>
        <v>57</v>
      </c>
      <c r="N336" t="str">
        <f t="shared" si="44"/>
        <v>Day Shift</v>
      </c>
    </row>
    <row r="337" spans="1:14" x14ac:dyDescent="0.3">
      <c r="A337" s="3">
        <v>336</v>
      </c>
      <c r="B337" s="4">
        <v>40558</v>
      </c>
      <c r="C337" s="3">
        <v>11</v>
      </c>
      <c r="D337" s="3" t="b">
        <v>0</v>
      </c>
      <c r="E337" s="3">
        <v>6</v>
      </c>
      <c r="F337" s="3">
        <v>1</v>
      </c>
      <c r="G337" s="3">
        <v>0.2</v>
      </c>
      <c r="H337" t="str">
        <f t="shared" si="43"/>
        <v>Sat</v>
      </c>
      <c r="I337">
        <f t="shared" si="38"/>
        <v>0.19700000000000001</v>
      </c>
      <c r="J337">
        <f t="shared" si="39"/>
        <v>0.55000000000000004</v>
      </c>
      <c r="K337">
        <f t="shared" si="40"/>
        <v>0.22389999999999999</v>
      </c>
      <c r="L337">
        <f t="shared" si="41"/>
        <v>18</v>
      </c>
      <c r="M337">
        <f t="shared" si="42"/>
        <v>54</v>
      </c>
      <c r="N337" t="str">
        <f t="shared" si="44"/>
        <v>Day Shift</v>
      </c>
    </row>
    <row r="338" spans="1:14" x14ac:dyDescent="0.3">
      <c r="A338" s="3">
        <v>337</v>
      </c>
      <c r="B338" s="4">
        <v>40558</v>
      </c>
      <c r="C338" s="3">
        <v>12</v>
      </c>
      <c r="D338" s="3" t="b">
        <v>0</v>
      </c>
      <c r="E338" s="3">
        <v>6</v>
      </c>
      <c r="F338" s="3">
        <v>1</v>
      </c>
      <c r="G338" s="3">
        <v>0.24</v>
      </c>
      <c r="H338" t="str">
        <f t="shared" si="43"/>
        <v>Sat</v>
      </c>
      <c r="I338">
        <f t="shared" si="38"/>
        <v>0.2273</v>
      </c>
      <c r="J338">
        <f t="shared" si="39"/>
        <v>0.48</v>
      </c>
      <c r="K338">
        <f t="shared" si="40"/>
        <v>0.22389999999999999</v>
      </c>
      <c r="L338">
        <f t="shared" si="41"/>
        <v>15</v>
      </c>
      <c r="M338">
        <f t="shared" si="42"/>
        <v>74</v>
      </c>
      <c r="N338" t="str">
        <f t="shared" si="44"/>
        <v>Day Shift</v>
      </c>
    </row>
    <row r="339" spans="1:14" x14ac:dyDescent="0.3">
      <c r="A339" s="3">
        <v>338</v>
      </c>
      <c r="B339" s="4">
        <v>40558</v>
      </c>
      <c r="C339" s="3">
        <v>13</v>
      </c>
      <c r="D339" s="3" t="b">
        <v>0</v>
      </c>
      <c r="E339" s="3">
        <v>6</v>
      </c>
      <c r="F339" s="3">
        <v>1</v>
      </c>
      <c r="G339" s="3">
        <v>0.28000000000000003</v>
      </c>
      <c r="H339" t="str">
        <f t="shared" si="43"/>
        <v>Sat</v>
      </c>
      <c r="I339">
        <f t="shared" si="38"/>
        <v>0.2576</v>
      </c>
      <c r="J339">
        <f t="shared" si="39"/>
        <v>0.38</v>
      </c>
      <c r="K339">
        <f t="shared" si="40"/>
        <v>0.29849999999999999</v>
      </c>
      <c r="L339">
        <f t="shared" si="41"/>
        <v>21</v>
      </c>
      <c r="M339">
        <f t="shared" si="42"/>
        <v>80</v>
      </c>
      <c r="N339" t="str">
        <f t="shared" si="44"/>
        <v>Day Shift</v>
      </c>
    </row>
    <row r="340" spans="1:14" x14ac:dyDescent="0.3">
      <c r="A340" s="3">
        <v>339</v>
      </c>
      <c r="B340" s="4">
        <v>40558</v>
      </c>
      <c r="C340" s="3">
        <v>14</v>
      </c>
      <c r="D340" s="3" t="b">
        <v>0</v>
      </c>
      <c r="E340" s="3">
        <v>6</v>
      </c>
      <c r="F340" s="3">
        <v>1</v>
      </c>
      <c r="G340" s="3">
        <v>0.3</v>
      </c>
      <c r="H340" t="str">
        <f t="shared" si="43"/>
        <v>Sat</v>
      </c>
      <c r="I340">
        <f t="shared" si="38"/>
        <v>0.28789999999999999</v>
      </c>
      <c r="J340">
        <f t="shared" si="39"/>
        <v>0.39</v>
      </c>
      <c r="K340">
        <f t="shared" si="40"/>
        <v>0.28360000000000002</v>
      </c>
      <c r="L340">
        <f t="shared" si="41"/>
        <v>26</v>
      </c>
      <c r="M340">
        <f t="shared" si="42"/>
        <v>92</v>
      </c>
      <c r="N340" t="str">
        <f t="shared" si="44"/>
        <v>Day Shift</v>
      </c>
    </row>
    <row r="341" spans="1:14" x14ac:dyDescent="0.3">
      <c r="A341" s="3">
        <v>340</v>
      </c>
      <c r="B341" s="4">
        <v>40558</v>
      </c>
      <c r="C341" s="3">
        <v>15</v>
      </c>
      <c r="D341" s="3" t="b">
        <v>0</v>
      </c>
      <c r="E341" s="3">
        <v>6</v>
      </c>
      <c r="F341" s="3">
        <v>2</v>
      </c>
      <c r="G341" s="3">
        <v>0.32</v>
      </c>
      <c r="H341" t="str">
        <f t="shared" si="43"/>
        <v>Sat</v>
      </c>
      <c r="I341">
        <f t="shared" si="38"/>
        <v>0.31819999999999998</v>
      </c>
      <c r="J341">
        <f t="shared" si="39"/>
        <v>0.36</v>
      </c>
      <c r="K341">
        <f t="shared" si="40"/>
        <v>0.19400000000000001</v>
      </c>
      <c r="L341">
        <f t="shared" si="41"/>
        <v>21</v>
      </c>
      <c r="M341">
        <f t="shared" si="42"/>
        <v>108</v>
      </c>
      <c r="N341" t="str">
        <f t="shared" si="44"/>
        <v>Day Shift</v>
      </c>
    </row>
    <row r="342" spans="1:14" x14ac:dyDescent="0.3">
      <c r="A342" s="3">
        <v>341</v>
      </c>
      <c r="B342" s="4">
        <v>40558</v>
      </c>
      <c r="C342" s="3">
        <v>16</v>
      </c>
      <c r="D342" s="3" t="b">
        <v>0</v>
      </c>
      <c r="E342" s="3">
        <v>6</v>
      </c>
      <c r="F342" s="3">
        <v>2</v>
      </c>
      <c r="G342" s="3">
        <v>0.34</v>
      </c>
      <c r="H342" t="str">
        <f t="shared" si="43"/>
        <v>Sat</v>
      </c>
      <c r="I342">
        <f t="shared" si="38"/>
        <v>0.33329999999999999</v>
      </c>
      <c r="J342">
        <f t="shared" si="39"/>
        <v>0.34</v>
      </c>
      <c r="K342">
        <f t="shared" si="40"/>
        <v>0.19400000000000001</v>
      </c>
      <c r="L342">
        <f t="shared" si="41"/>
        <v>33</v>
      </c>
      <c r="M342">
        <f t="shared" si="42"/>
        <v>95</v>
      </c>
      <c r="N342" t="str">
        <f t="shared" si="44"/>
        <v>Day Shift</v>
      </c>
    </row>
    <row r="343" spans="1:14" x14ac:dyDescent="0.3">
      <c r="A343" s="3">
        <v>342</v>
      </c>
      <c r="B343" s="4">
        <v>40558</v>
      </c>
      <c r="C343" s="3">
        <v>17</v>
      </c>
      <c r="D343" s="3" t="b">
        <v>0</v>
      </c>
      <c r="E343" s="3">
        <v>6</v>
      </c>
      <c r="F343" s="3">
        <v>2</v>
      </c>
      <c r="G343" s="3">
        <v>0.32</v>
      </c>
      <c r="H343" t="str">
        <f t="shared" si="43"/>
        <v>Sat</v>
      </c>
      <c r="I343">
        <f t="shared" si="38"/>
        <v>0.30299999999999999</v>
      </c>
      <c r="J343">
        <f t="shared" si="39"/>
        <v>0.36</v>
      </c>
      <c r="K343">
        <f t="shared" si="40"/>
        <v>0.28360000000000002</v>
      </c>
      <c r="L343">
        <f t="shared" si="41"/>
        <v>29</v>
      </c>
      <c r="M343">
        <f t="shared" si="42"/>
        <v>54</v>
      </c>
      <c r="N343" t="str">
        <f t="shared" si="44"/>
        <v>Day Shift</v>
      </c>
    </row>
    <row r="344" spans="1:14" x14ac:dyDescent="0.3">
      <c r="A344" s="3">
        <v>343</v>
      </c>
      <c r="B344" s="4">
        <v>40558</v>
      </c>
      <c r="C344" s="3">
        <v>18</v>
      </c>
      <c r="D344" s="3" t="b">
        <v>0</v>
      </c>
      <c r="E344" s="3">
        <v>6</v>
      </c>
      <c r="F344" s="3">
        <v>2</v>
      </c>
      <c r="G344" s="3">
        <v>0.3</v>
      </c>
      <c r="H344" t="str">
        <f t="shared" si="43"/>
        <v>Sat</v>
      </c>
      <c r="I344">
        <f t="shared" si="38"/>
        <v>0.28789999999999999</v>
      </c>
      <c r="J344">
        <f t="shared" si="39"/>
        <v>0.45</v>
      </c>
      <c r="K344">
        <f t="shared" si="40"/>
        <v>0.25369999999999998</v>
      </c>
      <c r="L344">
        <f t="shared" si="41"/>
        <v>15</v>
      </c>
      <c r="M344">
        <f t="shared" si="42"/>
        <v>69</v>
      </c>
      <c r="N344" t="str">
        <f t="shared" si="44"/>
        <v>Day Shift</v>
      </c>
    </row>
    <row r="345" spans="1:14" x14ac:dyDescent="0.3">
      <c r="A345" s="3">
        <v>344</v>
      </c>
      <c r="B345" s="4">
        <v>40558</v>
      </c>
      <c r="C345" s="3">
        <v>19</v>
      </c>
      <c r="D345" s="3" t="b">
        <v>0</v>
      </c>
      <c r="E345" s="3">
        <v>6</v>
      </c>
      <c r="F345" s="3">
        <v>2</v>
      </c>
      <c r="G345" s="3">
        <v>0.32</v>
      </c>
      <c r="H345" t="str">
        <f t="shared" si="43"/>
        <v>Sat</v>
      </c>
      <c r="I345">
        <f t="shared" si="38"/>
        <v>0.30299999999999999</v>
      </c>
      <c r="J345">
        <f t="shared" si="39"/>
        <v>0.39</v>
      </c>
      <c r="K345">
        <f t="shared" si="40"/>
        <v>0.25369999999999998</v>
      </c>
      <c r="L345">
        <f t="shared" si="41"/>
        <v>14</v>
      </c>
      <c r="M345">
        <f t="shared" si="42"/>
        <v>60</v>
      </c>
      <c r="N345" t="str">
        <f t="shared" si="44"/>
        <v>Night shift</v>
      </c>
    </row>
    <row r="346" spans="1:14" x14ac:dyDescent="0.3">
      <c r="A346" s="3">
        <v>345</v>
      </c>
      <c r="B346" s="4">
        <v>40558</v>
      </c>
      <c r="C346" s="3">
        <v>20</v>
      </c>
      <c r="D346" s="3" t="b">
        <v>0</v>
      </c>
      <c r="E346" s="3">
        <v>6</v>
      </c>
      <c r="F346" s="3">
        <v>2</v>
      </c>
      <c r="G346" s="3">
        <v>0.32</v>
      </c>
      <c r="H346" t="str">
        <f t="shared" si="43"/>
        <v>Sat</v>
      </c>
      <c r="I346">
        <f t="shared" si="38"/>
        <v>0.30299999999999999</v>
      </c>
      <c r="J346">
        <f t="shared" si="39"/>
        <v>0.39</v>
      </c>
      <c r="K346">
        <f t="shared" si="40"/>
        <v>0.25369999999999998</v>
      </c>
      <c r="L346">
        <f t="shared" si="41"/>
        <v>6</v>
      </c>
      <c r="M346">
        <f t="shared" si="42"/>
        <v>35</v>
      </c>
      <c r="N346" t="str">
        <f t="shared" si="44"/>
        <v>Night shift</v>
      </c>
    </row>
    <row r="347" spans="1:14" x14ac:dyDescent="0.3">
      <c r="A347" s="3">
        <v>346</v>
      </c>
      <c r="B347" s="4">
        <v>40558</v>
      </c>
      <c r="C347" s="3">
        <v>21</v>
      </c>
      <c r="D347" s="3" t="b">
        <v>0</v>
      </c>
      <c r="E347" s="3">
        <v>6</v>
      </c>
      <c r="F347" s="3">
        <v>2</v>
      </c>
      <c r="G347" s="3">
        <v>0.32</v>
      </c>
      <c r="H347" t="str">
        <f t="shared" si="43"/>
        <v>Sat</v>
      </c>
      <c r="I347">
        <f t="shared" si="38"/>
        <v>0.30299999999999999</v>
      </c>
      <c r="J347">
        <f t="shared" si="39"/>
        <v>0.39</v>
      </c>
      <c r="K347">
        <f t="shared" si="40"/>
        <v>0.22389999999999999</v>
      </c>
      <c r="L347">
        <f t="shared" si="41"/>
        <v>6</v>
      </c>
      <c r="M347">
        <f t="shared" si="42"/>
        <v>51</v>
      </c>
      <c r="N347" t="str">
        <f t="shared" si="44"/>
        <v>Night shift</v>
      </c>
    </row>
    <row r="348" spans="1:14" x14ac:dyDescent="0.3">
      <c r="A348" s="3">
        <v>347</v>
      </c>
      <c r="B348" s="4">
        <v>40558</v>
      </c>
      <c r="C348" s="3">
        <v>22</v>
      </c>
      <c r="D348" s="3" t="b">
        <v>0</v>
      </c>
      <c r="E348" s="3">
        <v>6</v>
      </c>
      <c r="F348" s="3">
        <v>2</v>
      </c>
      <c r="G348" s="3">
        <v>0.3</v>
      </c>
      <c r="H348" t="str">
        <f t="shared" si="43"/>
        <v>Sat</v>
      </c>
      <c r="I348">
        <f t="shared" si="38"/>
        <v>0.31819999999999998</v>
      </c>
      <c r="J348">
        <f t="shared" si="39"/>
        <v>0.42</v>
      </c>
      <c r="K348">
        <f t="shared" si="40"/>
        <v>0.1045</v>
      </c>
      <c r="L348">
        <f t="shared" si="41"/>
        <v>0</v>
      </c>
      <c r="M348">
        <f t="shared" si="42"/>
        <v>26</v>
      </c>
      <c r="N348" t="str">
        <f t="shared" si="44"/>
        <v>Night shift</v>
      </c>
    </row>
    <row r="349" spans="1:14" x14ac:dyDescent="0.3">
      <c r="A349" s="3">
        <v>348</v>
      </c>
      <c r="B349" s="4">
        <v>40558</v>
      </c>
      <c r="C349" s="3">
        <v>23</v>
      </c>
      <c r="D349" s="3" t="b">
        <v>0</v>
      </c>
      <c r="E349" s="3">
        <v>6</v>
      </c>
      <c r="F349" s="3">
        <v>1</v>
      </c>
      <c r="G349" s="3">
        <v>0.3</v>
      </c>
      <c r="H349" t="str">
        <f t="shared" si="43"/>
        <v>Sat</v>
      </c>
      <c r="I349">
        <f t="shared" si="38"/>
        <v>0.28789999999999999</v>
      </c>
      <c r="J349">
        <f t="shared" si="39"/>
        <v>0.45</v>
      </c>
      <c r="K349">
        <f t="shared" si="40"/>
        <v>0.28360000000000002</v>
      </c>
      <c r="L349">
        <f t="shared" si="41"/>
        <v>5</v>
      </c>
      <c r="M349">
        <f t="shared" si="42"/>
        <v>39</v>
      </c>
      <c r="N349" t="str">
        <f t="shared" si="44"/>
        <v>Night shift</v>
      </c>
    </row>
    <row r="350" spans="1:14" x14ac:dyDescent="0.3">
      <c r="A350" s="3">
        <v>349</v>
      </c>
      <c r="B350" s="4">
        <v>40559</v>
      </c>
      <c r="C350" s="3">
        <v>0</v>
      </c>
      <c r="D350" s="3" t="b">
        <v>0</v>
      </c>
      <c r="E350" s="3">
        <v>0</v>
      </c>
      <c r="F350" s="3">
        <v>1</v>
      </c>
      <c r="G350" s="3">
        <v>0.26</v>
      </c>
      <c r="H350" t="str">
        <f t="shared" si="43"/>
        <v>Sun</v>
      </c>
      <c r="I350">
        <f t="shared" si="38"/>
        <v>0.30299999999999999</v>
      </c>
      <c r="J350">
        <f t="shared" si="39"/>
        <v>0.56000000000000005</v>
      </c>
      <c r="K350">
        <f t="shared" si="40"/>
        <v>0</v>
      </c>
      <c r="L350">
        <f t="shared" si="41"/>
        <v>6</v>
      </c>
      <c r="M350">
        <f t="shared" si="42"/>
        <v>33</v>
      </c>
      <c r="N350" t="str">
        <f t="shared" si="44"/>
        <v>Night shift</v>
      </c>
    </row>
    <row r="351" spans="1:14" x14ac:dyDescent="0.3">
      <c r="A351" s="3">
        <v>350</v>
      </c>
      <c r="B351" s="4">
        <v>40559</v>
      </c>
      <c r="C351" s="3">
        <v>1</v>
      </c>
      <c r="D351" s="3" t="b">
        <v>0</v>
      </c>
      <c r="E351" s="3">
        <v>0</v>
      </c>
      <c r="F351" s="3">
        <v>1</v>
      </c>
      <c r="G351" s="3">
        <v>0.26</v>
      </c>
      <c r="H351" t="str">
        <f t="shared" si="43"/>
        <v>Sun</v>
      </c>
      <c r="I351">
        <f t="shared" si="38"/>
        <v>0.2727</v>
      </c>
      <c r="J351">
        <f t="shared" si="39"/>
        <v>0.56000000000000005</v>
      </c>
      <c r="K351">
        <f t="shared" si="40"/>
        <v>0.1343</v>
      </c>
      <c r="L351">
        <f t="shared" si="41"/>
        <v>4</v>
      </c>
      <c r="M351">
        <f t="shared" si="42"/>
        <v>19</v>
      </c>
      <c r="N351" t="str">
        <f t="shared" si="44"/>
        <v>Night shift</v>
      </c>
    </row>
    <row r="352" spans="1:14" x14ac:dyDescent="0.3">
      <c r="A352" s="3">
        <v>351</v>
      </c>
      <c r="B352" s="4">
        <v>40559</v>
      </c>
      <c r="C352" s="3">
        <v>2</v>
      </c>
      <c r="D352" s="3" t="b">
        <v>0</v>
      </c>
      <c r="E352" s="3">
        <v>0</v>
      </c>
      <c r="F352" s="3">
        <v>1</v>
      </c>
      <c r="G352" s="3">
        <v>0.26</v>
      </c>
      <c r="H352" t="str">
        <f t="shared" si="43"/>
        <v>Sun</v>
      </c>
      <c r="I352">
        <f t="shared" si="38"/>
        <v>0.28789999999999999</v>
      </c>
      <c r="J352">
        <f t="shared" si="39"/>
        <v>0.56000000000000005</v>
      </c>
      <c r="K352">
        <f t="shared" si="40"/>
        <v>8.9599999999999999E-2</v>
      </c>
      <c r="L352">
        <f t="shared" si="41"/>
        <v>3</v>
      </c>
      <c r="M352">
        <f t="shared" si="42"/>
        <v>13</v>
      </c>
      <c r="N352" t="str">
        <f t="shared" si="44"/>
        <v>Night shift</v>
      </c>
    </row>
    <row r="353" spans="1:14" x14ac:dyDescent="0.3">
      <c r="A353" s="3">
        <v>352</v>
      </c>
      <c r="B353" s="4">
        <v>40559</v>
      </c>
      <c r="C353" s="3">
        <v>3</v>
      </c>
      <c r="D353" s="3" t="b">
        <v>0</v>
      </c>
      <c r="E353" s="3">
        <v>0</v>
      </c>
      <c r="F353" s="3">
        <v>1</v>
      </c>
      <c r="G353" s="3">
        <v>0.22</v>
      </c>
      <c r="H353" t="str">
        <f t="shared" si="43"/>
        <v>Sun</v>
      </c>
      <c r="I353">
        <f t="shared" si="38"/>
        <v>0.2727</v>
      </c>
      <c r="J353">
        <f t="shared" si="39"/>
        <v>0.69</v>
      </c>
      <c r="K353">
        <f t="shared" si="40"/>
        <v>0</v>
      </c>
      <c r="L353">
        <f t="shared" si="41"/>
        <v>9</v>
      </c>
      <c r="M353">
        <f t="shared" si="42"/>
        <v>6</v>
      </c>
      <c r="N353" t="str">
        <f t="shared" si="44"/>
        <v>Night shift</v>
      </c>
    </row>
    <row r="354" spans="1:14" x14ac:dyDescent="0.3">
      <c r="A354" s="3">
        <v>353</v>
      </c>
      <c r="B354" s="4">
        <v>40559</v>
      </c>
      <c r="C354" s="3">
        <v>4</v>
      </c>
      <c r="D354" s="3" t="b">
        <v>0</v>
      </c>
      <c r="E354" s="3">
        <v>0</v>
      </c>
      <c r="F354" s="3">
        <v>1</v>
      </c>
      <c r="G354" s="3">
        <v>0.26</v>
      </c>
      <c r="H354" t="str">
        <f t="shared" si="43"/>
        <v>Sun</v>
      </c>
      <c r="I354">
        <f t="shared" si="38"/>
        <v>0.2576</v>
      </c>
      <c r="J354">
        <f t="shared" si="39"/>
        <v>0.56000000000000005</v>
      </c>
      <c r="K354">
        <f t="shared" si="40"/>
        <v>0.16420000000000001</v>
      </c>
      <c r="L354">
        <f t="shared" si="41"/>
        <v>0</v>
      </c>
      <c r="M354">
        <f t="shared" si="42"/>
        <v>1</v>
      </c>
      <c r="N354" t="str">
        <f t="shared" si="44"/>
        <v>Night shift</v>
      </c>
    </row>
    <row r="355" spans="1:14" x14ac:dyDescent="0.3">
      <c r="A355" s="3">
        <v>354</v>
      </c>
      <c r="B355" s="4">
        <v>40559</v>
      </c>
      <c r="C355" s="3">
        <v>5</v>
      </c>
      <c r="D355" s="3" t="b">
        <v>0</v>
      </c>
      <c r="E355" s="3">
        <v>0</v>
      </c>
      <c r="F355" s="3">
        <v>2</v>
      </c>
      <c r="G355" s="3">
        <v>0.26</v>
      </c>
      <c r="H355" t="str">
        <f t="shared" si="43"/>
        <v>Sun</v>
      </c>
      <c r="I355">
        <f t="shared" si="38"/>
        <v>0.2576</v>
      </c>
      <c r="J355">
        <f t="shared" si="39"/>
        <v>0.56000000000000005</v>
      </c>
      <c r="K355">
        <f t="shared" si="40"/>
        <v>0.16420000000000001</v>
      </c>
      <c r="L355">
        <f t="shared" si="41"/>
        <v>1</v>
      </c>
      <c r="M355">
        <f t="shared" si="42"/>
        <v>1</v>
      </c>
      <c r="N355" t="str">
        <f t="shared" si="44"/>
        <v>Night shift</v>
      </c>
    </row>
    <row r="356" spans="1:14" x14ac:dyDescent="0.3">
      <c r="A356" s="3">
        <v>355</v>
      </c>
      <c r="B356" s="4">
        <v>40559</v>
      </c>
      <c r="C356" s="3">
        <v>6</v>
      </c>
      <c r="D356" s="3" t="b">
        <v>0</v>
      </c>
      <c r="E356" s="3">
        <v>0</v>
      </c>
      <c r="F356" s="3">
        <v>2</v>
      </c>
      <c r="G356" s="3">
        <v>0.26</v>
      </c>
      <c r="H356" t="str">
        <f t="shared" si="43"/>
        <v>Sun</v>
      </c>
      <c r="I356">
        <f t="shared" si="38"/>
        <v>0.2576</v>
      </c>
      <c r="J356">
        <f t="shared" si="39"/>
        <v>0.56000000000000005</v>
      </c>
      <c r="K356">
        <f t="shared" si="40"/>
        <v>0.16420000000000001</v>
      </c>
      <c r="L356">
        <f t="shared" si="41"/>
        <v>0</v>
      </c>
      <c r="M356">
        <f t="shared" si="42"/>
        <v>1</v>
      </c>
      <c r="N356" t="str">
        <f t="shared" si="44"/>
        <v>Day Shift</v>
      </c>
    </row>
    <row r="357" spans="1:14" x14ac:dyDescent="0.3">
      <c r="A357" s="3">
        <v>356</v>
      </c>
      <c r="B357" s="4">
        <v>40559</v>
      </c>
      <c r="C357" s="3">
        <v>7</v>
      </c>
      <c r="D357" s="3" t="b">
        <v>0</v>
      </c>
      <c r="E357" s="3">
        <v>0</v>
      </c>
      <c r="F357" s="3">
        <v>2</v>
      </c>
      <c r="G357" s="3">
        <v>0.24</v>
      </c>
      <c r="H357" t="str">
        <f t="shared" si="43"/>
        <v>Sun</v>
      </c>
      <c r="I357">
        <f t="shared" si="38"/>
        <v>0.21210000000000001</v>
      </c>
      <c r="J357">
        <f t="shared" si="39"/>
        <v>0.56000000000000005</v>
      </c>
      <c r="K357">
        <f t="shared" si="40"/>
        <v>0.29849999999999999</v>
      </c>
      <c r="L357">
        <f t="shared" si="41"/>
        <v>0</v>
      </c>
      <c r="M357">
        <f t="shared" si="42"/>
        <v>3</v>
      </c>
      <c r="N357" t="str">
        <f t="shared" si="44"/>
        <v>Day Shift</v>
      </c>
    </row>
    <row r="358" spans="1:14" x14ac:dyDescent="0.3">
      <c r="A358" s="3">
        <v>357</v>
      </c>
      <c r="B358" s="4">
        <v>40559</v>
      </c>
      <c r="C358" s="3">
        <v>8</v>
      </c>
      <c r="D358" s="3" t="b">
        <v>0</v>
      </c>
      <c r="E358" s="3">
        <v>0</v>
      </c>
      <c r="F358" s="3">
        <v>1</v>
      </c>
      <c r="G358" s="3">
        <v>0.22</v>
      </c>
      <c r="H358" t="str">
        <f t="shared" si="43"/>
        <v>Sun</v>
      </c>
      <c r="I358">
        <f t="shared" si="38"/>
        <v>0.21210000000000001</v>
      </c>
      <c r="J358">
        <f t="shared" si="39"/>
        <v>0.55000000000000004</v>
      </c>
      <c r="K358">
        <f t="shared" si="40"/>
        <v>0.28360000000000002</v>
      </c>
      <c r="L358">
        <f t="shared" si="41"/>
        <v>0</v>
      </c>
      <c r="M358">
        <f t="shared" si="42"/>
        <v>18</v>
      </c>
      <c r="N358" t="str">
        <f t="shared" si="44"/>
        <v>Day Shift</v>
      </c>
    </row>
    <row r="359" spans="1:14" x14ac:dyDescent="0.3">
      <c r="A359" s="3">
        <v>358</v>
      </c>
      <c r="B359" s="4">
        <v>40559</v>
      </c>
      <c r="C359" s="3">
        <v>9</v>
      </c>
      <c r="D359" s="3" t="b">
        <v>0</v>
      </c>
      <c r="E359" s="3">
        <v>0</v>
      </c>
      <c r="F359" s="3">
        <v>1</v>
      </c>
      <c r="G359" s="3">
        <v>0.22</v>
      </c>
      <c r="H359" t="str">
        <f t="shared" si="43"/>
        <v>Sun</v>
      </c>
      <c r="I359">
        <f t="shared" si="38"/>
        <v>0.21210000000000001</v>
      </c>
      <c r="J359">
        <f t="shared" si="39"/>
        <v>0.51</v>
      </c>
      <c r="K359">
        <f t="shared" si="40"/>
        <v>0.25369999999999998</v>
      </c>
      <c r="L359">
        <f t="shared" si="41"/>
        <v>3</v>
      </c>
      <c r="M359">
        <f t="shared" si="42"/>
        <v>29</v>
      </c>
      <c r="N359" t="str">
        <f t="shared" si="44"/>
        <v>Day Shift</v>
      </c>
    </row>
    <row r="360" spans="1:14" x14ac:dyDescent="0.3">
      <c r="A360" s="3">
        <v>359</v>
      </c>
      <c r="B360" s="4">
        <v>40559</v>
      </c>
      <c r="C360" s="3">
        <v>10</v>
      </c>
      <c r="D360" s="3" t="b">
        <v>0</v>
      </c>
      <c r="E360" s="3">
        <v>0</v>
      </c>
      <c r="F360" s="3">
        <v>1</v>
      </c>
      <c r="G360" s="3">
        <v>0.22</v>
      </c>
      <c r="H360" t="str">
        <f t="shared" si="43"/>
        <v>Sun</v>
      </c>
      <c r="I360">
        <f t="shared" si="38"/>
        <v>0.21210000000000001</v>
      </c>
      <c r="J360">
        <f t="shared" si="39"/>
        <v>0.51</v>
      </c>
      <c r="K360">
        <f t="shared" si="40"/>
        <v>0.28360000000000002</v>
      </c>
      <c r="L360">
        <f t="shared" si="41"/>
        <v>8</v>
      </c>
      <c r="M360">
        <f t="shared" si="42"/>
        <v>71</v>
      </c>
      <c r="N360" t="str">
        <f t="shared" si="44"/>
        <v>Day Shift</v>
      </c>
    </row>
    <row r="361" spans="1:14" x14ac:dyDescent="0.3">
      <c r="A361" s="3">
        <v>360</v>
      </c>
      <c r="B361" s="4">
        <v>40559</v>
      </c>
      <c r="C361" s="3">
        <v>11</v>
      </c>
      <c r="D361" s="3" t="b">
        <v>0</v>
      </c>
      <c r="E361" s="3">
        <v>0</v>
      </c>
      <c r="F361" s="3">
        <v>1</v>
      </c>
      <c r="G361" s="3">
        <v>0.24</v>
      </c>
      <c r="H361" t="str">
        <f t="shared" si="43"/>
        <v>Sun</v>
      </c>
      <c r="I361">
        <f t="shared" si="38"/>
        <v>0.2273</v>
      </c>
      <c r="J361">
        <f t="shared" si="39"/>
        <v>0.44</v>
      </c>
      <c r="K361">
        <f t="shared" si="40"/>
        <v>0.25369999999999998</v>
      </c>
      <c r="L361">
        <f t="shared" si="41"/>
        <v>23</v>
      </c>
      <c r="M361">
        <f t="shared" si="42"/>
        <v>70</v>
      </c>
      <c r="N361" t="str">
        <f t="shared" si="44"/>
        <v>Day Shift</v>
      </c>
    </row>
    <row r="362" spans="1:14" x14ac:dyDescent="0.3">
      <c r="A362" s="3">
        <v>361</v>
      </c>
      <c r="B362" s="4">
        <v>40559</v>
      </c>
      <c r="C362" s="3">
        <v>12</v>
      </c>
      <c r="D362" s="3" t="b">
        <v>0</v>
      </c>
      <c r="E362" s="3">
        <v>0</v>
      </c>
      <c r="F362" s="3">
        <v>1</v>
      </c>
      <c r="G362" s="3">
        <v>0.24</v>
      </c>
      <c r="H362" t="str">
        <f t="shared" si="43"/>
        <v>Sun</v>
      </c>
      <c r="I362">
        <f t="shared" si="38"/>
        <v>0.21210000000000001</v>
      </c>
      <c r="J362">
        <f t="shared" si="39"/>
        <v>0.41</v>
      </c>
      <c r="K362">
        <f t="shared" si="40"/>
        <v>0.28360000000000002</v>
      </c>
      <c r="L362">
        <f t="shared" si="41"/>
        <v>29</v>
      </c>
      <c r="M362">
        <f t="shared" si="42"/>
        <v>75</v>
      </c>
      <c r="N362" t="str">
        <f t="shared" si="44"/>
        <v>Day Shift</v>
      </c>
    </row>
    <row r="363" spans="1:14" x14ac:dyDescent="0.3">
      <c r="A363" s="3">
        <v>362</v>
      </c>
      <c r="B363" s="4">
        <v>40559</v>
      </c>
      <c r="C363" s="3">
        <v>13</v>
      </c>
      <c r="D363" s="3" t="b">
        <v>0</v>
      </c>
      <c r="E363" s="3">
        <v>0</v>
      </c>
      <c r="F363" s="3">
        <v>1</v>
      </c>
      <c r="G363" s="3">
        <v>0.26</v>
      </c>
      <c r="H363" t="str">
        <f t="shared" si="43"/>
        <v>Sun</v>
      </c>
      <c r="I363">
        <f t="shared" si="38"/>
        <v>0.2273</v>
      </c>
      <c r="J363">
        <f t="shared" si="39"/>
        <v>0.35</v>
      </c>
      <c r="K363">
        <f t="shared" si="40"/>
        <v>0.29849999999999999</v>
      </c>
      <c r="L363">
        <f t="shared" si="41"/>
        <v>23</v>
      </c>
      <c r="M363">
        <f t="shared" si="42"/>
        <v>95</v>
      </c>
      <c r="N363" t="str">
        <f t="shared" si="44"/>
        <v>Day Shift</v>
      </c>
    </row>
    <row r="364" spans="1:14" x14ac:dyDescent="0.3">
      <c r="A364" s="3">
        <v>363</v>
      </c>
      <c r="B364" s="4">
        <v>40559</v>
      </c>
      <c r="C364" s="3">
        <v>14</v>
      </c>
      <c r="D364" s="3" t="b">
        <v>0</v>
      </c>
      <c r="E364" s="3">
        <v>0</v>
      </c>
      <c r="F364" s="3">
        <v>1</v>
      </c>
      <c r="G364" s="3">
        <v>0.28000000000000003</v>
      </c>
      <c r="H364" t="str">
        <f t="shared" si="43"/>
        <v>Sun</v>
      </c>
      <c r="I364">
        <f t="shared" si="38"/>
        <v>0.2727</v>
      </c>
      <c r="J364">
        <f t="shared" si="39"/>
        <v>0.36</v>
      </c>
      <c r="K364">
        <f t="shared" si="40"/>
        <v>0.25369999999999998</v>
      </c>
      <c r="L364">
        <f t="shared" si="41"/>
        <v>22</v>
      </c>
      <c r="M364">
        <f t="shared" si="42"/>
        <v>69</v>
      </c>
      <c r="N364" t="str">
        <f t="shared" si="44"/>
        <v>Day Shift</v>
      </c>
    </row>
    <row r="365" spans="1:14" x14ac:dyDescent="0.3">
      <c r="A365" s="3">
        <v>364</v>
      </c>
      <c r="B365" s="4">
        <v>40559</v>
      </c>
      <c r="C365" s="3">
        <v>15</v>
      </c>
      <c r="D365" s="3" t="b">
        <v>0</v>
      </c>
      <c r="E365" s="3">
        <v>0</v>
      </c>
      <c r="F365" s="3">
        <v>1</v>
      </c>
      <c r="G365" s="3">
        <v>0.26</v>
      </c>
      <c r="H365" t="str">
        <f t="shared" si="43"/>
        <v>Sun</v>
      </c>
      <c r="I365">
        <f t="shared" si="38"/>
        <v>0.2424</v>
      </c>
      <c r="J365">
        <f t="shared" si="39"/>
        <v>0.38</v>
      </c>
      <c r="K365">
        <f t="shared" si="40"/>
        <v>0.25369999999999998</v>
      </c>
      <c r="L365">
        <f t="shared" si="41"/>
        <v>35</v>
      </c>
      <c r="M365">
        <f t="shared" si="42"/>
        <v>78</v>
      </c>
      <c r="N365" t="str">
        <f t="shared" si="44"/>
        <v>Day Shift</v>
      </c>
    </row>
    <row r="366" spans="1:14" x14ac:dyDescent="0.3">
      <c r="A366" s="3">
        <v>365</v>
      </c>
      <c r="B366" s="4">
        <v>40559</v>
      </c>
      <c r="C366" s="3">
        <v>16</v>
      </c>
      <c r="D366" s="3" t="b">
        <v>0</v>
      </c>
      <c r="E366" s="3">
        <v>0</v>
      </c>
      <c r="F366" s="3">
        <v>1</v>
      </c>
      <c r="G366" s="3">
        <v>0.24</v>
      </c>
      <c r="H366" t="str">
        <f t="shared" si="43"/>
        <v>Sun</v>
      </c>
      <c r="I366">
        <f t="shared" si="38"/>
        <v>0.2273</v>
      </c>
      <c r="J366">
        <f t="shared" si="39"/>
        <v>0.38</v>
      </c>
      <c r="K366">
        <f t="shared" si="40"/>
        <v>0.22389999999999999</v>
      </c>
      <c r="L366">
        <f t="shared" si="41"/>
        <v>22</v>
      </c>
      <c r="M366">
        <f t="shared" si="42"/>
        <v>77</v>
      </c>
      <c r="N366" t="str">
        <f t="shared" si="44"/>
        <v>Day Shift</v>
      </c>
    </row>
    <row r="367" spans="1:14" x14ac:dyDescent="0.3">
      <c r="A367" s="3">
        <v>366</v>
      </c>
      <c r="B367" s="4">
        <v>40559</v>
      </c>
      <c r="C367" s="3">
        <v>17</v>
      </c>
      <c r="D367" s="3" t="b">
        <v>0</v>
      </c>
      <c r="E367" s="3">
        <v>0</v>
      </c>
      <c r="F367" s="3">
        <v>1</v>
      </c>
      <c r="G367" s="3">
        <v>0.22</v>
      </c>
      <c r="H367" t="str">
        <f t="shared" si="43"/>
        <v>Sun</v>
      </c>
      <c r="I367">
        <f t="shared" si="38"/>
        <v>0.21210000000000001</v>
      </c>
      <c r="J367">
        <f t="shared" si="39"/>
        <v>0.37</v>
      </c>
      <c r="K367">
        <f t="shared" si="40"/>
        <v>0.25369999999999998</v>
      </c>
      <c r="L367">
        <f t="shared" si="41"/>
        <v>23</v>
      </c>
      <c r="M367">
        <f t="shared" si="42"/>
        <v>82</v>
      </c>
      <c r="N367" t="str">
        <f t="shared" si="44"/>
        <v>Day Shift</v>
      </c>
    </row>
    <row r="368" spans="1:14" x14ac:dyDescent="0.3">
      <c r="A368" s="3">
        <v>367</v>
      </c>
      <c r="B368" s="4">
        <v>40559</v>
      </c>
      <c r="C368" s="3">
        <v>18</v>
      </c>
      <c r="D368" s="3" t="b">
        <v>0</v>
      </c>
      <c r="E368" s="3">
        <v>0</v>
      </c>
      <c r="F368" s="3">
        <v>1</v>
      </c>
      <c r="G368" s="3">
        <v>0.2</v>
      </c>
      <c r="H368" t="str">
        <f t="shared" si="43"/>
        <v>Sun</v>
      </c>
      <c r="I368">
        <f t="shared" si="38"/>
        <v>0.21210000000000001</v>
      </c>
      <c r="J368">
        <f t="shared" si="39"/>
        <v>0.4</v>
      </c>
      <c r="K368">
        <f t="shared" si="40"/>
        <v>0.16420000000000001</v>
      </c>
      <c r="L368">
        <f t="shared" si="41"/>
        <v>11</v>
      </c>
      <c r="M368">
        <f t="shared" si="42"/>
        <v>56</v>
      </c>
      <c r="N368" t="str">
        <f t="shared" si="44"/>
        <v>Day Shift</v>
      </c>
    </row>
    <row r="369" spans="1:14" x14ac:dyDescent="0.3">
      <c r="A369" s="3">
        <v>368</v>
      </c>
      <c r="B369" s="4">
        <v>40559</v>
      </c>
      <c r="C369" s="3">
        <v>19</v>
      </c>
      <c r="D369" s="3" t="b">
        <v>0</v>
      </c>
      <c r="E369" s="3">
        <v>0</v>
      </c>
      <c r="F369" s="3">
        <v>1</v>
      </c>
      <c r="G369" s="3">
        <v>0.18</v>
      </c>
      <c r="H369" t="str">
        <f t="shared" si="43"/>
        <v>Sun</v>
      </c>
      <c r="I369">
        <f t="shared" si="38"/>
        <v>0.19700000000000001</v>
      </c>
      <c r="J369">
        <f t="shared" si="39"/>
        <v>0.47</v>
      </c>
      <c r="K369">
        <f t="shared" si="40"/>
        <v>0.1343</v>
      </c>
      <c r="L369">
        <f t="shared" si="41"/>
        <v>14</v>
      </c>
      <c r="M369">
        <f t="shared" si="42"/>
        <v>47</v>
      </c>
      <c r="N369" t="str">
        <f t="shared" si="44"/>
        <v>Night shift</v>
      </c>
    </row>
    <row r="370" spans="1:14" x14ac:dyDescent="0.3">
      <c r="A370" s="3">
        <v>369</v>
      </c>
      <c r="B370" s="4">
        <v>40559</v>
      </c>
      <c r="C370" s="3">
        <v>20</v>
      </c>
      <c r="D370" s="3" t="b">
        <v>0</v>
      </c>
      <c r="E370" s="3">
        <v>0</v>
      </c>
      <c r="F370" s="3">
        <v>1</v>
      </c>
      <c r="G370" s="3">
        <v>0.18</v>
      </c>
      <c r="H370" t="str">
        <f t="shared" si="43"/>
        <v>Sun</v>
      </c>
      <c r="I370">
        <f t="shared" si="38"/>
        <v>0.19700000000000001</v>
      </c>
      <c r="J370">
        <f t="shared" si="39"/>
        <v>0.47</v>
      </c>
      <c r="K370">
        <f t="shared" si="40"/>
        <v>0.16420000000000001</v>
      </c>
      <c r="L370">
        <f t="shared" si="41"/>
        <v>7</v>
      </c>
      <c r="M370">
        <f t="shared" si="42"/>
        <v>50</v>
      </c>
      <c r="N370" t="str">
        <f t="shared" si="44"/>
        <v>Night shift</v>
      </c>
    </row>
    <row r="371" spans="1:14" x14ac:dyDescent="0.3">
      <c r="A371" s="3">
        <v>370</v>
      </c>
      <c r="B371" s="4">
        <v>40559</v>
      </c>
      <c r="C371" s="3">
        <v>21</v>
      </c>
      <c r="D371" s="3" t="b">
        <v>0</v>
      </c>
      <c r="E371" s="3">
        <v>0</v>
      </c>
      <c r="F371" s="3">
        <v>1</v>
      </c>
      <c r="G371" s="3">
        <v>0.18</v>
      </c>
      <c r="H371" t="str">
        <f t="shared" si="43"/>
        <v>Sun</v>
      </c>
      <c r="I371">
        <f t="shared" si="38"/>
        <v>0.19700000000000001</v>
      </c>
      <c r="J371">
        <f t="shared" si="39"/>
        <v>0.51</v>
      </c>
      <c r="K371">
        <f t="shared" si="40"/>
        <v>0.16420000000000001</v>
      </c>
      <c r="L371">
        <f t="shared" si="41"/>
        <v>6</v>
      </c>
      <c r="M371">
        <f t="shared" si="42"/>
        <v>22</v>
      </c>
      <c r="N371" t="str">
        <f t="shared" si="44"/>
        <v>Night shift</v>
      </c>
    </row>
    <row r="372" spans="1:14" x14ac:dyDescent="0.3">
      <c r="A372" s="3">
        <v>371</v>
      </c>
      <c r="B372" s="4">
        <v>40559</v>
      </c>
      <c r="C372" s="3">
        <v>22</v>
      </c>
      <c r="D372" s="3" t="b">
        <v>0</v>
      </c>
      <c r="E372" s="3">
        <v>0</v>
      </c>
      <c r="F372" s="3">
        <v>2</v>
      </c>
      <c r="G372" s="3">
        <v>0.2</v>
      </c>
      <c r="H372" t="str">
        <f t="shared" si="43"/>
        <v>Sun</v>
      </c>
      <c r="I372">
        <f t="shared" si="38"/>
        <v>0.21210000000000001</v>
      </c>
      <c r="J372">
        <f t="shared" si="39"/>
        <v>0.49</v>
      </c>
      <c r="K372">
        <f t="shared" si="40"/>
        <v>0.1343</v>
      </c>
      <c r="L372">
        <f t="shared" si="41"/>
        <v>2</v>
      </c>
      <c r="M372">
        <f t="shared" si="42"/>
        <v>19</v>
      </c>
      <c r="N372" t="str">
        <f t="shared" si="44"/>
        <v>Night shift</v>
      </c>
    </row>
    <row r="373" spans="1:14" x14ac:dyDescent="0.3">
      <c r="A373" s="3">
        <v>372</v>
      </c>
      <c r="B373" s="4">
        <v>40559</v>
      </c>
      <c r="C373" s="3">
        <v>23</v>
      </c>
      <c r="D373" s="3" t="b">
        <v>0</v>
      </c>
      <c r="E373" s="3">
        <v>0</v>
      </c>
      <c r="F373" s="3">
        <v>2</v>
      </c>
      <c r="G373" s="3">
        <v>0.2</v>
      </c>
      <c r="H373" t="str">
        <f t="shared" si="43"/>
        <v>Sun</v>
      </c>
      <c r="I373">
        <f t="shared" si="38"/>
        <v>0.2273</v>
      </c>
      <c r="J373">
        <f t="shared" si="39"/>
        <v>0.4</v>
      </c>
      <c r="K373">
        <f t="shared" si="40"/>
        <v>0.1045</v>
      </c>
      <c r="L373">
        <f t="shared" si="41"/>
        <v>0</v>
      </c>
      <c r="M373">
        <f t="shared" si="42"/>
        <v>18</v>
      </c>
      <c r="N373" t="str">
        <f t="shared" si="44"/>
        <v>Night shift</v>
      </c>
    </row>
    <row r="374" spans="1:14" x14ac:dyDescent="0.3">
      <c r="A374" s="3">
        <v>373</v>
      </c>
      <c r="B374" s="4">
        <v>40560</v>
      </c>
      <c r="C374" s="3">
        <v>0</v>
      </c>
      <c r="D374" s="3" t="b">
        <v>1</v>
      </c>
      <c r="E374" s="3">
        <v>1</v>
      </c>
      <c r="F374" s="3">
        <v>2</v>
      </c>
      <c r="G374" s="3">
        <v>0.2</v>
      </c>
      <c r="H374" t="str">
        <f t="shared" si="43"/>
        <v>Mon</v>
      </c>
      <c r="I374">
        <f t="shared" si="38"/>
        <v>0.19700000000000001</v>
      </c>
      <c r="J374">
        <f t="shared" si="39"/>
        <v>0.47</v>
      </c>
      <c r="K374">
        <f t="shared" si="40"/>
        <v>0.22389999999999999</v>
      </c>
      <c r="L374">
        <f t="shared" si="41"/>
        <v>1</v>
      </c>
      <c r="M374">
        <f t="shared" si="42"/>
        <v>16</v>
      </c>
      <c r="N374" t="str">
        <f t="shared" si="44"/>
        <v>Night shift</v>
      </c>
    </row>
    <row r="375" spans="1:14" x14ac:dyDescent="0.3">
      <c r="A375" s="3">
        <v>374</v>
      </c>
      <c r="B375" s="4">
        <v>40560</v>
      </c>
      <c r="C375" s="3">
        <v>1</v>
      </c>
      <c r="D375" s="3" t="b">
        <v>1</v>
      </c>
      <c r="E375" s="3">
        <v>1</v>
      </c>
      <c r="F375" s="3">
        <v>2</v>
      </c>
      <c r="G375" s="3">
        <v>0.2</v>
      </c>
      <c r="H375" t="str">
        <f t="shared" si="43"/>
        <v>Mon</v>
      </c>
      <c r="I375">
        <f t="shared" si="38"/>
        <v>0.19700000000000001</v>
      </c>
      <c r="J375">
        <f t="shared" si="39"/>
        <v>0.44</v>
      </c>
      <c r="K375">
        <f t="shared" si="40"/>
        <v>0.19400000000000001</v>
      </c>
      <c r="L375">
        <f t="shared" si="41"/>
        <v>1</v>
      </c>
      <c r="M375">
        <f t="shared" si="42"/>
        <v>15</v>
      </c>
      <c r="N375" t="str">
        <f t="shared" si="44"/>
        <v>Night shift</v>
      </c>
    </row>
    <row r="376" spans="1:14" x14ac:dyDescent="0.3">
      <c r="A376" s="3">
        <v>375</v>
      </c>
      <c r="B376" s="4">
        <v>40560</v>
      </c>
      <c r="C376" s="3">
        <v>2</v>
      </c>
      <c r="D376" s="3" t="b">
        <v>1</v>
      </c>
      <c r="E376" s="3">
        <v>1</v>
      </c>
      <c r="F376" s="3">
        <v>2</v>
      </c>
      <c r="G376" s="3">
        <v>0.18</v>
      </c>
      <c r="H376" t="str">
        <f t="shared" si="43"/>
        <v>Mon</v>
      </c>
      <c r="I376">
        <f t="shared" si="38"/>
        <v>0.16669999999999999</v>
      </c>
      <c r="J376">
        <f t="shared" si="39"/>
        <v>0.43</v>
      </c>
      <c r="K376">
        <f t="shared" si="40"/>
        <v>0.25369999999999998</v>
      </c>
      <c r="L376">
        <f t="shared" si="41"/>
        <v>0</v>
      </c>
      <c r="M376">
        <f t="shared" si="42"/>
        <v>8</v>
      </c>
      <c r="N376" t="str">
        <f t="shared" si="44"/>
        <v>Night shift</v>
      </c>
    </row>
    <row r="377" spans="1:14" x14ac:dyDescent="0.3">
      <c r="A377" s="3">
        <v>376</v>
      </c>
      <c r="B377" s="4">
        <v>40560</v>
      </c>
      <c r="C377" s="3">
        <v>3</v>
      </c>
      <c r="D377" s="3" t="b">
        <v>1</v>
      </c>
      <c r="E377" s="3">
        <v>1</v>
      </c>
      <c r="F377" s="3">
        <v>2</v>
      </c>
      <c r="G377" s="3">
        <v>0.18</v>
      </c>
      <c r="H377" t="str">
        <f t="shared" si="43"/>
        <v>Mon</v>
      </c>
      <c r="I377">
        <f t="shared" si="38"/>
        <v>0.18179999999999999</v>
      </c>
      <c r="J377">
        <f t="shared" si="39"/>
        <v>0.43</v>
      </c>
      <c r="K377">
        <f t="shared" si="40"/>
        <v>0.19400000000000001</v>
      </c>
      <c r="L377">
        <f t="shared" si="41"/>
        <v>0</v>
      </c>
      <c r="M377">
        <f t="shared" si="42"/>
        <v>2</v>
      </c>
      <c r="N377" t="str">
        <f t="shared" si="44"/>
        <v>Night shift</v>
      </c>
    </row>
    <row r="378" spans="1:14" x14ac:dyDescent="0.3">
      <c r="A378" s="3">
        <v>377</v>
      </c>
      <c r="B378" s="4">
        <v>40560</v>
      </c>
      <c r="C378" s="3">
        <v>4</v>
      </c>
      <c r="D378" s="3" t="b">
        <v>1</v>
      </c>
      <c r="E378" s="3">
        <v>1</v>
      </c>
      <c r="F378" s="3">
        <v>2</v>
      </c>
      <c r="G378" s="3">
        <v>0.18</v>
      </c>
      <c r="H378" t="str">
        <f t="shared" si="43"/>
        <v>Mon</v>
      </c>
      <c r="I378">
        <f t="shared" si="38"/>
        <v>0.19700000000000001</v>
      </c>
      <c r="J378">
        <f t="shared" si="39"/>
        <v>0.43</v>
      </c>
      <c r="K378">
        <f t="shared" si="40"/>
        <v>0.1343</v>
      </c>
      <c r="L378">
        <f t="shared" si="41"/>
        <v>1</v>
      </c>
      <c r="M378">
        <f t="shared" si="42"/>
        <v>2</v>
      </c>
      <c r="N378" t="str">
        <f t="shared" si="44"/>
        <v>Night shift</v>
      </c>
    </row>
    <row r="379" spans="1:14" x14ac:dyDescent="0.3">
      <c r="A379" s="3">
        <v>378</v>
      </c>
      <c r="B379" s="4">
        <v>40560</v>
      </c>
      <c r="C379" s="3">
        <v>5</v>
      </c>
      <c r="D379" s="3" t="b">
        <v>1</v>
      </c>
      <c r="E379" s="3">
        <v>1</v>
      </c>
      <c r="F379" s="3">
        <v>2</v>
      </c>
      <c r="G379" s="3">
        <v>0.18</v>
      </c>
      <c r="H379" t="str">
        <f t="shared" si="43"/>
        <v>Mon</v>
      </c>
      <c r="I379">
        <f t="shared" si="38"/>
        <v>0.19700000000000001</v>
      </c>
      <c r="J379">
        <f t="shared" si="39"/>
        <v>0.43</v>
      </c>
      <c r="K379">
        <f t="shared" si="40"/>
        <v>0.16420000000000001</v>
      </c>
      <c r="L379">
        <f t="shared" si="41"/>
        <v>0</v>
      </c>
      <c r="M379">
        <f t="shared" si="42"/>
        <v>1</v>
      </c>
      <c r="N379" t="str">
        <f t="shared" si="44"/>
        <v>Night shift</v>
      </c>
    </row>
    <row r="380" spans="1:14" x14ac:dyDescent="0.3">
      <c r="A380" s="3">
        <v>379</v>
      </c>
      <c r="B380" s="4">
        <v>40560</v>
      </c>
      <c r="C380" s="3">
        <v>6</v>
      </c>
      <c r="D380" s="3" t="b">
        <v>1</v>
      </c>
      <c r="E380" s="3">
        <v>1</v>
      </c>
      <c r="F380" s="3">
        <v>2</v>
      </c>
      <c r="G380" s="3">
        <v>0.18</v>
      </c>
      <c r="H380" t="str">
        <f t="shared" si="43"/>
        <v>Mon</v>
      </c>
      <c r="I380">
        <f t="shared" si="38"/>
        <v>0.18179999999999999</v>
      </c>
      <c r="J380">
        <f t="shared" si="39"/>
        <v>0.43</v>
      </c>
      <c r="K380">
        <f t="shared" si="40"/>
        <v>0.19400000000000001</v>
      </c>
      <c r="L380">
        <f t="shared" si="41"/>
        <v>0</v>
      </c>
      <c r="M380">
        <f t="shared" si="42"/>
        <v>5</v>
      </c>
      <c r="N380" t="str">
        <f t="shared" si="44"/>
        <v>Day Shift</v>
      </c>
    </row>
    <row r="381" spans="1:14" x14ac:dyDescent="0.3">
      <c r="A381" s="3">
        <v>380</v>
      </c>
      <c r="B381" s="4">
        <v>40560</v>
      </c>
      <c r="C381" s="3">
        <v>7</v>
      </c>
      <c r="D381" s="3" t="b">
        <v>1</v>
      </c>
      <c r="E381" s="3">
        <v>1</v>
      </c>
      <c r="F381" s="3">
        <v>2</v>
      </c>
      <c r="G381" s="3">
        <v>0.16</v>
      </c>
      <c r="H381" t="str">
        <f t="shared" si="43"/>
        <v>Mon</v>
      </c>
      <c r="I381">
        <f t="shared" si="38"/>
        <v>0.18179999999999999</v>
      </c>
      <c r="J381">
        <f t="shared" si="39"/>
        <v>0.5</v>
      </c>
      <c r="K381">
        <f t="shared" si="40"/>
        <v>0.1343</v>
      </c>
      <c r="L381">
        <f t="shared" si="41"/>
        <v>4</v>
      </c>
      <c r="M381">
        <f t="shared" si="42"/>
        <v>9</v>
      </c>
      <c r="N381" t="str">
        <f t="shared" si="44"/>
        <v>Day Shift</v>
      </c>
    </row>
    <row r="382" spans="1:14" x14ac:dyDescent="0.3">
      <c r="A382" s="3">
        <v>381</v>
      </c>
      <c r="B382" s="4">
        <v>40560</v>
      </c>
      <c r="C382" s="3">
        <v>8</v>
      </c>
      <c r="D382" s="3" t="b">
        <v>1</v>
      </c>
      <c r="E382" s="3">
        <v>1</v>
      </c>
      <c r="F382" s="3">
        <v>2</v>
      </c>
      <c r="G382" s="3">
        <v>0.16</v>
      </c>
      <c r="H382" t="str">
        <f t="shared" si="43"/>
        <v>Mon</v>
      </c>
      <c r="I382">
        <f t="shared" si="38"/>
        <v>0.1515</v>
      </c>
      <c r="J382">
        <f t="shared" si="39"/>
        <v>0.47</v>
      </c>
      <c r="K382">
        <f t="shared" si="40"/>
        <v>0.22389999999999999</v>
      </c>
      <c r="L382">
        <f t="shared" si="41"/>
        <v>3</v>
      </c>
      <c r="M382">
        <f t="shared" si="42"/>
        <v>30</v>
      </c>
      <c r="N382" t="str">
        <f t="shared" si="44"/>
        <v>Day Shift</v>
      </c>
    </row>
    <row r="383" spans="1:14" x14ac:dyDescent="0.3">
      <c r="A383" s="3">
        <v>382</v>
      </c>
      <c r="B383" s="4">
        <v>40560</v>
      </c>
      <c r="C383" s="3">
        <v>9</v>
      </c>
      <c r="D383" s="3" t="b">
        <v>1</v>
      </c>
      <c r="E383" s="3">
        <v>1</v>
      </c>
      <c r="F383" s="3">
        <v>2</v>
      </c>
      <c r="G383" s="3">
        <v>0.16</v>
      </c>
      <c r="H383" t="str">
        <f t="shared" si="43"/>
        <v>Mon</v>
      </c>
      <c r="I383">
        <f t="shared" si="38"/>
        <v>0.1515</v>
      </c>
      <c r="J383">
        <f t="shared" si="39"/>
        <v>0.47</v>
      </c>
      <c r="K383">
        <f t="shared" si="40"/>
        <v>0.22389999999999999</v>
      </c>
      <c r="L383">
        <f t="shared" si="41"/>
        <v>8</v>
      </c>
      <c r="M383">
        <f t="shared" si="42"/>
        <v>39</v>
      </c>
      <c r="N383" t="str">
        <f t="shared" si="44"/>
        <v>Day Shift</v>
      </c>
    </row>
    <row r="384" spans="1:14" x14ac:dyDescent="0.3">
      <c r="A384" s="3">
        <v>383</v>
      </c>
      <c r="B384" s="4">
        <v>40560</v>
      </c>
      <c r="C384" s="3">
        <v>10</v>
      </c>
      <c r="D384" s="3" t="b">
        <v>1</v>
      </c>
      <c r="E384" s="3">
        <v>1</v>
      </c>
      <c r="F384" s="3">
        <v>2</v>
      </c>
      <c r="G384" s="3">
        <v>0.16</v>
      </c>
      <c r="H384" t="str">
        <f t="shared" si="43"/>
        <v>Mon</v>
      </c>
      <c r="I384">
        <f t="shared" si="38"/>
        <v>0.1515</v>
      </c>
      <c r="J384">
        <f t="shared" si="39"/>
        <v>0.5</v>
      </c>
      <c r="K384">
        <f t="shared" si="40"/>
        <v>0.25369999999999998</v>
      </c>
      <c r="L384">
        <f t="shared" si="41"/>
        <v>7</v>
      </c>
      <c r="M384">
        <f t="shared" si="42"/>
        <v>50</v>
      </c>
      <c r="N384" t="str">
        <f t="shared" si="44"/>
        <v>Day Shift</v>
      </c>
    </row>
    <row r="385" spans="1:14" x14ac:dyDescent="0.3">
      <c r="A385" s="3">
        <v>384</v>
      </c>
      <c r="B385" s="4">
        <v>40560</v>
      </c>
      <c r="C385" s="3">
        <v>11</v>
      </c>
      <c r="D385" s="3" t="b">
        <v>1</v>
      </c>
      <c r="E385" s="3">
        <v>1</v>
      </c>
      <c r="F385" s="3">
        <v>2</v>
      </c>
      <c r="G385" s="3">
        <v>0.16</v>
      </c>
      <c r="H385" t="str">
        <f t="shared" si="43"/>
        <v>Mon</v>
      </c>
      <c r="I385">
        <f t="shared" si="38"/>
        <v>0.1515</v>
      </c>
      <c r="J385">
        <f t="shared" si="39"/>
        <v>0.55000000000000004</v>
      </c>
      <c r="K385">
        <f t="shared" si="40"/>
        <v>0.19400000000000001</v>
      </c>
      <c r="L385">
        <f t="shared" si="41"/>
        <v>9</v>
      </c>
      <c r="M385">
        <f t="shared" si="42"/>
        <v>55</v>
      </c>
      <c r="N385" t="str">
        <f t="shared" si="44"/>
        <v>Day Shift</v>
      </c>
    </row>
    <row r="386" spans="1:14" x14ac:dyDescent="0.3">
      <c r="A386" s="3">
        <v>385</v>
      </c>
      <c r="B386" s="4">
        <v>40560</v>
      </c>
      <c r="C386" s="3">
        <v>12</v>
      </c>
      <c r="D386" s="3" t="b">
        <v>1</v>
      </c>
      <c r="E386" s="3">
        <v>1</v>
      </c>
      <c r="F386" s="3">
        <v>2</v>
      </c>
      <c r="G386" s="3">
        <v>0.18</v>
      </c>
      <c r="H386" t="str">
        <f t="shared" si="43"/>
        <v>Mon</v>
      </c>
      <c r="I386">
        <f t="shared" ref="I386:I449" si="45">VLOOKUP($A386,instantc,3,FALSE)</f>
        <v>0.19700000000000001</v>
      </c>
      <c r="J386">
        <f t="shared" ref="J386:J449" si="46">VLOOKUP($A386,instantc,4,FALSE)</f>
        <v>0.47</v>
      </c>
      <c r="K386">
        <f t="shared" ref="K386:K449" si="47">VLOOKUP($A386,instantc,5,FALSE)</f>
        <v>0.1343</v>
      </c>
      <c r="L386">
        <f t="shared" ref="L386:L449" si="48">VLOOKUP($A386,instantc,6,FALSE)</f>
        <v>10</v>
      </c>
      <c r="M386">
        <f t="shared" ref="M386:M449" si="49">VLOOKUP($A386,instantc,7,FALSE)</f>
        <v>70</v>
      </c>
      <c r="N386" t="str">
        <f t="shared" si="44"/>
        <v>Day Shift</v>
      </c>
    </row>
    <row r="387" spans="1:14" x14ac:dyDescent="0.3">
      <c r="A387" s="3">
        <v>386</v>
      </c>
      <c r="B387" s="4">
        <v>40560</v>
      </c>
      <c r="C387" s="3">
        <v>13</v>
      </c>
      <c r="D387" s="3" t="b">
        <v>1</v>
      </c>
      <c r="E387" s="3">
        <v>1</v>
      </c>
      <c r="F387" s="3">
        <v>2</v>
      </c>
      <c r="G387" s="3">
        <v>0.18</v>
      </c>
      <c r="H387" t="str">
        <f t="shared" ref="H387:H450" si="50">TEXT(B387,"ddd")</f>
        <v>Mon</v>
      </c>
      <c r="I387">
        <f t="shared" si="45"/>
        <v>0.19700000000000001</v>
      </c>
      <c r="J387">
        <f t="shared" si="46"/>
        <v>0.47</v>
      </c>
      <c r="K387">
        <f t="shared" si="47"/>
        <v>0.1343</v>
      </c>
      <c r="L387">
        <f t="shared" si="48"/>
        <v>13</v>
      </c>
      <c r="M387">
        <f t="shared" si="49"/>
        <v>80</v>
      </c>
      <c r="N387" t="str">
        <f t="shared" ref="N387:N450" si="51">IF(AND(C387&gt;=6,C387&lt;=18),"Day Shift","Night shift")</f>
        <v>Day Shift</v>
      </c>
    </row>
    <row r="388" spans="1:14" x14ac:dyDescent="0.3">
      <c r="A388" s="3">
        <v>387</v>
      </c>
      <c r="B388" s="4">
        <v>40560</v>
      </c>
      <c r="C388" s="3">
        <v>14</v>
      </c>
      <c r="D388" s="3" t="b">
        <v>1</v>
      </c>
      <c r="E388" s="3">
        <v>1</v>
      </c>
      <c r="F388" s="3">
        <v>2</v>
      </c>
      <c r="G388" s="3">
        <v>0.18</v>
      </c>
      <c r="H388" t="str">
        <f t="shared" si="50"/>
        <v>Mon</v>
      </c>
      <c r="I388">
        <f t="shared" si="45"/>
        <v>0.21210000000000001</v>
      </c>
      <c r="J388">
        <f t="shared" si="46"/>
        <v>0.43</v>
      </c>
      <c r="K388">
        <f t="shared" si="47"/>
        <v>0.1045</v>
      </c>
      <c r="L388">
        <f t="shared" si="48"/>
        <v>12</v>
      </c>
      <c r="M388">
        <f t="shared" si="49"/>
        <v>74</v>
      </c>
      <c r="N388" t="str">
        <f t="shared" si="51"/>
        <v>Day Shift</v>
      </c>
    </row>
    <row r="389" spans="1:14" x14ac:dyDescent="0.3">
      <c r="A389" s="3">
        <v>388</v>
      </c>
      <c r="B389" s="4">
        <v>40560</v>
      </c>
      <c r="C389" s="3">
        <v>15</v>
      </c>
      <c r="D389" s="3" t="b">
        <v>1</v>
      </c>
      <c r="E389" s="3">
        <v>1</v>
      </c>
      <c r="F389" s="3">
        <v>2</v>
      </c>
      <c r="G389" s="3">
        <v>0.2</v>
      </c>
      <c r="H389" t="str">
        <f t="shared" si="50"/>
        <v>Mon</v>
      </c>
      <c r="I389">
        <f t="shared" si="45"/>
        <v>0.21210000000000001</v>
      </c>
      <c r="J389">
        <f t="shared" si="46"/>
        <v>0.47</v>
      </c>
      <c r="K389">
        <f t="shared" si="47"/>
        <v>0.16420000000000001</v>
      </c>
      <c r="L389">
        <f t="shared" si="48"/>
        <v>21</v>
      </c>
      <c r="M389">
        <f t="shared" si="49"/>
        <v>72</v>
      </c>
      <c r="N389" t="str">
        <f t="shared" si="51"/>
        <v>Day Shift</v>
      </c>
    </row>
    <row r="390" spans="1:14" x14ac:dyDescent="0.3">
      <c r="A390" s="3">
        <v>389</v>
      </c>
      <c r="B390" s="4">
        <v>40560</v>
      </c>
      <c r="C390" s="3">
        <v>16</v>
      </c>
      <c r="D390" s="3" t="b">
        <v>1</v>
      </c>
      <c r="E390" s="3">
        <v>1</v>
      </c>
      <c r="F390" s="3">
        <v>2</v>
      </c>
      <c r="G390" s="3">
        <v>0.2</v>
      </c>
      <c r="H390" t="str">
        <f t="shared" si="50"/>
        <v>Mon</v>
      </c>
      <c r="I390">
        <f t="shared" si="45"/>
        <v>0.21210000000000001</v>
      </c>
      <c r="J390">
        <f t="shared" si="46"/>
        <v>0.47</v>
      </c>
      <c r="K390">
        <f t="shared" si="47"/>
        <v>0.16420000000000001</v>
      </c>
      <c r="L390">
        <f t="shared" si="48"/>
        <v>6</v>
      </c>
      <c r="M390">
        <f t="shared" si="49"/>
        <v>76</v>
      </c>
      <c r="N390" t="str">
        <f t="shared" si="51"/>
        <v>Day Shift</v>
      </c>
    </row>
    <row r="391" spans="1:14" x14ac:dyDescent="0.3">
      <c r="A391" s="3">
        <v>390</v>
      </c>
      <c r="B391" s="4">
        <v>40560</v>
      </c>
      <c r="C391" s="3">
        <v>17</v>
      </c>
      <c r="D391" s="3" t="b">
        <v>1</v>
      </c>
      <c r="E391" s="3">
        <v>1</v>
      </c>
      <c r="F391" s="3">
        <v>1</v>
      </c>
      <c r="G391" s="3">
        <v>0.2</v>
      </c>
      <c r="H391" t="str">
        <f t="shared" si="50"/>
        <v>Mon</v>
      </c>
      <c r="I391">
        <f t="shared" si="45"/>
        <v>0.19700000000000001</v>
      </c>
      <c r="J391">
        <f t="shared" si="46"/>
        <v>0.51</v>
      </c>
      <c r="K391">
        <f t="shared" si="47"/>
        <v>0.19400000000000001</v>
      </c>
      <c r="L391">
        <f t="shared" si="48"/>
        <v>4</v>
      </c>
      <c r="M391">
        <f t="shared" si="49"/>
        <v>67</v>
      </c>
      <c r="N391" t="str">
        <f t="shared" si="51"/>
        <v>Day Shift</v>
      </c>
    </row>
    <row r="392" spans="1:14" x14ac:dyDescent="0.3">
      <c r="A392" s="3">
        <v>391</v>
      </c>
      <c r="B392" s="4">
        <v>40560</v>
      </c>
      <c r="C392" s="3">
        <v>18</v>
      </c>
      <c r="D392" s="3" t="b">
        <v>1</v>
      </c>
      <c r="E392" s="3">
        <v>1</v>
      </c>
      <c r="F392" s="3">
        <v>2</v>
      </c>
      <c r="G392" s="3">
        <v>0.18</v>
      </c>
      <c r="H392" t="str">
        <f t="shared" si="50"/>
        <v>Mon</v>
      </c>
      <c r="I392">
        <f t="shared" si="45"/>
        <v>0.16669999999999999</v>
      </c>
      <c r="J392">
        <f t="shared" si="46"/>
        <v>0.55000000000000004</v>
      </c>
      <c r="K392">
        <f t="shared" si="47"/>
        <v>0.25369999999999998</v>
      </c>
      <c r="L392">
        <f t="shared" si="48"/>
        <v>7</v>
      </c>
      <c r="M392">
        <f t="shared" si="49"/>
        <v>85</v>
      </c>
      <c r="N392" t="str">
        <f t="shared" si="51"/>
        <v>Day Shift</v>
      </c>
    </row>
    <row r="393" spans="1:14" x14ac:dyDescent="0.3">
      <c r="A393" s="3">
        <v>392</v>
      </c>
      <c r="B393" s="4">
        <v>40560</v>
      </c>
      <c r="C393" s="3">
        <v>19</v>
      </c>
      <c r="D393" s="3" t="b">
        <v>1</v>
      </c>
      <c r="E393" s="3">
        <v>1</v>
      </c>
      <c r="F393" s="3">
        <v>3</v>
      </c>
      <c r="G393" s="3">
        <v>0.18</v>
      </c>
      <c r="H393" t="str">
        <f t="shared" si="50"/>
        <v>Mon</v>
      </c>
      <c r="I393">
        <f t="shared" si="45"/>
        <v>0.18179999999999999</v>
      </c>
      <c r="J393">
        <f t="shared" si="46"/>
        <v>0.59</v>
      </c>
      <c r="K393">
        <f t="shared" si="47"/>
        <v>0.19400000000000001</v>
      </c>
      <c r="L393">
        <f t="shared" si="48"/>
        <v>2</v>
      </c>
      <c r="M393">
        <f t="shared" si="49"/>
        <v>58</v>
      </c>
      <c r="N393" t="str">
        <f t="shared" si="51"/>
        <v>Night shift</v>
      </c>
    </row>
    <row r="394" spans="1:14" x14ac:dyDescent="0.3">
      <c r="A394" s="3">
        <v>393</v>
      </c>
      <c r="B394" s="4">
        <v>40560</v>
      </c>
      <c r="C394" s="3">
        <v>20</v>
      </c>
      <c r="D394" s="3" t="b">
        <v>1</v>
      </c>
      <c r="E394" s="3">
        <v>1</v>
      </c>
      <c r="F394" s="3">
        <v>3</v>
      </c>
      <c r="G394" s="3">
        <v>0.16</v>
      </c>
      <c r="H394" t="str">
        <f t="shared" si="50"/>
        <v>Mon</v>
      </c>
      <c r="I394">
        <f t="shared" si="45"/>
        <v>0.1515</v>
      </c>
      <c r="J394">
        <f t="shared" si="46"/>
        <v>0.8</v>
      </c>
      <c r="K394">
        <f t="shared" si="47"/>
        <v>0.19400000000000001</v>
      </c>
      <c r="L394">
        <f t="shared" si="48"/>
        <v>4</v>
      </c>
      <c r="M394">
        <f t="shared" si="49"/>
        <v>29</v>
      </c>
      <c r="N394" t="str">
        <f t="shared" si="51"/>
        <v>Night shift</v>
      </c>
    </row>
    <row r="395" spans="1:14" x14ac:dyDescent="0.3">
      <c r="A395" s="3">
        <v>394</v>
      </c>
      <c r="B395" s="4">
        <v>40560</v>
      </c>
      <c r="C395" s="3">
        <v>21</v>
      </c>
      <c r="D395" s="3" t="b">
        <v>1</v>
      </c>
      <c r="E395" s="3">
        <v>1</v>
      </c>
      <c r="F395" s="3">
        <v>3</v>
      </c>
      <c r="G395" s="3">
        <v>0.16</v>
      </c>
      <c r="H395" t="str">
        <f t="shared" si="50"/>
        <v>Mon</v>
      </c>
      <c r="I395">
        <f t="shared" si="45"/>
        <v>0.1515</v>
      </c>
      <c r="J395">
        <f t="shared" si="46"/>
        <v>0.8</v>
      </c>
      <c r="K395">
        <f t="shared" si="47"/>
        <v>0.19400000000000001</v>
      </c>
      <c r="L395">
        <f t="shared" si="48"/>
        <v>3</v>
      </c>
      <c r="M395">
        <f t="shared" si="49"/>
        <v>24</v>
      </c>
      <c r="N395" t="str">
        <f t="shared" si="51"/>
        <v>Night shift</v>
      </c>
    </row>
    <row r="396" spans="1:14" x14ac:dyDescent="0.3">
      <c r="A396" s="3">
        <v>395</v>
      </c>
      <c r="B396" s="4">
        <v>40560</v>
      </c>
      <c r="C396" s="3">
        <v>22</v>
      </c>
      <c r="D396" s="3" t="b">
        <v>1</v>
      </c>
      <c r="E396" s="3">
        <v>1</v>
      </c>
      <c r="F396" s="3">
        <v>3</v>
      </c>
      <c r="G396" s="3">
        <v>0.14000000000000001</v>
      </c>
      <c r="H396" t="str">
        <f t="shared" si="50"/>
        <v>Mon</v>
      </c>
      <c r="I396">
        <f t="shared" si="45"/>
        <v>0.1212</v>
      </c>
      <c r="J396">
        <f t="shared" si="46"/>
        <v>0.93</v>
      </c>
      <c r="K396">
        <f t="shared" si="47"/>
        <v>0.25369999999999998</v>
      </c>
      <c r="L396">
        <f t="shared" si="48"/>
        <v>0</v>
      </c>
      <c r="M396">
        <f t="shared" si="49"/>
        <v>13</v>
      </c>
      <c r="N396" t="str">
        <f t="shared" si="51"/>
        <v>Night shift</v>
      </c>
    </row>
    <row r="397" spans="1:14" x14ac:dyDescent="0.3">
      <c r="A397" s="3">
        <v>396</v>
      </c>
      <c r="B397" s="4">
        <v>40560</v>
      </c>
      <c r="C397" s="3">
        <v>23</v>
      </c>
      <c r="D397" s="3" t="b">
        <v>1</v>
      </c>
      <c r="E397" s="3">
        <v>1</v>
      </c>
      <c r="F397" s="3">
        <v>3</v>
      </c>
      <c r="G397" s="3">
        <v>0.16</v>
      </c>
      <c r="H397" t="str">
        <f t="shared" si="50"/>
        <v>Mon</v>
      </c>
      <c r="I397">
        <f t="shared" si="45"/>
        <v>0.13639999999999999</v>
      </c>
      <c r="J397">
        <f t="shared" si="46"/>
        <v>0.86</v>
      </c>
      <c r="K397">
        <f t="shared" si="47"/>
        <v>0.28360000000000002</v>
      </c>
      <c r="L397">
        <f t="shared" si="48"/>
        <v>1</v>
      </c>
      <c r="M397">
        <f t="shared" si="49"/>
        <v>3</v>
      </c>
      <c r="N397" t="str">
        <f t="shared" si="51"/>
        <v>Night shift</v>
      </c>
    </row>
    <row r="398" spans="1:14" x14ac:dyDescent="0.3">
      <c r="A398" s="3">
        <v>397</v>
      </c>
      <c r="B398" s="4">
        <v>40561</v>
      </c>
      <c r="C398" s="3">
        <v>12</v>
      </c>
      <c r="D398" s="3" t="b">
        <v>0</v>
      </c>
      <c r="E398" s="3">
        <v>2</v>
      </c>
      <c r="F398" s="3">
        <v>2</v>
      </c>
      <c r="G398" s="3">
        <v>0.2</v>
      </c>
      <c r="H398" t="str">
        <f t="shared" si="50"/>
        <v>Tue</v>
      </c>
      <c r="I398">
        <f t="shared" si="45"/>
        <v>0.18179999999999999</v>
      </c>
      <c r="J398">
        <f t="shared" si="46"/>
        <v>0.86</v>
      </c>
      <c r="K398">
        <f t="shared" si="47"/>
        <v>0.32840000000000003</v>
      </c>
      <c r="L398">
        <f t="shared" si="48"/>
        <v>0</v>
      </c>
      <c r="M398">
        <f t="shared" si="49"/>
        <v>3</v>
      </c>
      <c r="N398" t="str">
        <f t="shared" si="51"/>
        <v>Day Shift</v>
      </c>
    </row>
    <row r="399" spans="1:14" x14ac:dyDescent="0.3">
      <c r="A399" s="3">
        <v>398</v>
      </c>
      <c r="B399" s="4">
        <v>40561</v>
      </c>
      <c r="C399" s="3">
        <v>13</v>
      </c>
      <c r="D399" s="3" t="b">
        <v>0</v>
      </c>
      <c r="E399" s="3">
        <v>2</v>
      </c>
      <c r="F399" s="3">
        <v>2</v>
      </c>
      <c r="G399" s="3">
        <v>0.2</v>
      </c>
      <c r="H399" t="str">
        <f t="shared" si="50"/>
        <v>Tue</v>
      </c>
      <c r="I399">
        <f t="shared" si="45"/>
        <v>0.19700000000000001</v>
      </c>
      <c r="J399">
        <f t="shared" si="46"/>
        <v>0.86</v>
      </c>
      <c r="K399">
        <f t="shared" si="47"/>
        <v>0.22389999999999999</v>
      </c>
      <c r="L399">
        <f t="shared" si="48"/>
        <v>0</v>
      </c>
      <c r="M399">
        <f t="shared" si="49"/>
        <v>22</v>
      </c>
      <c r="N399" t="str">
        <f t="shared" si="51"/>
        <v>Day Shift</v>
      </c>
    </row>
    <row r="400" spans="1:14" x14ac:dyDescent="0.3">
      <c r="A400" s="3">
        <v>399</v>
      </c>
      <c r="B400" s="4">
        <v>40561</v>
      </c>
      <c r="C400" s="3">
        <v>14</v>
      </c>
      <c r="D400" s="3" t="b">
        <v>0</v>
      </c>
      <c r="E400" s="3">
        <v>2</v>
      </c>
      <c r="F400" s="3">
        <v>2</v>
      </c>
      <c r="G400" s="3">
        <v>0.22</v>
      </c>
      <c r="H400" t="str">
        <f t="shared" si="50"/>
        <v>Tue</v>
      </c>
      <c r="I400">
        <f t="shared" si="45"/>
        <v>0.2273</v>
      </c>
      <c r="J400">
        <f t="shared" si="46"/>
        <v>0.8</v>
      </c>
      <c r="K400">
        <f t="shared" si="47"/>
        <v>0.16420000000000001</v>
      </c>
      <c r="L400">
        <f t="shared" si="48"/>
        <v>2</v>
      </c>
      <c r="M400">
        <f t="shared" si="49"/>
        <v>26</v>
      </c>
      <c r="N400" t="str">
        <f t="shared" si="51"/>
        <v>Day Shift</v>
      </c>
    </row>
    <row r="401" spans="1:14" x14ac:dyDescent="0.3">
      <c r="A401" s="3">
        <v>400</v>
      </c>
      <c r="B401" s="4">
        <v>40561</v>
      </c>
      <c r="C401" s="3">
        <v>15</v>
      </c>
      <c r="D401" s="3" t="b">
        <v>0</v>
      </c>
      <c r="E401" s="3">
        <v>2</v>
      </c>
      <c r="F401" s="3">
        <v>2</v>
      </c>
      <c r="G401" s="3">
        <v>0.22</v>
      </c>
      <c r="H401" t="str">
        <f t="shared" si="50"/>
        <v>Tue</v>
      </c>
      <c r="I401">
        <f t="shared" si="45"/>
        <v>0.2273</v>
      </c>
      <c r="J401">
        <f t="shared" si="46"/>
        <v>0.87</v>
      </c>
      <c r="K401">
        <f t="shared" si="47"/>
        <v>0.16420000000000001</v>
      </c>
      <c r="L401">
        <f t="shared" si="48"/>
        <v>3</v>
      </c>
      <c r="M401">
        <f t="shared" si="49"/>
        <v>32</v>
      </c>
      <c r="N401" t="str">
        <f t="shared" si="51"/>
        <v>Day Shift</v>
      </c>
    </row>
    <row r="402" spans="1:14" x14ac:dyDescent="0.3">
      <c r="A402" s="3">
        <v>401</v>
      </c>
      <c r="B402" s="4">
        <v>40561</v>
      </c>
      <c r="C402" s="3">
        <v>16</v>
      </c>
      <c r="D402" s="3" t="b">
        <v>0</v>
      </c>
      <c r="E402" s="3">
        <v>2</v>
      </c>
      <c r="F402" s="3">
        <v>2</v>
      </c>
      <c r="G402" s="3">
        <v>0.22</v>
      </c>
      <c r="H402" t="str">
        <f t="shared" si="50"/>
        <v>Tue</v>
      </c>
      <c r="I402">
        <f t="shared" si="45"/>
        <v>0.2273</v>
      </c>
      <c r="J402">
        <f t="shared" si="46"/>
        <v>0.87</v>
      </c>
      <c r="K402">
        <f t="shared" si="47"/>
        <v>0.19400000000000001</v>
      </c>
      <c r="L402">
        <f t="shared" si="48"/>
        <v>0</v>
      </c>
      <c r="M402">
        <f t="shared" si="49"/>
        <v>61</v>
      </c>
      <c r="N402" t="str">
        <f t="shared" si="51"/>
        <v>Day Shift</v>
      </c>
    </row>
    <row r="403" spans="1:14" x14ac:dyDescent="0.3">
      <c r="A403" s="3">
        <v>402</v>
      </c>
      <c r="B403" s="4">
        <v>40561</v>
      </c>
      <c r="C403" s="3">
        <v>17</v>
      </c>
      <c r="D403" s="3" t="b">
        <v>0</v>
      </c>
      <c r="E403" s="3">
        <v>2</v>
      </c>
      <c r="F403" s="3">
        <v>2</v>
      </c>
      <c r="G403" s="3">
        <v>0.22</v>
      </c>
      <c r="H403" t="str">
        <f t="shared" si="50"/>
        <v>Tue</v>
      </c>
      <c r="I403">
        <f t="shared" si="45"/>
        <v>0.2273</v>
      </c>
      <c r="J403">
        <f t="shared" si="46"/>
        <v>0.82</v>
      </c>
      <c r="K403">
        <f t="shared" si="47"/>
        <v>0.19400000000000001</v>
      </c>
      <c r="L403">
        <f t="shared" si="48"/>
        <v>1</v>
      </c>
      <c r="M403">
        <f t="shared" si="49"/>
        <v>124</v>
      </c>
      <c r="N403" t="str">
        <f t="shared" si="51"/>
        <v>Day Shift</v>
      </c>
    </row>
    <row r="404" spans="1:14" x14ac:dyDescent="0.3">
      <c r="A404" s="3">
        <v>403</v>
      </c>
      <c r="B404" s="4">
        <v>40561</v>
      </c>
      <c r="C404" s="3">
        <v>18</v>
      </c>
      <c r="D404" s="3" t="b">
        <v>0</v>
      </c>
      <c r="E404" s="3">
        <v>2</v>
      </c>
      <c r="F404" s="3">
        <v>2</v>
      </c>
      <c r="G404" s="3">
        <v>0.22</v>
      </c>
      <c r="H404" t="str">
        <f t="shared" si="50"/>
        <v>Tue</v>
      </c>
      <c r="I404">
        <f t="shared" si="45"/>
        <v>0.2273</v>
      </c>
      <c r="J404">
        <f t="shared" si="46"/>
        <v>0.8</v>
      </c>
      <c r="K404">
        <f t="shared" si="47"/>
        <v>0.16420000000000001</v>
      </c>
      <c r="L404">
        <f t="shared" si="48"/>
        <v>1</v>
      </c>
      <c r="M404">
        <f t="shared" si="49"/>
        <v>132</v>
      </c>
      <c r="N404" t="str">
        <f t="shared" si="51"/>
        <v>Day Shift</v>
      </c>
    </row>
    <row r="405" spans="1:14" x14ac:dyDescent="0.3">
      <c r="A405" s="3">
        <v>404</v>
      </c>
      <c r="B405" s="4">
        <v>40561</v>
      </c>
      <c r="C405" s="3">
        <v>19</v>
      </c>
      <c r="D405" s="3" t="b">
        <v>0</v>
      </c>
      <c r="E405" s="3">
        <v>2</v>
      </c>
      <c r="F405" s="3">
        <v>2</v>
      </c>
      <c r="G405" s="3">
        <v>0.22</v>
      </c>
      <c r="H405" t="str">
        <f t="shared" si="50"/>
        <v>Tue</v>
      </c>
      <c r="I405">
        <f t="shared" si="45"/>
        <v>0.2273</v>
      </c>
      <c r="J405">
        <f t="shared" si="46"/>
        <v>0.8</v>
      </c>
      <c r="K405">
        <f t="shared" si="47"/>
        <v>0.1343</v>
      </c>
      <c r="L405">
        <f t="shared" si="48"/>
        <v>1</v>
      </c>
      <c r="M405">
        <f t="shared" si="49"/>
        <v>98</v>
      </c>
      <c r="N405" t="str">
        <f t="shared" si="51"/>
        <v>Night shift</v>
      </c>
    </row>
    <row r="406" spans="1:14" x14ac:dyDescent="0.3">
      <c r="A406" s="3">
        <v>405</v>
      </c>
      <c r="B406" s="4">
        <v>40561</v>
      </c>
      <c r="C406" s="3">
        <v>20</v>
      </c>
      <c r="D406" s="3" t="b">
        <v>0</v>
      </c>
      <c r="E406" s="3">
        <v>2</v>
      </c>
      <c r="F406" s="3">
        <v>2</v>
      </c>
      <c r="G406" s="3">
        <v>0.22</v>
      </c>
      <c r="H406" t="str">
        <f t="shared" si="50"/>
        <v>Tue</v>
      </c>
      <c r="I406">
        <f t="shared" si="45"/>
        <v>0.2727</v>
      </c>
      <c r="J406">
        <f t="shared" si="46"/>
        <v>0.87</v>
      </c>
      <c r="K406">
        <f t="shared" si="47"/>
        <v>0</v>
      </c>
      <c r="L406">
        <f t="shared" si="48"/>
        <v>0</v>
      </c>
      <c r="M406">
        <f t="shared" si="49"/>
        <v>83</v>
      </c>
      <c r="N406" t="str">
        <f t="shared" si="51"/>
        <v>Night shift</v>
      </c>
    </row>
    <row r="407" spans="1:14" x14ac:dyDescent="0.3">
      <c r="A407" s="3">
        <v>406</v>
      </c>
      <c r="B407" s="4">
        <v>40561</v>
      </c>
      <c r="C407" s="3">
        <v>21</v>
      </c>
      <c r="D407" s="3" t="b">
        <v>0</v>
      </c>
      <c r="E407" s="3">
        <v>2</v>
      </c>
      <c r="F407" s="3">
        <v>2</v>
      </c>
      <c r="G407" s="3">
        <v>0.22</v>
      </c>
      <c r="H407" t="str">
        <f t="shared" si="50"/>
        <v>Tue</v>
      </c>
      <c r="I407">
        <f t="shared" si="45"/>
        <v>0.2424</v>
      </c>
      <c r="J407">
        <f t="shared" si="46"/>
        <v>0.93</v>
      </c>
      <c r="K407">
        <f t="shared" si="47"/>
        <v>0.1045</v>
      </c>
      <c r="L407">
        <f t="shared" si="48"/>
        <v>0</v>
      </c>
      <c r="M407">
        <f t="shared" si="49"/>
        <v>41</v>
      </c>
      <c r="N407" t="str">
        <f t="shared" si="51"/>
        <v>Night shift</v>
      </c>
    </row>
    <row r="408" spans="1:14" x14ac:dyDescent="0.3">
      <c r="A408" s="3">
        <v>407</v>
      </c>
      <c r="B408" s="4">
        <v>40561</v>
      </c>
      <c r="C408" s="3">
        <v>22</v>
      </c>
      <c r="D408" s="3" t="b">
        <v>0</v>
      </c>
      <c r="E408" s="3">
        <v>2</v>
      </c>
      <c r="F408" s="3">
        <v>2</v>
      </c>
      <c r="G408" s="3">
        <v>0.22</v>
      </c>
      <c r="H408" t="str">
        <f t="shared" si="50"/>
        <v>Tue</v>
      </c>
      <c r="I408">
        <f t="shared" si="45"/>
        <v>0.2576</v>
      </c>
      <c r="J408">
        <f t="shared" si="46"/>
        <v>0.93</v>
      </c>
      <c r="K408">
        <f t="shared" si="47"/>
        <v>8.9599999999999999E-2</v>
      </c>
      <c r="L408">
        <f t="shared" si="48"/>
        <v>0</v>
      </c>
      <c r="M408">
        <f t="shared" si="49"/>
        <v>33</v>
      </c>
      <c r="N408" t="str">
        <f t="shared" si="51"/>
        <v>Night shift</v>
      </c>
    </row>
    <row r="409" spans="1:14" x14ac:dyDescent="0.3">
      <c r="A409" s="3">
        <v>408</v>
      </c>
      <c r="B409" s="4">
        <v>40561</v>
      </c>
      <c r="C409" s="3">
        <v>23</v>
      </c>
      <c r="D409" s="3" t="b">
        <v>0</v>
      </c>
      <c r="E409" s="3">
        <v>2</v>
      </c>
      <c r="F409" s="3">
        <v>2</v>
      </c>
      <c r="G409" s="3">
        <v>0.22</v>
      </c>
      <c r="H409" t="str">
        <f t="shared" si="50"/>
        <v>Tue</v>
      </c>
      <c r="I409">
        <f t="shared" si="45"/>
        <v>0.2727</v>
      </c>
      <c r="J409">
        <f t="shared" si="46"/>
        <v>0.93</v>
      </c>
      <c r="K409">
        <f t="shared" si="47"/>
        <v>0</v>
      </c>
      <c r="L409">
        <f t="shared" si="48"/>
        <v>1</v>
      </c>
      <c r="M409">
        <f t="shared" si="49"/>
        <v>19</v>
      </c>
      <c r="N409" t="str">
        <f t="shared" si="51"/>
        <v>Night shift</v>
      </c>
    </row>
    <row r="410" spans="1:14" x14ac:dyDescent="0.3">
      <c r="A410" s="3">
        <v>409</v>
      </c>
      <c r="B410" s="4">
        <v>40562</v>
      </c>
      <c r="C410" s="3">
        <v>0</v>
      </c>
      <c r="D410" s="3" t="b">
        <v>0</v>
      </c>
      <c r="E410" s="3">
        <v>3</v>
      </c>
      <c r="F410" s="3">
        <v>2</v>
      </c>
      <c r="G410" s="3">
        <v>0.22</v>
      </c>
      <c r="H410" t="str">
        <f t="shared" si="50"/>
        <v>Wed</v>
      </c>
      <c r="I410">
        <f t="shared" si="45"/>
        <v>0.2727</v>
      </c>
      <c r="J410">
        <f t="shared" si="46"/>
        <v>0.93</v>
      </c>
      <c r="K410">
        <f t="shared" si="47"/>
        <v>0</v>
      </c>
      <c r="L410">
        <f t="shared" si="48"/>
        <v>0</v>
      </c>
      <c r="M410">
        <f t="shared" si="49"/>
        <v>3</v>
      </c>
      <c r="N410" t="str">
        <f t="shared" si="51"/>
        <v>Night shift</v>
      </c>
    </row>
    <row r="411" spans="1:14" x14ac:dyDescent="0.3">
      <c r="A411" s="3">
        <v>410</v>
      </c>
      <c r="B411" s="4">
        <v>40562</v>
      </c>
      <c r="C411" s="3">
        <v>1</v>
      </c>
      <c r="D411" s="3" t="b">
        <v>0</v>
      </c>
      <c r="E411" s="3">
        <v>3</v>
      </c>
      <c r="F411" s="3">
        <v>3</v>
      </c>
      <c r="G411" s="3">
        <v>0.22</v>
      </c>
      <c r="H411" t="str">
        <f t="shared" si="50"/>
        <v>Wed</v>
      </c>
      <c r="I411">
        <f t="shared" si="45"/>
        <v>0.2273</v>
      </c>
      <c r="J411">
        <f t="shared" si="46"/>
        <v>0.93</v>
      </c>
      <c r="K411">
        <f t="shared" si="47"/>
        <v>0.1343</v>
      </c>
      <c r="L411">
        <f t="shared" si="48"/>
        <v>1</v>
      </c>
      <c r="M411">
        <f t="shared" si="49"/>
        <v>6</v>
      </c>
      <c r="N411" t="str">
        <f t="shared" si="51"/>
        <v>Night shift</v>
      </c>
    </row>
    <row r="412" spans="1:14" x14ac:dyDescent="0.3">
      <c r="A412" s="3">
        <v>411</v>
      </c>
      <c r="B412" s="4">
        <v>40562</v>
      </c>
      <c r="C412" s="3">
        <v>2</v>
      </c>
      <c r="D412" s="3" t="b">
        <v>0</v>
      </c>
      <c r="E412" s="3">
        <v>3</v>
      </c>
      <c r="F412" s="3">
        <v>3</v>
      </c>
      <c r="G412" s="3">
        <v>0.22</v>
      </c>
      <c r="H412" t="str">
        <f t="shared" si="50"/>
        <v>Wed</v>
      </c>
      <c r="I412">
        <f t="shared" si="45"/>
        <v>0.2273</v>
      </c>
      <c r="J412">
        <f t="shared" si="46"/>
        <v>0.93</v>
      </c>
      <c r="K412">
        <f t="shared" si="47"/>
        <v>0.1343</v>
      </c>
      <c r="L412">
        <f t="shared" si="48"/>
        <v>0</v>
      </c>
      <c r="M412">
        <f t="shared" si="49"/>
        <v>3</v>
      </c>
      <c r="N412" t="str">
        <f t="shared" si="51"/>
        <v>Night shift</v>
      </c>
    </row>
    <row r="413" spans="1:14" x14ac:dyDescent="0.3">
      <c r="A413" s="3">
        <v>412</v>
      </c>
      <c r="B413" s="4">
        <v>40562</v>
      </c>
      <c r="C413" s="3">
        <v>4</v>
      </c>
      <c r="D413" s="3" t="b">
        <v>0</v>
      </c>
      <c r="E413" s="3">
        <v>3</v>
      </c>
      <c r="F413" s="3">
        <v>3</v>
      </c>
      <c r="G413" s="3">
        <v>0.22</v>
      </c>
      <c r="H413" t="str">
        <f t="shared" si="50"/>
        <v>Wed</v>
      </c>
      <c r="I413">
        <f t="shared" si="45"/>
        <v>0.2273</v>
      </c>
      <c r="J413">
        <f t="shared" si="46"/>
        <v>0.93</v>
      </c>
      <c r="K413">
        <f t="shared" si="47"/>
        <v>0.1343</v>
      </c>
      <c r="L413">
        <f t="shared" si="48"/>
        <v>1</v>
      </c>
      <c r="M413">
        <f t="shared" si="49"/>
        <v>1</v>
      </c>
      <c r="N413" t="str">
        <f t="shared" si="51"/>
        <v>Night shift</v>
      </c>
    </row>
    <row r="414" spans="1:14" x14ac:dyDescent="0.3">
      <c r="A414" s="3">
        <v>413</v>
      </c>
      <c r="B414" s="4">
        <v>40562</v>
      </c>
      <c r="C414" s="3">
        <v>5</v>
      </c>
      <c r="D414" s="3" t="b">
        <v>0</v>
      </c>
      <c r="E414" s="3">
        <v>3</v>
      </c>
      <c r="F414" s="3">
        <v>2</v>
      </c>
      <c r="G414" s="3">
        <v>0.22</v>
      </c>
      <c r="H414" t="str">
        <f t="shared" si="50"/>
        <v>Wed</v>
      </c>
      <c r="I414">
        <f t="shared" si="45"/>
        <v>0.2576</v>
      </c>
      <c r="J414">
        <f t="shared" si="46"/>
        <v>0.93</v>
      </c>
      <c r="K414">
        <f t="shared" si="47"/>
        <v>8.9599999999999999E-2</v>
      </c>
      <c r="L414">
        <f t="shared" si="48"/>
        <v>0</v>
      </c>
      <c r="M414">
        <f t="shared" si="49"/>
        <v>7</v>
      </c>
      <c r="N414" t="str">
        <f t="shared" si="51"/>
        <v>Night shift</v>
      </c>
    </row>
    <row r="415" spans="1:14" x14ac:dyDescent="0.3">
      <c r="A415" s="3">
        <v>414</v>
      </c>
      <c r="B415" s="4">
        <v>40562</v>
      </c>
      <c r="C415" s="3">
        <v>6</v>
      </c>
      <c r="D415" s="3" t="b">
        <v>0</v>
      </c>
      <c r="E415" s="3">
        <v>3</v>
      </c>
      <c r="F415" s="3">
        <v>2</v>
      </c>
      <c r="G415" s="3">
        <v>0.22</v>
      </c>
      <c r="H415" t="str">
        <f t="shared" si="50"/>
        <v>Wed</v>
      </c>
      <c r="I415">
        <f t="shared" si="45"/>
        <v>0.2576</v>
      </c>
      <c r="J415">
        <f t="shared" si="46"/>
        <v>0.93</v>
      </c>
      <c r="K415">
        <f t="shared" si="47"/>
        <v>8.9599999999999999E-2</v>
      </c>
      <c r="L415">
        <f t="shared" si="48"/>
        <v>0</v>
      </c>
      <c r="M415">
        <f t="shared" si="49"/>
        <v>32</v>
      </c>
      <c r="N415" t="str">
        <f t="shared" si="51"/>
        <v>Day Shift</v>
      </c>
    </row>
    <row r="416" spans="1:14" x14ac:dyDescent="0.3">
      <c r="A416" s="3">
        <v>415</v>
      </c>
      <c r="B416" s="4">
        <v>40562</v>
      </c>
      <c r="C416" s="3">
        <v>7</v>
      </c>
      <c r="D416" s="3" t="b">
        <v>0</v>
      </c>
      <c r="E416" s="3">
        <v>3</v>
      </c>
      <c r="F416" s="3">
        <v>2</v>
      </c>
      <c r="G416" s="3">
        <v>0.24</v>
      </c>
      <c r="H416" t="str">
        <f t="shared" si="50"/>
        <v>Wed</v>
      </c>
      <c r="I416">
        <f t="shared" si="45"/>
        <v>0.2576</v>
      </c>
      <c r="J416">
        <f t="shared" si="46"/>
        <v>0.92</v>
      </c>
      <c r="K416">
        <f t="shared" si="47"/>
        <v>0.1045</v>
      </c>
      <c r="L416">
        <f t="shared" si="48"/>
        <v>1</v>
      </c>
      <c r="M416">
        <f t="shared" si="49"/>
        <v>89</v>
      </c>
      <c r="N416" t="str">
        <f t="shared" si="51"/>
        <v>Day Shift</v>
      </c>
    </row>
    <row r="417" spans="1:14" x14ac:dyDescent="0.3">
      <c r="A417" s="3">
        <v>416</v>
      </c>
      <c r="B417" s="4">
        <v>40562</v>
      </c>
      <c r="C417" s="3">
        <v>8</v>
      </c>
      <c r="D417" s="3" t="b">
        <v>0</v>
      </c>
      <c r="E417" s="3">
        <v>3</v>
      </c>
      <c r="F417" s="3">
        <v>2</v>
      </c>
      <c r="G417" s="3">
        <v>0.24</v>
      </c>
      <c r="H417" t="str">
        <f t="shared" si="50"/>
        <v>Wed</v>
      </c>
      <c r="I417">
        <f t="shared" si="45"/>
        <v>0.2576</v>
      </c>
      <c r="J417">
        <f t="shared" si="46"/>
        <v>0.93</v>
      </c>
      <c r="K417">
        <f t="shared" si="47"/>
        <v>0.1045</v>
      </c>
      <c r="L417">
        <f t="shared" si="48"/>
        <v>1</v>
      </c>
      <c r="M417">
        <f t="shared" si="49"/>
        <v>196</v>
      </c>
      <c r="N417" t="str">
        <f t="shared" si="51"/>
        <v>Day Shift</v>
      </c>
    </row>
    <row r="418" spans="1:14" x14ac:dyDescent="0.3">
      <c r="A418" s="3">
        <v>417</v>
      </c>
      <c r="B418" s="4">
        <v>40562</v>
      </c>
      <c r="C418" s="3">
        <v>9</v>
      </c>
      <c r="D418" s="3" t="b">
        <v>0</v>
      </c>
      <c r="E418" s="3">
        <v>3</v>
      </c>
      <c r="F418" s="3">
        <v>2</v>
      </c>
      <c r="G418" s="3">
        <v>0.24</v>
      </c>
      <c r="H418" t="str">
        <f t="shared" si="50"/>
        <v>Wed</v>
      </c>
      <c r="I418">
        <f t="shared" si="45"/>
        <v>0.2576</v>
      </c>
      <c r="J418">
        <f t="shared" si="46"/>
        <v>0.93</v>
      </c>
      <c r="K418">
        <f t="shared" si="47"/>
        <v>0.1045</v>
      </c>
      <c r="L418">
        <f t="shared" si="48"/>
        <v>2</v>
      </c>
      <c r="M418">
        <f t="shared" si="49"/>
        <v>107</v>
      </c>
      <c r="N418" t="str">
        <f t="shared" si="51"/>
        <v>Day Shift</v>
      </c>
    </row>
    <row r="419" spans="1:14" x14ac:dyDescent="0.3">
      <c r="A419" s="3">
        <v>418</v>
      </c>
      <c r="B419" s="4">
        <v>40562</v>
      </c>
      <c r="C419" s="3">
        <v>10</v>
      </c>
      <c r="D419" s="3" t="b">
        <v>0</v>
      </c>
      <c r="E419" s="3">
        <v>3</v>
      </c>
      <c r="F419" s="3">
        <v>2</v>
      </c>
      <c r="G419" s="3">
        <v>0.26</v>
      </c>
      <c r="H419" t="str">
        <f t="shared" si="50"/>
        <v>Wed</v>
      </c>
      <c r="I419">
        <f t="shared" si="45"/>
        <v>0.2727</v>
      </c>
      <c r="J419">
        <f t="shared" si="46"/>
        <v>0.93</v>
      </c>
      <c r="K419">
        <f t="shared" si="47"/>
        <v>0.1343</v>
      </c>
      <c r="L419">
        <f t="shared" si="48"/>
        <v>1</v>
      </c>
      <c r="M419">
        <f t="shared" si="49"/>
        <v>46</v>
      </c>
      <c r="N419" t="str">
        <f t="shared" si="51"/>
        <v>Day Shift</v>
      </c>
    </row>
    <row r="420" spans="1:14" x14ac:dyDescent="0.3">
      <c r="A420" s="3">
        <v>419</v>
      </c>
      <c r="B420" s="4">
        <v>40562</v>
      </c>
      <c r="C420" s="3">
        <v>11</v>
      </c>
      <c r="D420" s="3" t="b">
        <v>0</v>
      </c>
      <c r="E420" s="3">
        <v>3</v>
      </c>
      <c r="F420" s="3">
        <v>2</v>
      </c>
      <c r="G420" s="3">
        <v>0.28000000000000003</v>
      </c>
      <c r="H420" t="str">
        <f t="shared" si="50"/>
        <v>Wed</v>
      </c>
      <c r="I420">
        <f t="shared" si="45"/>
        <v>0.30299999999999999</v>
      </c>
      <c r="J420">
        <f t="shared" si="46"/>
        <v>0.87</v>
      </c>
      <c r="K420">
        <f t="shared" si="47"/>
        <v>8.9599999999999999E-2</v>
      </c>
      <c r="L420">
        <f t="shared" si="48"/>
        <v>5</v>
      </c>
      <c r="M420">
        <f t="shared" si="49"/>
        <v>47</v>
      </c>
      <c r="N420" t="str">
        <f t="shared" si="51"/>
        <v>Day Shift</v>
      </c>
    </row>
    <row r="421" spans="1:14" x14ac:dyDescent="0.3">
      <c r="A421" s="3">
        <v>420</v>
      </c>
      <c r="B421" s="4">
        <v>40562</v>
      </c>
      <c r="C421" s="3">
        <v>12</v>
      </c>
      <c r="D421" s="3" t="b">
        <v>0</v>
      </c>
      <c r="E421" s="3">
        <v>3</v>
      </c>
      <c r="F421" s="3">
        <v>2</v>
      </c>
      <c r="G421" s="3">
        <v>0.3</v>
      </c>
      <c r="H421" t="str">
        <f t="shared" si="50"/>
        <v>Wed</v>
      </c>
      <c r="I421">
        <f t="shared" si="45"/>
        <v>0.31819999999999998</v>
      </c>
      <c r="J421">
        <f t="shared" si="46"/>
        <v>0.81</v>
      </c>
      <c r="K421">
        <f t="shared" si="47"/>
        <v>8.9599999999999999E-2</v>
      </c>
      <c r="L421">
        <f t="shared" si="48"/>
        <v>5</v>
      </c>
      <c r="M421">
        <f t="shared" si="49"/>
        <v>65</v>
      </c>
      <c r="N421" t="str">
        <f t="shared" si="51"/>
        <v>Day Shift</v>
      </c>
    </row>
    <row r="422" spans="1:14" x14ac:dyDescent="0.3">
      <c r="A422" s="3">
        <v>421</v>
      </c>
      <c r="B422" s="4">
        <v>40562</v>
      </c>
      <c r="C422" s="3">
        <v>13</v>
      </c>
      <c r="D422" s="3" t="b">
        <v>0</v>
      </c>
      <c r="E422" s="3">
        <v>3</v>
      </c>
      <c r="F422" s="3">
        <v>1</v>
      </c>
      <c r="G422" s="3">
        <v>0.4</v>
      </c>
      <c r="H422" t="str">
        <f t="shared" si="50"/>
        <v>Wed</v>
      </c>
      <c r="I422">
        <f t="shared" si="45"/>
        <v>0.40910000000000002</v>
      </c>
      <c r="J422">
        <f t="shared" si="46"/>
        <v>0.62</v>
      </c>
      <c r="K422">
        <f t="shared" si="47"/>
        <v>0.28360000000000002</v>
      </c>
      <c r="L422">
        <f t="shared" si="48"/>
        <v>11</v>
      </c>
      <c r="M422">
        <f t="shared" si="49"/>
        <v>67</v>
      </c>
      <c r="N422" t="str">
        <f t="shared" si="51"/>
        <v>Day Shift</v>
      </c>
    </row>
    <row r="423" spans="1:14" x14ac:dyDescent="0.3">
      <c r="A423" s="3">
        <v>422</v>
      </c>
      <c r="B423" s="4">
        <v>40562</v>
      </c>
      <c r="C423" s="3">
        <v>14</v>
      </c>
      <c r="D423" s="3" t="b">
        <v>0</v>
      </c>
      <c r="E423" s="3">
        <v>3</v>
      </c>
      <c r="F423" s="3">
        <v>1</v>
      </c>
      <c r="G423" s="3">
        <v>0.4</v>
      </c>
      <c r="H423" t="str">
        <f t="shared" si="50"/>
        <v>Wed</v>
      </c>
      <c r="I423">
        <f t="shared" si="45"/>
        <v>0.40910000000000002</v>
      </c>
      <c r="J423">
        <f t="shared" si="46"/>
        <v>0.57999999999999996</v>
      </c>
      <c r="K423">
        <f t="shared" si="47"/>
        <v>0.25369999999999998</v>
      </c>
      <c r="L423">
        <f t="shared" si="48"/>
        <v>7</v>
      </c>
      <c r="M423">
        <f t="shared" si="49"/>
        <v>68</v>
      </c>
      <c r="N423" t="str">
        <f t="shared" si="51"/>
        <v>Day Shift</v>
      </c>
    </row>
    <row r="424" spans="1:14" x14ac:dyDescent="0.3">
      <c r="A424" s="3">
        <v>423</v>
      </c>
      <c r="B424" s="4">
        <v>40562</v>
      </c>
      <c r="C424" s="3">
        <v>15</v>
      </c>
      <c r="D424" s="3" t="b">
        <v>0</v>
      </c>
      <c r="E424" s="3">
        <v>3</v>
      </c>
      <c r="F424" s="3">
        <v>1</v>
      </c>
      <c r="G424" s="3">
        <v>0.4</v>
      </c>
      <c r="H424" t="str">
        <f t="shared" si="50"/>
        <v>Wed</v>
      </c>
      <c r="I424">
        <f t="shared" si="45"/>
        <v>0.40910000000000002</v>
      </c>
      <c r="J424">
        <f t="shared" si="46"/>
        <v>0.54</v>
      </c>
      <c r="K424">
        <f t="shared" si="47"/>
        <v>0.28360000000000002</v>
      </c>
      <c r="L424">
        <f t="shared" si="48"/>
        <v>4</v>
      </c>
      <c r="M424">
        <f t="shared" si="49"/>
        <v>78</v>
      </c>
      <c r="N424" t="str">
        <f t="shared" si="51"/>
        <v>Day Shift</v>
      </c>
    </row>
    <row r="425" spans="1:14" x14ac:dyDescent="0.3">
      <c r="A425" s="3">
        <v>424</v>
      </c>
      <c r="B425" s="4">
        <v>40562</v>
      </c>
      <c r="C425" s="3">
        <v>16</v>
      </c>
      <c r="D425" s="3" t="b">
        <v>0</v>
      </c>
      <c r="E425" s="3">
        <v>3</v>
      </c>
      <c r="F425" s="3">
        <v>1</v>
      </c>
      <c r="G425" s="3">
        <v>0.38</v>
      </c>
      <c r="H425" t="str">
        <f t="shared" si="50"/>
        <v>Wed</v>
      </c>
      <c r="I425">
        <f t="shared" si="45"/>
        <v>0.39389999999999997</v>
      </c>
      <c r="J425">
        <f t="shared" si="46"/>
        <v>0.57999999999999996</v>
      </c>
      <c r="K425">
        <f t="shared" si="47"/>
        <v>0.3881</v>
      </c>
      <c r="L425">
        <f t="shared" si="48"/>
        <v>10</v>
      </c>
      <c r="M425">
        <f t="shared" si="49"/>
        <v>94</v>
      </c>
      <c r="N425" t="str">
        <f t="shared" si="51"/>
        <v>Day Shift</v>
      </c>
    </row>
    <row r="426" spans="1:14" x14ac:dyDescent="0.3">
      <c r="A426" s="3">
        <v>425</v>
      </c>
      <c r="B426" s="4">
        <v>40562</v>
      </c>
      <c r="C426" s="3">
        <v>17</v>
      </c>
      <c r="D426" s="3" t="b">
        <v>0</v>
      </c>
      <c r="E426" s="3">
        <v>3</v>
      </c>
      <c r="F426" s="3">
        <v>1</v>
      </c>
      <c r="G426" s="3">
        <v>0.36</v>
      </c>
      <c r="H426" t="str">
        <f t="shared" si="50"/>
        <v>Wed</v>
      </c>
      <c r="I426">
        <f t="shared" si="45"/>
        <v>0.33329999999999999</v>
      </c>
      <c r="J426">
        <f t="shared" si="46"/>
        <v>0.56999999999999995</v>
      </c>
      <c r="K426">
        <f t="shared" si="47"/>
        <v>0.32840000000000003</v>
      </c>
      <c r="L426">
        <f t="shared" si="48"/>
        <v>7</v>
      </c>
      <c r="M426">
        <f t="shared" si="49"/>
        <v>190</v>
      </c>
      <c r="N426" t="str">
        <f t="shared" si="51"/>
        <v>Day Shift</v>
      </c>
    </row>
    <row r="427" spans="1:14" x14ac:dyDescent="0.3">
      <c r="A427" s="3">
        <v>426</v>
      </c>
      <c r="B427" s="4">
        <v>40562</v>
      </c>
      <c r="C427" s="3">
        <v>18</v>
      </c>
      <c r="D427" s="3" t="b">
        <v>0</v>
      </c>
      <c r="E427" s="3">
        <v>3</v>
      </c>
      <c r="F427" s="3">
        <v>1</v>
      </c>
      <c r="G427" s="3">
        <v>0.34</v>
      </c>
      <c r="H427" t="str">
        <f t="shared" si="50"/>
        <v>Wed</v>
      </c>
      <c r="I427">
        <f t="shared" si="45"/>
        <v>0.31819999999999998</v>
      </c>
      <c r="J427">
        <f t="shared" si="46"/>
        <v>0.61</v>
      </c>
      <c r="K427">
        <f t="shared" si="47"/>
        <v>0.28360000000000002</v>
      </c>
      <c r="L427">
        <f t="shared" si="48"/>
        <v>5</v>
      </c>
      <c r="M427">
        <f t="shared" si="49"/>
        <v>156</v>
      </c>
      <c r="N427" t="str">
        <f t="shared" si="51"/>
        <v>Day Shift</v>
      </c>
    </row>
    <row r="428" spans="1:14" x14ac:dyDescent="0.3">
      <c r="A428" s="3">
        <v>427</v>
      </c>
      <c r="B428" s="4">
        <v>40562</v>
      </c>
      <c r="C428" s="3">
        <v>19</v>
      </c>
      <c r="D428" s="3" t="b">
        <v>0</v>
      </c>
      <c r="E428" s="3">
        <v>3</v>
      </c>
      <c r="F428" s="3">
        <v>1</v>
      </c>
      <c r="G428" s="3">
        <v>0.32</v>
      </c>
      <c r="H428" t="str">
        <f t="shared" si="50"/>
        <v>Wed</v>
      </c>
      <c r="I428">
        <f t="shared" si="45"/>
        <v>0.28789999999999999</v>
      </c>
      <c r="J428">
        <f t="shared" si="46"/>
        <v>0.56999999999999995</v>
      </c>
      <c r="K428">
        <f t="shared" si="47"/>
        <v>0.41789999999999999</v>
      </c>
      <c r="L428">
        <f t="shared" si="48"/>
        <v>4</v>
      </c>
      <c r="M428">
        <f t="shared" si="49"/>
        <v>108</v>
      </c>
      <c r="N428" t="str">
        <f t="shared" si="51"/>
        <v>Night shift</v>
      </c>
    </row>
    <row r="429" spans="1:14" x14ac:dyDescent="0.3">
      <c r="A429" s="3">
        <v>428</v>
      </c>
      <c r="B429" s="4">
        <v>40562</v>
      </c>
      <c r="C429" s="3">
        <v>20</v>
      </c>
      <c r="D429" s="3" t="b">
        <v>0</v>
      </c>
      <c r="E429" s="3">
        <v>3</v>
      </c>
      <c r="F429" s="3">
        <v>1</v>
      </c>
      <c r="G429" s="3">
        <v>0.32</v>
      </c>
      <c r="H429" t="str">
        <f t="shared" si="50"/>
        <v>Wed</v>
      </c>
      <c r="I429">
        <f t="shared" si="45"/>
        <v>0.30299999999999999</v>
      </c>
      <c r="J429">
        <f t="shared" si="46"/>
        <v>0.49</v>
      </c>
      <c r="K429">
        <f t="shared" si="47"/>
        <v>0.29849999999999999</v>
      </c>
      <c r="L429">
        <f t="shared" si="48"/>
        <v>2</v>
      </c>
      <c r="M429">
        <f t="shared" si="49"/>
        <v>74</v>
      </c>
      <c r="N429" t="str">
        <f t="shared" si="51"/>
        <v>Night shift</v>
      </c>
    </row>
    <row r="430" spans="1:14" x14ac:dyDescent="0.3">
      <c r="A430" s="3">
        <v>429</v>
      </c>
      <c r="B430" s="4">
        <v>40562</v>
      </c>
      <c r="C430" s="3">
        <v>21</v>
      </c>
      <c r="D430" s="3" t="b">
        <v>0</v>
      </c>
      <c r="E430" s="3">
        <v>3</v>
      </c>
      <c r="F430" s="3">
        <v>1</v>
      </c>
      <c r="G430" s="3">
        <v>0.32</v>
      </c>
      <c r="H430" t="str">
        <f t="shared" si="50"/>
        <v>Wed</v>
      </c>
      <c r="I430">
        <f t="shared" si="45"/>
        <v>0.28789999999999999</v>
      </c>
      <c r="J430">
        <f t="shared" si="46"/>
        <v>0.49</v>
      </c>
      <c r="K430">
        <f t="shared" si="47"/>
        <v>0.41789999999999999</v>
      </c>
      <c r="L430">
        <f t="shared" si="48"/>
        <v>4</v>
      </c>
      <c r="M430">
        <f t="shared" si="49"/>
        <v>55</v>
      </c>
      <c r="N430" t="str">
        <f t="shared" si="51"/>
        <v>Night shift</v>
      </c>
    </row>
    <row r="431" spans="1:14" x14ac:dyDescent="0.3">
      <c r="A431" s="3">
        <v>430</v>
      </c>
      <c r="B431" s="4">
        <v>40562</v>
      </c>
      <c r="C431" s="3">
        <v>22</v>
      </c>
      <c r="D431" s="3" t="b">
        <v>0</v>
      </c>
      <c r="E431" s="3">
        <v>3</v>
      </c>
      <c r="F431" s="3">
        <v>1</v>
      </c>
      <c r="G431" s="3">
        <v>0.3</v>
      </c>
      <c r="H431" t="str">
        <f t="shared" si="50"/>
        <v>Wed</v>
      </c>
      <c r="I431">
        <f t="shared" si="45"/>
        <v>0.30299999999999999</v>
      </c>
      <c r="J431">
        <f t="shared" si="46"/>
        <v>0.52</v>
      </c>
      <c r="K431">
        <f t="shared" si="47"/>
        <v>0.16420000000000001</v>
      </c>
      <c r="L431">
        <f t="shared" si="48"/>
        <v>6</v>
      </c>
      <c r="M431">
        <f t="shared" si="49"/>
        <v>53</v>
      </c>
      <c r="N431" t="str">
        <f t="shared" si="51"/>
        <v>Night shift</v>
      </c>
    </row>
    <row r="432" spans="1:14" x14ac:dyDescent="0.3">
      <c r="A432" s="3">
        <v>431</v>
      </c>
      <c r="B432" s="4">
        <v>40562</v>
      </c>
      <c r="C432" s="3">
        <v>23</v>
      </c>
      <c r="D432" s="3" t="b">
        <v>0</v>
      </c>
      <c r="E432" s="3">
        <v>3</v>
      </c>
      <c r="F432" s="3">
        <v>1</v>
      </c>
      <c r="G432" s="3">
        <v>0.3</v>
      </c>
      <c r="H432" t="str">
        <f t="shared" si="50"/>
        <v>Wed</v>
      </c>
      <c r="I432">
        <f t="shared" si="45"/>
        <v>0.2727</v>
      </c>
      <c r="J432">
        <f t="shared" si="46"/>
        <v>0.52</v>
      </c>
      <c r="K432">
        <f t="shared" si="47"/>
        <v>0.4627</v>
      </c>
      <c r="L432">
        <f t="shared" si="48"/>
        <v>1</v>
      </c>
      <c r="M432">
        <f t="shared" si="49"/>
        <v>27</v>
      </c>
      <c r="N432" t="str">
        <f t="shared" si="51"/>
        <v>Night shift</v>
      </c>
    </row>
    <row r="433" spans="1:14" x14ac:dyDescent="0.3">
      <c r="A433" s="3">
        <v>432</v>
      </c>
      <c r="B433" s="4">
        <v>40563</v>
      </c>
      <c r="C433" s="3">
        <v>0</v>
      </c>
      <c r="D433" s="3" t="b">
        <v>0</v>
      </c>
      <c r="E433" s="3">
        <v>4</v>
      </c>
      <c r="F433" s="3">
        <v>1</v>
      </c>
      <c r="G433" s="3">
        <v>0.26</v>
      </c>
      <c r="H433" t="str">
        <f t="shared" si="50"/>
        <v>Thu</v>
      </c>
      <c r="I433">
        <f t="shared" si="45"/>
        <v>0.2273</v>
      </c>
      <c r="J433">
        <f t="shared" si="46"/>
        <v>0.56000000000000005</v>
      </c>
      <c r="K433">
        <f t="shared" si="47"/>
        <v>0.3881</v>
      </c>
      <c r="L433">
        <f t="shared" si="48"/>
        <v>5</v>
      </c>
      <c r="M433">
        <f t="shared" si="49"/>
        <v>8</v>
      </c>
      <c r="N433" t="str">
        <f t="shared" si="51"/>
        <v>Night shift</v>
      </c>
    </row>
    <row r="434" spans="1:14" x14ac:dyDescent="0.3">
      <c r="A434" s="3">
        <v>433</v>
      </c>
      <c r="B434" s="4">
        <v>40563</v>
      </c>
      <c r="C434" s="3">
        <v>1</v>
      </c>
      <c r="D434" s="3" t="b">
        <v>0</v>
      </c>
      <c r="E434" s="3">
        <v>4</v>
      </c>
      <c r="F434" s="3">
        <v>1</v>
      </c>
      <c r="G434" s="3">
        <v>0.26</v>
      </c>
      <c r="H434" t="str">
        <f t="shared" si="50"/>
        <v>Thu</v>
      </c>
      <c r="I434">
        <f t="shared" si="45"/>
        <v>0.2727</v>
      </c>
      <c r="J434">
        <f t="shared" si="46"/>
        <v>0.56000000000000005</v>
      </c>
      <c r="K434">
        <f t="shared" si="47"/>
        <v>0</v>
      </c>
      <c r="L434">
        <f t="shared" si="48"/>
        <v>2</v>
      </c>
      <c r="M434">
        <f t="shared" si="49"/>
        <v>3</v>
      </c>
      <c r="N434" t="str">
        <f t="shared" si="51"/>
        <v>Night shift</v>
      </c>
    </row>
    <row r="435" spans="1:14" x14ac:dyDescent="0.3">
      <c r="A435" s="3">
        <v>434</v>
      </c>
      <c r="B435" s="4">
        <v>40563</v>
      </c>
      <c r="C435" s="3">
        <v>2</v>
      </c>
      <c r="D435" s="3" t="b">
        <v>0</v>
      </c>
      <c r="E435" s="3">
        <v>4</v>
      </c>
      <c r="F435" s="3">
        <v>1</v>
      </c>
      <c r="G435" s="3">
        <v>0.26</v>
      </c>
      <c r="H435" t="str">
        <f t="shared" si="50"/>
        <v>Thu</v>
      </c>
      <c r="I435">
        <f t="shared" si="45"/>
        <v>0.2727</v>
      </c>
      <c r="J435">
        <f t="shared" si="46"/>
        <v>0.56000000000000005</v>
      </c>
      <c r="K435">
        <f t="shared" si="47"/>
        <v>0</v>
      </c>
      <c r="L435">
        <f t="shared" si="48"/>
        <v>0</v>
      </c>
      <c r="M435">
        <f t="shared" si="49"/>
        <v>2</v>
      </c>
      <c r="N435" t="str">
        <f t="shared" si="51"/>
        <v>Night shift</v>
      </c>
    </row>
    <row r="436" spans="1:14" x14ac:dyDescent="0.3">
      <c r="A436" s="3">
        <v>435</v>
      </c>
      <c r="B436" s="4">
        <v>40563</v>
      </c>
      <c r="C436" s="3">
        <v>3</v>
      </c>
      <c r="D436" s="3" t="b">
        <v>0</v>
      </c>
      <c r="E436" s="3">
        <v>4</v>
      </c>
      <c r="F436" s="3">
        <v>1</v>
      </c>
      <c r="G436" s="3">
        <v>0.26</v>
      </c>
      <c r="H436" t="str">
        <f t="shared" si="50"/>
        <v>Thu</v>
      </c>
      <c r="I436">
        <f t="shared" si="45"/>
        <v>0.2576</v>
      </c>
      <c r="J436">
        <f t="shared" si="46"/>
        <v>0.56000000000000005</v>
      </c>
      <c r="K436">
        <f t="shared" si="47"/>
        <v>0.16420000000000001</v>
      </c>
      <c r="L436">
        <f t="shared" si="48"/>
        <v>0</v>
      </c>
      <c r="M436">
        <f t="shared" si="49"/>
        <v>1</v>
      </c>
      <c r="N436" t="str">
        <f t="shared" si="51"/>
        <v>Night shift</v>
      </c>
    </row>
    <row r="437" spans="1:14" x14ac:dyDescent="0.3">
      <c r="A437" s="3">
        <v>436</v>
      </c>
      <c r="B437" s="4">
        <v>40563</v>
      </c>
      <c r="C437" s="3">
        <v>4</v>
      </c>
      <c r="D437" s="3" t="b">
        <v>0</v>
      </c>
      <c r="E437" s="3">
        <v>4</v>
      </c>
      <c r="F437" s="3">
        <v>1</v>
      </c>
      <c r="G437" s="3">
        <v>0.26</v>
      </c>
      <c r="H437" t="str">
        <f t="shared" si="50"/>
        <v>Thu</v>
      </c>
      <c r="I437">
        <f t="shared" si="45"/>
        <v>0.2576</v>
      </c>
      <c r="J437">
        <f t="shared" si="46"/>
        <v>0.56000000000000005</v>
      </c>
      <c r="K437">
        <f t="shared" si="47"/>
        <v>0.16420000000000001</v>
      </c>
      <c r="L437">
        <f t="shared" si="48"/>
        <v>0</v>
      </c>
      <c r="M437">
        <f t="shared" si="49"/>
        <v>1</v>
      </c>
      <c r="N437" t="str">
        <f t="shared" si="51"/>
        <v>Night shift</v>
      </c>
    </row>
    <row r="438" spans="1:14" x14ac:dyDescent="0.3">
      <c r="A438" s="3">
        <v>437</v>
      </c>
      <c r="B438" s="4">
        <v>40563</v>
      </c>
      <c r="C438" s="3">
        <v>5</v>
      </c>
      <c r="D438" s="3" t="b">
        <v>0</v>
      </c>
      <c r="E438" s="3">
        <v>4</v>
      </c>
      <c r="F438" s="3">
        <v>1</v>
      </c>
      <c r="G438" s="3">
        <v>0.24</v>
      </c>
      <c r="H438" t="str">
        <f t="shared" si="50"/>
        <v>Thu</v>
      </c>
      <c r="I438">
        <f t="shared" si="45"/>
        <v>0.2273</v>
      </c>
      <c r="J438">
        <f t="shared" si="46"/>
        <v>0.6</v>
      </c>
      <c r="K438">
        <f t="shared" si="47"/>
        <v>0.22389999999999999</v>
      </c>
      <c r="L438">
        <f t="shared" si="48"/>
        <v>0</v>
      </c>
      <c r="M438">
        <f t="shared" si="49"/>
        <v>6</v>
      </c>
      <c r="N438" t="str">
        <f t="shared" si="51"/>
        <v>Night shift</v>
      </c>
    </row>
    <row r="439" spans="1:14" x14ac:dyDescent="0.3">
      <c r="A439" s="3">
        <v>438</v>
      </c>
      <c r="B439" s="4">
        <v>40563</v>
      </c>
      <c r="C439" s="3">
        <v>6</v>
      </c>
      <c r="D439" s="3" t="b">
        <v>0</v>
      </c>
      <c r="E439" s="3">
        <v>4</v>
      </c>
      <c r="F439" s="3">
        <v>1</v>
      </c>
      <c r="G439" s="3">
        <v>0.22</v>
      </c>
      <c r="H439" t="str">
        <f t="shared" si="50"/>
        <v>Thu</v>
      </c>
      <c r="I439">
        <f t="shared" si="45"/>
        <v>0.21210000000000001</v>
      </c>
      <c r="J439">
        <f t="shared" si="46"/>
        <v>0.6</v>
      </c>
      <c r="K439">
        <f t="shared" si="47"/>
        <v>0.22389999999999999</v>
      </c>
      <c r="L439">
        <f t="shared" si="48"/>
        <v>0</v>
      </c>
      <c r="M439">
        <f t="shared" si="49"/>
        <v>35</v>
      </c>
      <c r="N439" t="str">
        <f t="shared" si="51"/>
        <v>Day Shift</v>
      </c>
    </row>
    <row r="440" spans="1:14" x14ac:dyDescent="0.3">
      <c r="A440" s="3">
        <v>439</v>
      </c>
      <c r="B440" s="4">
        <v>40563</v>
      </c>
      <c r="C440" s="3">
        <v>7</v>
      </c>
      <c r="D440" s="3" t="b">
        <v>0</v>
      </c>
      <c r="E440" s="3">
        <v>4</v>
      </c>
      <c r="F440" s="3">
        <v>1</v>
      </c>
      <c r="G440" s="3">
        <v>0.22</v>
      </c>
      <c r="H440" t="str">
        <f t="shared" si="50"/>
        <v>Thu</v>
      </c>
      <c r="I440">
        <f t="shared" si="45"/>
        <v>0.21210000000000001</v>
      </c>
      <c r="J440">
        <f t="shared" si="46"/>
        <v>0.55000000000000004</v>
      </c>
      <c r="K440">
        <f t="shared" si="47"/>
        <v>0.22389999999999999</v>
      </c>
      <c r="L440">
        <f t="shared" si="48"/>
        <v>1</v>
      </c>
      <c r="M440">
        <f t="shared" si="49"/>
        <v>100</v>
      </c>
      <c r="N440" t="str">
        <f t="shared" si="51"/>
        <v>Day Shift</v>
      </c>
    </row>
    <row r="441" spans="1:14" x14ac:dyDescent="0.3">
      <c r="A441" s="3">
        <v>440</v>
      </c>
      <c r="B441" s="4">
        <v>40563</v>
      </c>
      <c r="C441" s="3">
        <v>8</v>
      </c>
      <c r="D441" s="3" t="b">
        <v>0</v>
      </c>
      <c r="E441" s="3">
        <v>4</v>
      </c>
      <c r="F441" s="3">
        <v>1</v>
      </c>
      <c r="G441" s="3">
        <v>0.22</v>
      </c>
      <c r="H441" t="str">
        <f t="shared" si="50"/>
        <v>Thu</v>
      </c>
      <c r="I441">
        <f t="shared" si="45"/>
        <v>0.21210000000000001</v>
      </c>
      <c r="J441">
        <f t="shared" si="46"/>
        <v>0.55000000000000004</v>
      </c>
      <c r="K441">
        <f t="shared" si="47"/>
        <v>0.28360000000000002</v>
      </c>
      <c r="L441">
        <f t="shared" si="48"/>
        <v>2</v>
      </c>
      <c r="M441">
        <f t="shared" si="49"/>
        <v>247</v>
      </c>
      <c r="N441" t="str">
        <f t="shared" si="51"/>
        <v>Day Shift</v>
      </c>
    </row>
    <row r="442" spans="1:14" x14ac:dyDescent="0.3">
      <c r="A442" s="3">
        <v>441</v>
      </c>
      <c r="B442" s="4">
        <v>40563</v>
      </c>
      <c r="C442" s="3">
        <v>9</v>
      </c>
      <c r="D442" s="3" t="b">
        <v>0</v>
      </c>
      <c r="E442" s="3">
        <v>4</v>
      </c>
      <c r="F442" s="3">
        <v>2</v>
      </c>
      <c r="G442" s="3">
        <v>0.24</v>
      </c>
      <c r="H442" t="str">
        <f t="shared" si="50"/>
        <v>Thu</v>
      </c>
      <c r="I442">
        <f t="shared" si="45"/>
        <v>0.2273</v>
      </c>
      <c r="J442">
        <f t="shared" si="46"/>
        <v>0.52</v>
      </c>
      <c r="K442">
        <f t="shared" si="47"/>
        <v>0.22389999999999999</v>
      </c>
      <c r="L442">
        <f t="shared" si="48"/>
        <v>3</v>
      </c>
      <c r="M442">
        <f t="shared" si="49"/>
        <v>140</v>
      </c>
      <c r="N442" t="str">
        <f t="shared" si="51"/>
        <v>Day Shift</v>
      </c>
    </row>
    <row r="443" spans="1:14" x14ac:dyDescent="0.3">
      <c r="A443" s="3">
        <v>442</v>
      </c>
      <c r="B443" s="4">
        <v>40563</v>
      </c>
      <c r="C443" s="3">
        <v>10</v>
      </c>
      <c r="D443" s="3" t="b">
        <v>0</v>
      </c>
      <c r="E443" s="3">
        <v>4</v>
      </c>
      <c r="F443" s="3">
        <v>1</v>
      </c>
      <c r="G443" s="3">
        <v>0.26</v>
      </c>
      <c r="H443" t="str">
        <f t="shared" si="50"/>
        <v>Thu</v>
      </c>
      <c r="I443">
        <f t="shared" si="45"/>
        <v>0.2273</v>
      </c>
      <c r="J443">
        <f t="shared" si="46"/>
        <v>0.48</v>
      </c>
      <c r="K443">
        <f t="shared" si="47"/>
        <v>0.29849999999999999</v>
      </c>
      <c r="L443">
        <f t="shared" si="48"/>
        <v>1</v>
      </c>
      <c r="M443">
        <f t="shared" si="49"/>
        <v>56</v>
      </c>
      <c r="N443" t="str">
        <f t="shared" si="51"/>
        <v>Day Shift</v>
      </c>
    </row>
    <row r="444" spans="1:14" x14ac:dyDescent="0.3">
      <c r="A444" s="3">
        <v>443</v>
      </c>
      <c r="B444" s="4">
        <v>40563</v>
      </c>
      <c r="C444" s="3">
        <v>11</v>
      </c>
      <c r="D444" s="3" t="b">
        <v>0</v>
      </c>
      <c r="E444" s="3">
        <v>4</v>
      </c>
      <c r="F444" s="3">
        <v>2</v>
      </c>
      <c r="G444" s="3">
        <v>0.28000000000000003</v>
      </c>
      <c r="H444" t="str">
        <f t="shared" si="50"/>
        <v>Thu</v>
      </c>
      <c r="I444">
        <f t="shared" si="45"/>
        <v>0.2727</v>
      </c>
      <c r="J444">
        <f t="shared" si="46"/>
        <v>0.45</v>
      </c>
      <c r="K444">
        <f t="shared" si="47"/>
        <v>0.16420000000000001</v>
      </c>
      <c r="L444">
        <f t="shared" si="48"/>
        <v>5</v>
      </c>
      <c r="M444">
        <f t="shared" si="49"/>
        <v>63</v>
      </c>
      <c r="N444" t="str">
        <f t="shared" si="51"/>
        <v>Day Shift</v>
      </c>
    </row>
    <row r="445" spans="1:14" x14ac:dyDescent="0.3">
      <c r="A445" s="3">
        <v>444</v>
      </c>
      <c r="B445" s="4">
        <v>40563</v>
      </c>
      <c r="C445" s="3">
        <v>12</v>
      </c>
      <c r="D445" s="3" t="b">
        <v>0</v>
      </c>
      <c r="E445" s="3">
        <v>4</v>
      </c>
      <c r="F445" s="3">
        <v>2</v>
      </c>
      <c r="G445" s="3">
        <v>0.3</v>
      </c>
      <c r="H445" t="str">
        <f t="shared" si="50"/>
        <v>Thu</v>
      </c>
      <c r="I445">
        <f t="shared" si="45"/>
        <v>0.33329999999999999</v>
      </c>
      <c r="J445">
        <f t="shared" si="46"/>
        <v>0.42</v>
      </c>
      <c r="K445">
        <f t="shared" si="47"/>
        <v>0</v>
      </c>
      <c r="L445">
        <f t="shared" si="48"/>
        <v>7</v>
      </c>
      <c r="M445">
        <f t="shared" si="49"/>
        <v>77</v>
      </c>
      <c r="N445" t="str">
        <f t="shared" si="51"/>
        <v>Day Shift</v>
      </c>
    </row>
    <row r="446" spans="1:14" x14ac:dyDescent="0.3">
      <c r="A446" s="3">
        <v>445</v>
      </c>
      <c r="B446" s="4">
        <v>40563</v>
      </c>
      <c r="C446" s="3">
        <v>13</v>
      </c>
      <c r="D446" s="3" t="b">
        <v>0</v>
      </c>
      <c r="E446" s="3">
        <v>4</v>
      </c>
      <c r="F446" s="3">
        <v>2</v>
      </c>
      <c r="G446" s="3">
        <v>0.28000000000000003</v>
      </c>
      <c r="H446" t="str">
        <f t="shared" si="50"/>
        <v>Thu</v>
      </c>
      <c r="I446">
        <f t="shared" si="45"/>
        <v>0.28789999999999999</v>
      </c>
      <c r="J446">
        <f t="shared" si="46"/>
        <v>0.45</v>
      </c>
      <c r="K446">
        <f t="shared" si="47"/>
        <v>0.1045</v>
      </c>
      <c r="L446">
        <f t="shared" si="48"/>
        <v>12</v>
      </c>
      <c r="M446">
        <f t="shared" si="49"/>
        <v>86</v>
      </c>
      <c r="N446" t="str">
        <f t="shared" si="51"/>
        <v>Day Shift</v>
      </c>
    </row>
    <row r="447" spans="1:14" x14ac:dyDescent="0.3">
      <c r="A447" s="3">
        <v>446</v>
      </c>
      <c r="B447" s="4">
        <v>40563</v>
      </c>
      <c r="C447" s="3">
        <v>14</v>
      </c>
      <c r="D447" s="3" t="b">
        <v>0</v>
      </c>
      <c r="E447" s="3">
        <v>4</v>
      </c>
      <c r="F447" s="3">
        <v>2</v>
      </c>
      <c r="G447" s="3">
        <v>0.3</v>
      </c>
      <c r="H447" t="str">
        <f t="shared" si="50"/>
        <v>Thu</v>
      </c>
      <c r="I447">
        <f t="shared" si="45"/>
        <v>0.30299999999999999</v>
      </c>
      <c r="J447">
        <f t="shared" si="46"/>
        <v>0.45</v>
      </c>
      <c r="K447">
        <f t="shared" si="47"/>
        <v>0.1343</v>
      </c>
      <c r="L447">
        <f t="shared" si="48"/>
        <v>6</v>
      </c>
      <c r="M447">
        <f t="shared" si="49"/>
        <v>75</v>
      </c>
      <c r="N447" t="str">
        <f t="shared" si="51"/>
        <v>Day Shift</v>
      </c>
    </row>
    <row r="448" spans="1:14" x14ac:dyDescent="0.3">
      <c r="A448" s="3">
        <v>447</v>
      </c>
      <c r="B448" s="4">
        <v>40563</v>
      </c>
      <c r="C448" s="3">
        <v>15</v>
      </c>
      <c r="D448" s="3" t="b">
        <v>0</v>
      </c>
      <c r="E448" s="3">
        <v>4</v>
      </c>
      <c r="F448" s="3">
        <v>2</v>
      </c>
      <c r="G448" s="3">
        <v>0.32</v>
      </c>
      <c r="H448" t="str">
        <f t="shared" si="50"/>
        <v>Thu</v>
      </c>
      <c r="I448">
        <f t="shared" si="45"/>
        <v>0.31819999999999998</v>
      </c>
      <c r="J448">
        <f t="shared" si="46"/>
        <v>0.45</v>
      </c>
      <c r="K448">
        <f t="shared" si="47"/>
        <v>0.19400000000000001</v>
      </c>
      <c r="L448">
        <f t="shared" si="48"/>
        <v>8</v>
      </c>
      <c r="M448">
        <f t="shared" si="49"/>
        <v>62</v>
      </c>
      <c r="N448" t="str">
        <f t="shared" si="51"/>
        <v>Day Shift</v>
      </c>
    </row>
    <row r="449" spans="1:14" x14ac:dyDescent="0.3">
      <c r="A449" s="3">
        <v>448</v>
      </c>
      <c r="B449" s="4">
        <v>40563</v>
      </c>
      <c r="C449" s="3">
        <v>16</v>
      </c>
      <c r="D449" s="3" t="b">
        <v>0</v>
      </c>
      <c r="E449" s="3">
        <v>4</v>
      </c>
      <c r="F449" s="3">
        <v>2</v>
      </c>
      <c r="G449" s="3">
        <v>0.3</v>
      </c>
      <c r="H449" t="str">
        <f t="shared" si="50"/>
        <v>Thu</v>
      </c>
      <c r="I449">
        <f t="shared" si="45"/>
        <v>0.30299999999999999</v>
      </c>
      <c r="J449">
        <f t="shared" si="46"/>
        <v>0.49</v>
      </c>
      <c r="K449">
        <f t="shared" si="47"/>
        <v>0.1343</v>
      </c>
      <c r="L449">
        <f t="shared" si="48"/>
        <v>8</v>
      </c>
      <c r="M449">
        <f t="shared" si="49"/>
        <v>83</v>
      </c>
      <c r="N449" t="str">
        <f t="shared" si="51"/>
        <v>Day Shift</v>
      </c>
    </row>
    <row r="450" spans="1:14" x14ac:dyDescent="0.3">
      <c r="A450" s="3">
        <v>449</v>
      </c>
      <c r="B450" s="4">
        <v>40563</v>
      </c>
      <c r="C450" s="3">
        <v>17</v>
      </c>
      <c r="D450" s="3" t="b">
        <v>0</v>
      </c>
      <c r="E450" s="3">
        <v>4</v>
      </c>
      <c r="F450" s="3">
        <v>2</v>
      </c>
      <c r="G450" s="3">
        <v>0.3</v>
      </c>
      <c r="H450" t="str">
        <f t="shared" si="50"/>
        <v>Thu</v>
      </c>
      <c r="I450">
        <f t="shared" ref="I450:I513" si="52">VLOOKUP($A450,instantc,3,FALSE)</f>
        <v>0.31819999999999998</v>
      </c>
      <c r="J450">
        <f t="shared" ref="J450:J513" si="53">VLOOKUP($A450,instantc,4,FALSE)</f>
        <v>0.49</v>
      </c>
      <c r="K450">
        <f t="shared" ref="K450:K513" si="54">VLOOKUP($A450,instantc,5,FALSE)</f>
        <v>0.1045</v>
      </c>
      <c r="L450">
        <f t="shared" ref="L450:L513" si="55">VLOOKUP($A450,instantc,6,FALSE)</f>
        <v>8</v>
      </c>
      <c r="M450">
        <f t="shared" ref="M450:M513" si="56">VLOOKUP($A450,instantc,7,FALSE)</f>
        <v>207</v>
      </c>
      <c r="N450" t="str">
        <f t="shared" si="51"/>
        <v>Day Shift</v>
      </c>
    </row>
    <row r="451" spans="1:14" x14ac:dyDescent="0.3">
      <c r="A451" s="3">
        <v>450</v>
      </c>
      <c r="B451" s="4">
        <v>40563</v>
      </c>
      <c r="C451" s="3">
        <v>18</v>
      </c>
      <c r="D451" s="3" t="b">
        <v>0</v>
      </c>
      <c r="E451" s="3">
        <v>4</v>
      </c>
      <c r="F451" s="3">
        <v>2</v>
      </c>
      <c r="G451" s="3">
        <v>0.26</v>
      </c>
      <c r="H451" t="str">
        <f t="shared" ref="H451:H514" si="57">TEXT(B451,"ddd")</f>
        <v>Thu</v>
      </c>
      <c r="I451">
        <f t="shared" si="52"/>
        <v>0.2576</v>
      </c>
      <c r="J451">
        <f t="shared" si="53"/>
        <v>0.56000000000000005</v>
      </c>
      <c r="K451">
        <f t="shared" si="54"/>
        <v>0.19400000000000001</v>
      </c>
      <c r="L451">
        <f t="shared" si="55"/>
        <v>1</v>
      </c>
      <c r="M451">
        <f t="shared" si="56"/>
        <v>184</v>
      </c>
      <c r="N451" t="str">
        <f t="shared" ref="N451:N514" si="58">IF(AND(C451&gt;=6,C451&lt;=18),"Day Shift","Night shift")</f>
        <v>Day Shift</v>
      </c>
    </row>
    <row r="452" spans="1:14" x14ac:dyDescent="0.3">
      <c r="A452" s="3">
        <v>451</v>
      </c>
      <c r="B452" s="4">
        <v>40563</v>
      </c>
      <c r="C452" s="3">
        <v>19</v>
      </c>
      <c r="D452" s="3" t="b">
        <v>0</v>
      </c>
      <c r="E452" s="3">
        <v>4</v>
      </c>
      <c r="F452" s="3">
        <v>1</v>
      </c>
      <c r="G452" s="3">
        <v>0.26</v>
      </c>
      <c r="H452" t="str">
        <f t="shared" si="57"/>
        <v>Thu</v>
      </c>
      <c r="I452">
        <f t="shared" si="52"/>
        <v>0.2273</v>
      </c>
      <c r="J452">
        <f t="shared" si="53"/>
        <v>0.56000000000000005</v>
      </c>
      <c r="K452">
        <f t="shared" si="54"/>
        <v>0.32840000000000003</v>
      </c>
      <c r="L452">
        <f t="shared" si="55"/>
        <v>6</v>
      </c>
      <c r="M452">
        <f t="shared" si="56"/>
        <v>146</v>
      </c>
      <c r="N452" t="str">
        <f t="shared" si="58"/>
        <v>Night shift</v>
      </c>
    </row>
    <row r="453" spans="1:14" x14ac:dyDescent="0.3">
      <c r="A453" s="3">
        <v>452</v>
      </c>
      <c r="B453" s="4">
        <v>40563</v>
      </c>
      <c r="C453" s="3">
        <v>20</v>
      </c>
      <c r="D453" s="3" t="b">
        <v>0</v>
      </c>
      <c r="E453" s="3">
        <v>4</v>
      </c>
      <c r="F453" s="3">
        <v>2</v>
      </c>
      <c r="G453" s="3">
        <v>0.26</v>
      </c>
      <c r="H453" t="str">
        <f t="shared" si="57"/>
        <v>Thu</v>
      </c>
      <c r="I453">
        <f t="shared" si="52"/>
        <v>0.2424</v>
      </c>
      <c r="J453">
        <f t="shared" si="53"/>
        <v>0.6</v>
      </c>
      <c r="K453">
        <f t="shared" si="54"/>
        <v>0.28360000000000002</v>
      </c>
      <c r="L453">
        <f t="shared" si="55"/>
        <v>2</v>
      </c>
      <c r="M453">
        <f t="shared" si="56"/>
        <v>124</v>
      </c>
      <c r="N453" t="str">
        <f t="shared" si="58"/>
        <v>Night shift</v>
      </c>
    </row>
    <row r="454" spans="1:14" x14ac:dyDescent="0.3">
      <c r="A454" s="3">
        <v>453</v>
      </c>
      <c r="B454" s="4">
        <v>40563</v>
      </c>
      <c r="C454" s="3">
        <v>21</v>
      </c>
      <c r="D454" s="3" t="b">
        <v>0</v>
      </c>
      <c r="E454" s="3">
        <v>4</v>
      </c>
      <c r="F454" s="3">
        <v>2</v>
      </c>
      <c r="G454" s="3">
        <v>0.24</v>
      </c>
      <c r="H454" t="str">
        <f t="shared" si="57"/>
        <v>Thu</v>
      </c>
      <c r="I454">
        <f t="shared" si="52"/>
        <v>0.2273</v>
      </c>
      <c r="J454">
        <f t="shared" si="53"/>
        <v>0.6</v>
      </c>
      <c r="K454">
        <f t="shared" si="54"/>
        <v>0.25369999999999998</v>
      </c>
      <c r="L454">
        <f t="shared" si="55"/>
        <v>3</v>
      </c>
      <c r="M454">
        <f t="shared" si="56"/>
        <v>54</v>
      </c>
      <c r="N454" t="str">
        <f t="shared" si="58"/>
        <v>Night shift</v>
      </c>
    </row>
    <row r="455" spans="1:14" x14ac:dyDescent="0.3">
      <c r="A455" s="3">
        <v>454</v>
      </c>
      <c r="B455" s="4">
        <v>40563</v>
      </c>
      <c r="C455" s="3">
        <v>22</v>
      </c>
      <c r="D455" s="3" t="b">
        <v>0</v>
      </c>
      <c r="E455" s="3">
        <v>4</v>
      </c>
      <c r="F455" s="3">
        <v>2</v>
      </c>
      <c r="G455" s="3">
        <v>0.24</v>
      </c>
      <c r="H455" t="str">
        <f t="shared" si="57"/>
        <v>Thu</v>
      </c>
      <c r="I455">
        <f t="shared" si="52"/>
        <v>0.21210000000000001</v>
      </c>
      <c r="J455">
        <f t="shared" si="53"/>
        <v>0.65</v>
      </c>
      <c r="K455">
        <f t="shared" si="54"/>
        <v>0.28360000000000002</v>
      </c>
      <c r="L455">
        <f t="shared" si="55"/>
        <v>0</v>
      </c>
      <c r="M455">
        <f t="shared" si="56"/>
        <v>56</v>
      </c>
      <c r="N455" t="str">
        <f t="shared" si="58"/>
        <v>Night shift</v>
      </c>
    </row>
    <row r="456" spans="1:14" x14ac:dyDescent="0.3">
      <c r="A456" s="3">
        <v>455</v>
      </c>
      <c r="B456" s="4">
        <v>40563</v>
      </c>
      <c r="C456" s="3">
        <v>23</v>
      </c>
      <c r="D456" s="3" t="b">
        <v>0</v>
      </c>
      <c r="E456" s="3">
        <v>4</v>
      </c>
      <c r="F456" s="3">
        <v>2</v>
      </c>
      <c r="G456" s="3">
        <v>0.24</v>
      </c>
      <c r="H456" t="str">
        <f t="shared" si="57"/>
        <v>Thu</v>
      </c>
      <c r="I456">
        <f t="shared" si="52"/>
        <v>0.21210000000000001</v>
      </c>
      <c r="J456">
        <f t="shared" si="53"/>
        <v>0.65</v>
      </c>
      <c r="K456">
        <f t="shared" si="54"/>
        <v>0.32840000000000003</v>
      </c>
      <c r="L456">
        <f t="shared" si="55"/>
        <v>3</v>
      </c>
      <c r="M456">
        <f t="shared" si="56"/>
        <v>28</v>
      </c>
      <c r="N456" t="str">
        <f t="shared" si="58"/>
        <v>Night shift</v>
      </c>
    </row>
    <row r="457" spans="1:14" x14ac:dyDescent="0.3">
      <c r="A457" s="3">
        <v>456</v>
      </c>
      <c r="B457" s="4">
        <v>40564</v>
      </c>
      <c r="C457" s="3">
        <v>0</v>
      </c>
      <c r="D457" s="3" t="b">
        <v>0</v>
      </c>
      <c r="E457" s="3">
        <v>5</v>
      </c>
      <c r="F457" s="3">
        <v>2</v>
      </c>
      <c r="G457" s="3">
        <v>0.24</v>
      </c>
      <c r="H457" t="str">
        <f t="shared" si="57"/>
        <v>Fri</v>
      </c>
      <c r="I457">
        <f t="shared" si="52"/>
        <v>0.2273</v>
      </c>
      <c r="J457">
        <f t="shared" si="53"/>
        <v>0.7</v>
      </c>
      <c r="K457">
        <f t="shared" si="54"/>
        <v>0.25369999999999998</v>
      </c>
      <c r="L457">
        <f t="shared" si="55"/>
        <v>1</v>
      </c>
      <c r="M457">
        <f t="shared" si="56"/>
        <v>20</v>
      </c>
      <c r="N457" t="str">
        <f t="shared" si="58"/>
        <v>Night shift</v>
      </c>
    </row>
    <row r="458" spans="1:14" x14ac:dyDescent="0.3">
      <c r="A458" s="3">
        <v>457</v>
      </c>
      <c r="B458" s="4">
        <v>40564</v>
      </c>
      <c r="C458" s="3">
        <v>1</v>
      </c>
      <c r="D458" s="3" t="b">
        <v>0</v>
      </c>
      <c r="E458" s="3">
        <v>5</v>
      </c>
      <c r="F458" s="3">
        <v>2</v>
      </c>
      <c r="G458" s="3">
        <v>0.24</v>
      </c>
      <c r="H458" t="str">
        <f t="shared" si="57"/>
        <v>Fri</v>
      </c>
      <c r="I458">
        <f t="shared" si="52"/>
        <v>0.2273</v>
      </c>
      <c r="J458">
        <f t="shared" si="53"/>
        <v>0.7</v>
      </c>
      <c r="K458">
        <f t="shared" si="54"/>
        <v>0.25369999999999998</v>
      </c>
      <c r="L458">
        <f t="shared" si="55"/>
        <v>0</v>
      </c>
      <c r="M458">
        <f t="shared" si="56"/>
        <v>6</v>
      </c>
      <c r="N458" t="str">
        <f t="shared" si="58"/>
        <v>Night shift</v>
      </c>
    </row>
    <row r="459" spans="1:14" x14ac:dyDescent="0.3">
      <c r="A459" s="3">
        <v>458</v>
      </c>
      <c r="B459" s="4">
        <v>40564</v>
      </c>
      <c r="C459" s="3">
        <v>2</v>
      </c>
      <c r="D459" s="3" t="b">
        <v>0</v>
      </c>
      <c r="E459" s="3">
        <v>5</v>
      </c>
      <c r="F459" s="3">
        <v>3</v>
      </c>
      <c r="G459" s="3">
        <v>0.24</v>
      </c>
      <c r="H459" t="str">
        <f t="shared" si="57"/>
        <v>Fri</v>
      </c>
      <c r="I459">
        <f t="shared" si="52"/>
        <v>0.2424</v>
      </c>
      <c r="J459">
        <f t="shared" si="53"/>
        <v>0.75</v>
      </c>
      <c r="K459">
        <f t="shared" si="54"/>
        <v>0.16420000000000001</v>
      </c>
      <c r="L459">
        <f t="shared" si="55"/>
        <v>0</v>
      </c>
      <c r="M459">
        <f t="shared" si="56"/>
        <v>2</v>
      </c>
      <c r="N459" t="str">
        <f t="shared" si="58"/>
        <v>Night shift</v>
      </c>
    </row>
    <row r="460" spans="1:14" x14ac:dyDescent="0.3">
      <c r="A460" s="3">
        <v>459</v>
      </c>
      <c r="B460" s="4">
        <v>40564</v>
      </c>
      <c r="C460" s="3">
        <v>3</v>
      </c>
      <c r="D460" s="3" t="b">
        <v>0</v>
      </c>
      <c r="E460" s="3">
        <v>5</v>
      </c>
      <c r="F460" s="3">
        <v>3</v>
      </c>
      <c r="G460" s="3">
        <v>0.22</v>
      </c>
      <c r="H460" t="str">
        <f t="shared" si="57"/>
        <v>Fri</v>
      </c>
      <c r="I460">
        <f t="shared" si="52"/>
        <v>0.21210000000000001</v>
      </c>
      <c r="J460">
        <f t="shared" si="53"/>
        <v>0.8</v>
      </c>
      <c r="K460">
        <f t="shared" si="54"/>
        <v>0.29849999999999999</v>
      </c>
      <c r="L460">
        <f t="shared" si="55"/>
        <v>0</v>
      </c>
      <c r="M460">
        <f t="shared" si="56"/>
        <v>1</v>
      </c>
      <c r="N460" t="str">
        <f t="shared" si="58"/>
        <v>Night shift</v>
      </c>
    </row>
    <row r="461" spans="1:14" x14ac:dyDescent="0.3">
      <c r="A461" s="3">
        <v>460</v>
      </c>
      <c r="B461" s="4">
        <v>40564</v>
      </c>
      <c r="C461" s="3">
        <v>4</v>
      </c>
      <c r="D461" s="3" t="b">
        <v>0</v>
      </c>
      <c r="E461" s="3">
        <v>5</v>
      </c>
      <c r="F461" s="3">
        <v>2</v>
      </c>
      <c r="G461" s="3">
        <v>0.22</v>
      </c>
      <c r="H461" t="str">
        <f t="shared" si="57"/>
        <v>Fri</v>
      </c>
      <c r="I461">
        <f t="shared" si="52"/>
        <v>0.2576</v>
      </c>
      <c r="J461">
        <f t="shared" si="53"/>
        <v>0.87</v>
      </c>
      <c r="K461">
        <f t="shared" si="54"/>
        <v>8.9599999999999999E-2</v>
      </c>
      <c r="L461">
        <f t="shared" si="55"/>
        <v>0</v>
      </c>
      <c r="M461">
        <f t="shared" si="56"/>
        <v>1</v>
      </c>
      <c r="N461" t="str">
        <f t="shared" si="58"/>
        <v>Night shift</v>
      </c>
    </row>
    <row r="462" spans="1:14" x14ac:dyDescent="0.3">
      <c r="A462" s="3">
        <v>461</v>
      </c>
      <c r="B462" s="4">
        <v>40564</v>
      </c>
      <c r="C462" s="3">
        <v>5</v>
      </c>
      <c r="D462" s="3" t="b">
        <v>0</v>
      </c>
      <c r="E462" s="3">
        <v>5</v>
      </c>
      <c r="F462" s="3">
        <v>1</v>
      </c>
      <c r="G462" s="3">
        <v>0.24</v>
      </c>
      <c r="H462" t="str">
        <f t="shared" si="57"/>
        <v>Fri</v>
      </c>
      <c r="I462">
        <f t="shared" si="52"/>
        <v>0.19700000000000001</v>
      </c>
      <c r="J462">
        <f t="shared" si="53"/>
        <v>0.6</v>
      </c>
      <c r="K462">
        <f t="shared" si="54"/>
        <v>0.41789999999999999</v>
      </c>
      <c r="L462">
        <f t="shared" si="55"/>
        <v>1</v>
      </c>
      <c r="M462">
        <f t="shared" si="56"/>
        <v>4</v>
      </c>
      <c r="N462" t="str">
        <f t="shared" si="58"/>
        <v>Night shift</v>
      </c>
    </row>
    <row r="463" spans="1:14" x14ac:dyDescent="0.3">
      <c r="A463" s="3">
        <v>462</v>
      </c>
      <c r="B463" s="4">
        <v>40564</v>
      </c>
      <c r="C463" s="3">
        <v>6</v>
      </c>
      <c r="D463" s="3" t="b">
        <v>0</v>
      </c>
      <c r="E463" s="3">
        <v>5</v>
      </c>
      <c r="F463" s="3">
        <v>1</v>
      </c>
      <c r="G463" s="3">
        <v>0.22</v>
      </c>
      <c r="H463" t="str">
        <f t="shared" si="57"/>
        <v>Fri</v>
      </c>
      <c r="I463">
        <f t="shared" si="52"/>
        <v>0.21210000000000001</v>
      </c>
      <c r="J463">
        <f t="shared" si="53"/>
        <v>0.55000000000000004</v>
      </c>
      <c r="K463">
        <f t="shared" si="54"/>
        <v>0.25369999999999998</v>
      </c>
      <c r="L463">
        <f t="shared" si="55"/>
        <v>0</v>
      </c>
      <c r="M463">
        <f t="shared" si="56"/>
        <v>27</v>
      </c>
      <c r="N463" t="str">
        <f t="shared" si="58"/>
        <v>Day Shift</v>
      </c>
    </row>
    <row r="464" spans="1:14" x14ac:dyDescent="0.3">
      <c r="A464" s="3">
        <v>463</v>
      </c>
      <c r="B464" s="4">
        <v>40564</v>
      </c>
      <c r="C464" s="3">
        <v>7</v>
      </c>
      <c r="D464" s="3" t="b">
        <v>0</v>
      </c>
      <c r="E464" s="3">
        <v>5</v>
      </c>
      <c r="F464" s="3">
        <v>1</v>
      </c>
      <c r="G464" s="3">
        <v>0.2</v>
      </c>
      <c r="H464" t="str">
        <f t="shared" si="57"/>
        <v>Fri</v>
      </c>
      <c r="I464">
        <f t="shared" si="52"/>
        <v>0.18179999999999999</v>
      </c>
      <c r="J464">
        <f t="shared" si="53"/>
        <v>0.51</v>
      </c>
      <c r="K464">
        <f t="shared" si="54"/>
        <v>0.28360000000000002</v>
      </c>
      <c r="L464">
        <f t="shared" si="55"/>
        <v>2</v>
      </c>
      <c r="M464">
        <f t="shared" si="56"/>
        <v>66</v>
      </c>
      <c r="N464" t="str">
        <f t="shared" si="58"/>
        <v>Day Shift</v>
      </c>
    </row>
    <row r="465" spans="1:14" x14ac:dyDescent="0.3">
      <c r="A465" s="3">
        <v>464</v>
      </c>
      <c r="B465" s="4">
        <v>40564</v>
      </c>
      <c r="C465" s="3">
        <v>8</v>
      </c>
      <c r="D465" s="3" t="b">
        <v>0</v>
      </c>
      <c r="E465" s="3">
        <v>5</v>
      </c>
      <c r="F465" s="3">
        <v>1</v>
      </c>
      <c r="G465" s="3">
        <v>0.2</v>
      </c>
      <c r="H465" t="str">
        <f t="shared" si="57"/>
        <v>Fri</v>
      </c>
      <c r="I465">
        <f t="shared" si="52"/>
        <v>0.18179999999999999</v>
      </c>
      <c r="J465">
        <f t="shared" si="53"/>
        <v>0.47</v>
      </c>
      <c r="K465">
        <f t="shared" si="54"/>
        <v>0.32840000000000003</v>
      </c>
      <c r="L465">
        <f t="shared" si="55"/>
        <v>7</v>
      </c>
      <c r="M465">
        <f t="shared" si="56"/>
        <v>210</v>
      </c>
      <c r="N465" t="str">
        <f t="shared" si="58"/>
        <v>Day Shift</v>
      </c>
    </row>
    <row r="466" spans="1:14" x14ac:dyDescent="0.3">
      <c r="A466" s="3">
        <v>465</v>
      </c>
      <c r="B466" s="4">
        <v>40564</v>
      </c>
      <c r="C466" s="3">
        <v>9</v>
      </c>
      <c r="D466" s="3" t="b">
        <v>0</v>
      </c>
      <c r="E466" s="3">
        <v>5</v>
      </c>
      <c r="F466" s="3">
        <v>1</v>
      </c>
      <c r="G466" s="3">
        <v>0.2</v>
      </c>
      <c r="H466" t="str">
        <f t="shared" si="57"/>
        <v>Fri</v>
      </c>
      <c r="I466">
        <f t="shared" si="52"/>
        <v>0.18179999999999999</v>
      </c>
      <c r="J466">
        <f t="shared" si="53"/>
        <v>0.51</v>
      </c>
      <c r="K466">
        <f t="shared" si="54"/>
        <v>0.35820000000000002</v>
      </c>
      <c r="L466">
        <f t="shared" si="55"/>
        <v>7</v>
      </c>
      <c r="M466">
        <f t="shared" si="56"/>
        <v>159</v>
      </c>
      <c r="N466" t="str">
        <f t="shared" si="58"/>
        <v>Day Shift</v>
      </c>
    </row>
    <row r="467" spans="1:14" x14ac:dyDescent="0.3">
      <c r="A467" s="3">
        <v>466</v>
      </c>
      <c r="B467" s="4">
        <v>40564</v>
      </c>
      <c r="C467" s="3">
        <v>10</v>
      </c>
      <c r="D467" s="3" t="b">
        <v>0</v>
      </c>
      <c r="E467" s="3">
        <v>5</v>
      </c>
      <c r="F467" s="3">
        <v>1</v>
      </c>
      <c r="G467" s="3">
        <v>0.2</v>
      </c>
      <c r="H467" t="str">
        <f t="shared" si="57"/>
        <v>Fri</v>
      </c>
      <c r="I467">
        <f t="shared" si="52"/>
        <v>0.16669999999999999</v>
      </c>
      <c r="J467">
        <f t="shared" si="53"/>
        <v>0.47</v>
      </c>
      <c r="K467">
        <f t="shared" si="54"/>
        <v>0.4627</v>
      </c>
      <c r="L467">
        <f t="shared" si="55"/>
        <v>6</v>
      </c>
      <c r="M467">
        <f t="shared" si="56"/>
        <v>57</v>
      </c>
      <c r="N467" t="str">
        <f t="shared" si="58"/>
        <v>Day Shift</v>
      </c>
    </row>
    <row r="468" spans="1:14" x14ac:dyDescent="0.3">
      <c r="A468" s="3">
        <v>467</v>
      </c>
      <c r="B468" s="4">
        <v>40564</v>
      </c>
      <c r="C468" s="3">
        <v>11</v>
      </c>
      <c r="D468" s="3" t="b">
        <v>0</v>
      </c>
      <c r="E468" s="3">
        <v>5</v>
      </c>
      <c r="F468" s="3">
        <v>1</v>
      </c>
      <c r="G468" s="3">
        <v>0.22</v>
      </c>
      <c r="H468" t="str">
        <f t="shared" si="57"/>
        <v>Fri</v>
      </c>
      <c r="I468">
        <f t="shared" si="52"/>
        <v>0.18179999999999999</v>
      </c>
      <c r="J468">
        <f t="shared" si="53"/>
        <v>0.41</v>
      </c>
      <c r="K468">
        <f t="shared" si="54"/>
        <v>0.4627</v>
      </c>
      <c r="L468">
        <f t="shared" si="55"/>
        <v>6</v>
      </c>
      <c r="M468">
        <f t="shared" si="56"/>
        <v>53</v>
      </c>
      <c r="N468" t="str">
        <f t="shared" si="58"/>
        <v>Day Shift</v>
      </c>
    </row>
    <row r="469" spans="1:14" x14ac:dyDescent="0.3">
      <c r="A469" s="3">
        <v>468</v>
      </c>
      <c r="B469" s="4">
        <v>40564</v>
      </c>
      <c r="C469" s="3">
        <v>12</v>
      </c>
      <c r="D469" s="3" t="b">
        <v>0</v>
      </c>
      <c r="E469" s="3">
        <v>5</v>
      </c>
      <c r="F469" s="3">
        <v>1</v>
      </c>
      <c r="G469" s="3">
        <v>0.22</v>
      </c>
      <c r="H469" t="str">
        <f t="shared" si="57"/>
        <v>Fri</v>
      </c>
      <c r="I469">
        <f t="shared" si="52"/>
        <v>0.18179999999999999</v>
      </c>
      <c r="J469">
        <f t="shared" si="53"/>
        <v>0.27</v>
      </c>
      <c r="K469">
        <f t="shared" si="54"/>
        <v>0.58209999999999995</v>
      </c>
      <c r="L469">
        <f t="shared" si="55"/>
        <v>11</v>
      </c>
      <c r="M469">
        <f t="shared" si="56"/>
        <v>67</v>
      </c>
      <c r="N469" t="str">
        <f t="shared" si="58"/>
        <v>Day Shift</v>
      </c>
    </row>
    <row r="470" spans="1:14" x14ac:dyDescent="0.3">
      <c r="A470" s="3">
        <v>469</v>
      </c>
      <c r="B470" s="4">
        <v>40564</v>
      </c>
      <c r="C470" s="3">
        <v>13</v>
      </c>
      <c r="D470" s="3" t="b">
        <v>0</v>
      </c>
      <c r="E470" s="3">
        <v>5</v>
      </c>
      <c r="F470" s="3">
        <v>1</v>
      </c>
      <c r="G470" s="3">
        <v>0.2</v>
      </c>
      <c r="H470" t="str">
        <f t="shared" si="57"/>
        <v>Fri</v>
      </c>
      <c r="I470">
        <f t="shared" si="52"/>
        <v>0.1515</v>
      </c>
      <c r="J470">
        <f t="shared" si="53"/>
        <v>0.21</v>
      </c>
      <c r="K470">
        <f t="shared" si="54"/>
        <v>0.58209999999999995</v>
      </c>
      <c r="L470">
        <f t="shared" si="55"/>
        <v>8</v>
      </c>
      <c r="M470">
        <f t="shared" si="56"/>
        <v>65</v>
      </c>
      <c r="N470" t="str">
        <f t="shared" si="58"/>
        <v>Day Shift</v>
      </c>
    </row>
    <row r="471" spans="1:14" x14ac:dyDescent="0.3">
      <c r="A471" s="3">
        <v>470</v>
      </c>
      <c r="B471" s="4">
        <v>40564</v>
      </c>
      <c r="C471" s="3">
        <v>14</v>
      </c>
      <c r="D471" s="3" t="b">
        <v>0</v>
      </c>
      <c r="E471" s="3">
        <v>5</v>
      </c>
      <c r="F471" s="3">
        <v>1</v>
      </c>
      <c r="G471" s="3">
        <v>0.2</v>
      </c>
      <c r="H471" t="str">
        <f t="shared" si="57"/>
        <v>Fri</v>
      </c>
      <c r="I471">
        <f t="shared" si="52"/>
        <v>0.1515</v>
      </c>
      <c r="J471">
        <f t="shared" si="53"/>
        <v>0.25</v>
      </c>
      <c r="K471">
        <f t="shared" si="54"/>
        <v>0.52239999999999998</v>
      </c>
      <c r="L471">
        <f t="shared" si="55"/>
        <v>6</v>
      </c>
      <c r="M471">
        <f t="shared" si="56"/>
        <v>56</v>
      </c>
      <c r="N471" t="str">
        <f t="shared" si="58"/>
        <v>Day Shift</v>
      </c>
    </row>
    <row r="472" spans="1:14" x14ac:dyDescent="0.3">
      <c r="A472" s="3">
        <v>471</v>
      </c>
      <c r="B472" s="4">
        <v>40564</v>
      </c>
      <c r="C472" s="3">
        <v>15</v>
      </c>
      <c r="D472" s="3" t="b">
        <v>0</v>
      </c>
      <c r="E472" s="3">
        <v>5</v>
      </c>
      <c r="F472" s="3">
        <v>1</v>
      </c>
      <c r="G472" s="3">
        <v>0.16</v>
      </c>
      <c r="H472" t="str">
        <f t="shared" si="57"/>
        <v>Fri</v>
      </c>
      <c r="I472">
        <f t="shared" si="52"/>
        <v>0.1212</v>
      </c>
      <c r="J472">
        <f t="shared" si="53"/>
        <v>0.26</v>
      </c>
      <c r="K472">
        <f t="shared" si="54"/>
        <v>0.44779999999999998</v>
      </c>
      <c r="L472">
        <f t="shared" si="55"/>
        <v>4</v>
      </c>
      <c r="M472">
        <f t="shared" si="56"/>
        <v>61</v>
      </c>
      <c r="N472" t="str">
        <f t="shared" si="58"/>
        <v>Day Shift</v>
      </c>
    </row>
    <row r="473" spans="1:14" x14ac:dyDescent="0.3">
      <c r="A473" s="3">
        <v>472</v>
      </c>
      <c r="B473" s="4">
        <v>40564</v>
      </c>
      <c r="C473" s="3">
        <v>16</v>
      </c>
      <c r="D473" s="3" t="b">
        <v>0</v>
      </c>
      <c r="E473" s="3">
        <v>5</v>
      </c>
      <c r="F473" s="3">
        <v>1</v>
      </c>
      <c r="G473" s="3">
        <v>0.16</v>
      </c>
      <c r="H473" t="str">
        <f t="shared" si="57"/>
        <v>Fri</v>
      </c>
      <c r="I473">
        <f t="shared" si="52"/>
        <v>0.13639999999999999</v>
      </c>
      <c r="J473">
        <f t="shared" si="53"/>
        <v>0.26</v>
      </c>
      <c r="K473">
        <f t="shared" si="54"/>
        <v>0.35820000000000002</v>
      </c>
      <c r="L473">
        <f t="shared" si="55"/>
        <v>0</v>
      </c>
      <c r="M473">
        <f t="shared" si="56"/>
        <v>97</v>
      </c>
      <c r="N473" t="str">
        <f t="shared" si="58"/>
        <v>Day Shift</v>
      </c>
    </row>
    <row r="474" spans="1:14" x14ac:dyDescent="0.3">
      <c r="A474" s="3">
        <v>473</v>
      </c>
      <c r="B474" s="4">
        <v>40564</v>
      </c>
      <c r="C474" s="3">
        <v>17</v>
      </c>
      <c r="D474" s="3" t="b">
        <v>0</v>
      </c>
      <c r="E474" s="3">
        <v>5</v>
      </c>
      <c r="F474" s="3">
        <v>1</v>
      </c>
      <c r="G474" s="3">
        <v>0.14000000000000001</v>
      </c>
      <c r="H474" t="str">
        <f t="shared" si="57"/>
        <v>Fri</v>
      </c>
      <c r="I474">
        <f t="shared" si="52"/>
        <v>0.1212</v>
      </c>
      <c r="J474">
        <f t="shared" si="53"/>
        <v>0.28000000000000003</v>
      </c>
      <c r="K474">
        <f t="shared" si="54"/>
        <v>0.35820000000000002</v>
      </c>
      <c r="L474">
        <f t="shared" si="55"/>
        <v>10</v>
      </c>
      <c r="M474">
        <f t="shared" si="56"/>
        <v>151</v>
      </c>
      <c r="N474" t="str">
        <f t="shared" si="58"/>
        <v>Day Shift</v>
      </c>
    </row>
    <row r="475" spans="1:14" x14ac:dyDescent="0.3">
      <c r="A475" s="3">
        <v>474</v>
      </c>
      <c r="B475" s="4">
        <v>40564</v>
      </c>
      <c r="C475" s="3">
        <v>18</v>
      </c>
      <c r="D475" s="3" t="b">
        <v>0</v>
      </c>
      <c r="E475" s="3">
        <v>5</v>
      </c>
      <c r="F475" s="3">
        <v>1</v>
      </c>
      <c r="G475" s="3">
        <v>0.12</v>
      </c>
      <c r="H475" t="str">
        <f t="shared" si="57"/>
        <v>Fri</v>
      </c>
      <c r="I475">
        <f t="shared" si="52"/>
        <v>0.1212</v>
      </c>
      <c r="J475">
        <f t="shared" si="53"/>
        <v>0.3</v>
      </c>
      <c r="K475">
        <f t="shared" si="54"/>
        <v>0.25369999999999998</v>
      </c>
      <c r="L475">
        <f t="shared" si="55"/>
        <v>1</v>
      </c>
      <c r="M475">
        <f t="shared" si="56"/>
        <v>119</v>
      </c>
      <c r="N475" t="str">
        <f t="shared" si="58"/>
        <v>Day Shift</v>
      </c>
    </row>
    <row r="476" spans="1:14" x14ac:dyDescent="0.3">
      <c r="A476" s="3">
        <v>475</v>
      </c>
      <c r="B476" s="4">
        <v>40564</v>
      </c>
      <c r="C476" s="3">
        <v>19</v>
      </c>
      <c r="D476" s="3" t="b">
        <v>0</v>
      </c>
      <c r="E476" s="3">
        <v>5</v>
      </c>
      <c r="F476" s="3">
        <v>1</v>
      </c>
      <c r="G476" s="3">
        <v>0.12</v>
      </c>
      <c r="H476" t="str">
        <f t="shared" si="57"/>
        <v>Fri</v>
      </c>
      <c r="I476">
        <f t="shared" si="52"/>
        <v>0.1061</v>
      </c>
      <c r="J476">
        <f t="shared" si="53"/>
        <v>0.3</v>
      </c>
      <c r="K476">
        <f t="shared" si="54"/>
        <v>0.32840000000000003</v>
      </c>
      <c r="L476">
        <f t="shared" si="55"/>
        <v>3</v>
      </c>
      <c r="M476">
        <f t="shared" si="56"/>
        <v>93</v>
      </c>
      <c r="N476" t="str">
        <f t="shared" si="58"/>
        <v>Night shift</v>
      </c>
    </row>
    <row r="477" spans="1:14" x14ac:dyDescent="0.3">
      <c r="A477" s="3">
        <v>476</v>
      </c>
      <c r="B477" s="4">
        <v>40564</v>
      </c>
      <c r="C477" s="3">
        <v>20</v>
      </c>
      <c r="D477" s="3" t="b">
        <v>0</v>
      </c>
      <c r="E477" s="3">
        <v>5</v>
      </c>
      <c r="F477" s="3">
        <v>1</v>
      </c>
      <c r="G477" s="3">
        <v>0.1</v>
      </c>
      <c r="H477" t="str">
        <f t="shared" si="57"/>
        <v>Fri</v>
      </c>
      <c r="I477">
        <f t="shared" si="52"/>
        <v>7.5800000000000006E-2</v>
      </c>
      <c r="J477">
        <f t="shared" si="53"/>
        <v>0.33</v>
      </c>
      <c r="K477">
        <f t="shared" si="54"/>
        <v>0.41789999999999999</v>
      </c>
      <c r="L477">
        <f t="shared" si="55"/>
        <v>1</v>
      </c>
      <c r="M477">
        <f t="shared" si="56"/>
        <v>52</v>
      </c>
      <c r="N477" t="str">
        <f t="shared" si="58"/>
        <v>Night shift</v>
      </c>
    </row>
    <row r="478" spans="1:14" x14ac:dyDescent="0.3">
      <c r="A478" s="3">
        <v>477</v>
      </c>
      <c r="B478" s="4">
        <v>40564</v>
      </c>
      <c r="C478" s="3">
        <v>21</v>
      </c>
      <c r="D478" s="3" t="b">
        <v>0</v>
      </c>
      <c r="E478" s="3">
        <v>5</v>
      </c>
      <c r="F478" s="3">
        <v>1</v>
      </c>
      <c r="G478" s="3">
        <v>0.08</v>
      </c>
      <c r="H478" t="str">
        <f t="shared" si="57"/>
        <v>Fri</v>
      </c>
      <c r="I478">
        <f t="shared" si="52"/>
        <v>7.5800000000000006E-2</v>
      </c>
      <c r="J478">
        <f t="shared" si="53"/>
        <v>0.38</v>
      </c>
      <c r="K478">
        <f t="shared" si="54"/>
        <v>0.28360000000000002</v>
      </c>
      <c r="L478">
        <f t="shared" si="55"/>
        <v>0</v>
      </c>
      <c r="M478">
        <f t="shared" si="56"/>
        <v>41</v>
      </c>
      <c r="N478" t="str">
        <f t="shared" si="58"/>
        <v>Night shift</v>
      </c>
    </row>
    <row r="479" spans="1:14" x14ac:dyDescent="0.3">
      <c r="A479" s="3">
        <v>478</v>
      </c>
      <c r="B479" s="4">
        <v>40564</v>
      </c>
      <c r="C479" s="3">
        <v>22</v>
      </c>
      <c r="D479" s="3" t="b">
        <v>0</v>
      </c>
      <c r="E479" s="3">
        <v>5</v>
      </c>
      <c r="F479" s="3">
        <v>1</v>
      </c>
      <c r="G479" s="3">
        <v>0.06</v>
      </c>
      <c r="H479" t="str">
        <f t="shared" si="57"/>
        <v>Fri</v>
      </c>
      <c r="I479">
        <f t="shared" si="52"/>
        <v>3.0300000000000001E-2</v>
      </c>
      <c r="J479">
        <f t="shared" si="53"/>
        <v>0.41</v>
      </c>
      <c r="K479">
        <f t="shared" si="54"/>
        <v>0.3881</v>
      </c>
      <c r="L479">
        <f t="shared" si="55"/>
        <v>1</v>
      </c>
      <c r="M479">
        <f t="shared" si="56"/>
        <v>33</v>
      </c>
      <c r="N479" t="str">
        <f t="shared" si="58"/>
        <v>Night shift</v>
      </c>
    </row>
    <row r="480" spans="1:14" x14ac:dyDescent="0.3">
      <c r="A480" s="3">
        <v>479</v>
      </c>
      <c r="B480" s="4">
        <v>40564</v>
      </c>
      <c r="C480" s="3">
        <v>23</v>
      </c>
      <c r="D480" s="3" t="b">
        <v>0</v>
      </c>
      <c r="E480" s="3">
        <v>5</v>
      </c>
      <c r="F480" s="3">
        <v>1</v>
      </c>
      <c r="G480" s="3">
        <v>0.06</v>
      </c>
      <c r="H480" t="str">
        <f t="shared" si="57"/>
        <v>Fri</v>
      </c>
      <c r="I480">
        <f t="shared" si="52"/>
        <v>4.5499999999999999E-2</v>
      </c>
      <c r="J480">
        <f t="shared" si="53"/>
        <v>0.38</v>
      </c>
      <c r="K480">
        <f t="shared" si="54"/>
        <v>0.32840000000000003</v>
      </c>
      <c r="L480">
        <f t="shared" si="55"/>
        <v>0</v>
      </c>
      <c r="M480">
        <f t="shared" si="56"/>
        <v>27</v>
      </c>
      <c r="N480" t="str">
        <f t="shared" si="58"/>
        <v>Night shift</v>
      </c>
    </row>
    <row r="481" spans="1:14" x14ac:dyDescent="0.3">
      <c r="A481" s="3">
        <v>480</v>
      </c>
      <c r="B481" s="4">
        <v>40565</v>
      </c>
      <c r="C481" s="3">
        <v>0</v>
      </c>
      <c r="D481" s="3" t="b">
        <v>0</v>
      </c>
      <c r="E481" s="3">
        <v>6</v>
      </c>
      <c r="F481" s="3">
        <v>1</v>
      </c>
      <c r="G481" s="3">
        <v>0.04</v>
      </c>
      <c r="H481" t="str">
        <f t="shared" si="57"/>
        <v>Sat</v>
      </c>
      <c r="I481">
        <f t="shared" si="52"/>
        <v>3.0300000000000001E-2</v>
      </c>
      <c r="J481">
        <f t="shared" si="53"/>
        <v>0.45</v>
      </c>
      <c r="K481">
        <f t="shared" si="54"/>
        <v>0.25369999999999998</v>
      </c>
      <c r="L481">
        <f t="shared" si="55"/>
        <v>0</v>
      </c>
      <c r="M481">
        <f t="shared" si="56"/>
        <v>13</v>
      </c>
      <c r="N481" t="str">
        <f t="shared" si="58"/>
        <v>Night shift</v>
      </c>
    </row>
    <row r="482" spans="1:14" x14ac:dyDescent="0.3">
      <c r="A482" s="3">
        <v>481</v>
      </c>
      <c r="B482" s="4">
        <v>40565</v>
      </c>
      <c r="C482" s="3">
        <v>1</v>
      </c>
      <c r="D482" s="3" t="b">
        <v>0</v>
      </c>
      <c r="E482" s="3">
        <v>6</v>
      </c>
      <c r="F482" s="3">
        <v>2</v>
      </c>
      <c r="G482" s="3">
        <v>0.04</v>
      </c>
      <c r="H482" t="str">
        <f t="shared" si="57"/>
        <v>Sat</v>
      </c>
      <c r="I482">
        <f t="shared" si="52"/>
        <v>0</v>
      </c>
      <c r="J482">
        <f t="shared" si="53"/>
        <v>0.41</v>
      </c>
      <c r="K482">
        <f t="shared" si="54"/>
        <v>0.3881</v>
      </c>
      <c r="L482">
        <f t="shared" si="55"/>
        <v>3</v>
      </c>
      <c r="M482">
        <f t="shared" si="56"/>
        <v>9</v>
      </c>
      <c r="N482" t="str">
        <f t="shared" si="58"/>
        <v>Night shift</v>
      </c>
    </row>
    <row r="483" spans="1:14" x14ac:dyDescent="0.3">
      <c r="A483" s="3">
        <v>482</v>
      </c>
      <c r="B483" s="4">
        <v>40565</v>
      </c>
      <c r="C483" s="3">
        <v>2</v>
      </c>
      <c r="D483" s="3" t="b">
        <v>0</v>
      </c>
      <c r="E483" s="3">
        <v>6</v>
      </c>
      <c r="F483" s="3">
        <v>2</v>
      </c>
      <c r="G483" s="3">
        <v>0.04</v>
      </c>
      <c r="H483" t="str">
        <f t="shared" si="57"/>
        <v>Sat</v>
      </c>
      <c r="I483">
        <f t="shared" si="52"/>
        <v>3.0300000000000001E-2</v>
      </c>
      <c r="J483">
        <f t="shared" si="53"/>
        <v>0.41</v>
      </c>
      <c r="K483">
        <f t="shared" si="54"/>
        <v>0.25369999999999998</v>
      </c>
      <c r="L483">
        <f t="shared" si="55"/>
        <v>0</v>
      </c>
      <c r="M483">
        <f t="shared" si="56"/>
        <v>11</v>
      </c>
      <c r="N483" t="str">
        <f t="shared" si="58"/>
        <v>Night shift</v>
      </c>
    </row>
    <row r="484" spans="1:14" x14ac:dyDescent="0.3">
      <c r="A484" s="3">
        <v>483</v>
      </c>
      <c r="B484" s="4">
        <v>40565</v>
      </c>
      <c r="C484" s="3">
        <v>3</v>
      </c>
      <c r="D484" s="3" t="b">
        <v>0</v>
      </c>
      <c r="E484" s="3">
        <v>6</v>
      </c>
      <c r="F484" s="3">
        <v>2</v>
      </c>
      <c r="G484" s="3">
        <v>0.04</v>
      </c>
      <c r="H484" t="str">
        <f t="shared" si="57"/>
        <v>Sat</v>
      </c>
      <c r="I484">
        <f t="shared" si="52"/>
        <v>3.0300000000000001E-2</v>
      </c>
      <c r="J484">
        <f t="shared" si="53"/>
        <v>0.41</v>
      </c>
      <c r="K484">
        <f t="shared" si="54"/>
        <v>0.28360000000000002</v>
      </c>
      <c r="L484">
        <f t="shared" si="55"/>
        <v>1</v>
      </c>
      <c r="M484">
        <f t="shared" si="56"/>
        <v>6</v>
      </c>
      <c r="N484" t="str">
        <f t="shared" si="58"/>
        <v>Night shift</v>
      </c>
    </row>
    <row r="485" spans="1:14" x14ac:dyDescent="0.3">
      <c r="A485" s="3">
        <v>484</v>
      </c>
      <c r="B485" s="4">
        <v>40565</v>
      </c>
      <c r="C485" s="3">
        <v>4</v>
      </c>
      <c r="D485" s="3" t="b">
        <v>0</v>
      </c>
      <c r="E485" s="3">
        <v>6</v>
      </c>
      <c r="F485" s="3">
        <v>2</v>
      </c>
      <c r="G485" s="3">
        <v>0.02</v>
      </c>
      <c r="H485" t="str">
        <f t="shared" si="57"/>
        <v>Sat</v>
      </c>
      <c r="I485">
        <f t="shared" si="52"/>
        <v>1.52E-2</v>
      </c>
      <c r="J485">
        <f t="shared" si="53"/>
        <v>0.48</v>
      </c>
      <c r="K485">
        <f t="shared" si="54"/>
        <v>0.29849999999999999</v>
      </c>
      <c r="L485">
        <f t="shared" si="55"/>
        <v>0</v>
      </c>
      <c r="M485">
        <f t="shared" si="56"/>
        <v>3</v>
      </c>
      <c r="N485" t="str">
        <f t="shared" si="58"/>
        <v>Night shift</v>
      </c>
    </row>
    <row r="486" spans="1:14" x14ac:dyDescent="0.3">
      <c r="A486" s="3">
        <v>485</v>
      </c>
      <c r="B486" s="4">
        <v>40565</v>
      </c>
      <c r="C486" s="3">
        <v>6</v>
      </c>
      <c r="D486" s="3" t="b">
        <v>0</v>
      </c>
      <c r="E486" s="3">
        <v>6</v>
      </c>
      <c r="F486" s="3">
        <v>2</v>
      </c>
      <c r="G486" s="3">
        <v>0.02</v>
      </c>
      <c r="H486" t="str">
        <f t="shared" si="57"/>
        <v>Sat</v>
      </c>
      <c r="I486">
        <f t="shared" si="52"/>
        <v>3.0300000000000001E-2</v>
      </c>
      <c r="J486">
        <f t="shared" si="53"/>
        <v>0.44</v>
      </c>
      <c r="K486">
        <f t="shared" si="54"/>
        <v>0.22389999999999999</v>
      </c>
      <c r="L486">
        <f t="shared" si="55"/>
        <v>0</v>
      </c>
      <c r="M486">
        <f t="shared" si="56"/>
        <v>2</v>
      </c>
      <c r="N486" t="str">
        <f t="shared" si="58"/>
        <v>Day Shift</v>
      </c>
    </row>
    <row r="487" spans="1:14" x14ac:dyDescent="0.3">
      <c r="A487" s="3">
        <v>486</v>
      </c>
      <c r="B487" s="4">
        <v>40565</v>
      </c>
      <c r="C487" s="3">
        <v>7</v>
      </c>
      <c r="D487" s="3" t="b">
        <v>0</v>
      </c>
      <c r="E487" s="3">
        <v>6</v>
      </c>
      <c r="F487" s="3">
        <v>1</v>
      </c>
      <c r="G487" s="3">
        <v>0.02</v>
      </c>
      <c r="H487" t="str">
        <f t="shared" si="57"/>
        <v>Sat</v>
      </c>
      <c r="I487">
        <f t="shared" si="52"/>
        <v>1.52E-2</v>
      </c>
      <c r="J487">
        <f t="shared" si="53"/>
        <v>0.44</v>
      </c>
      <c r="K487">
        <f t="shared" si="54"/>
        <v>0.28360000000000002</v>
      </c>
      <c r="L487">
        <f t="shared" si="55"/>
        <v>0</v>
      </c>
      <c r="M487">
        <f t="shared" si="56"/>
        <v>8</v>
      </c>
      <c r="N487" t="str">
        <f t="shared" si="58"/>
        <v>Day Shift</v>
      </c>
    </row>
    <row r="488" spans="1:14" x14ac:dyDescent="0.3">
      <c r="A488" s="3">
        <v>487</v>
      </c>
      <c r="B488" s="4">
        <v>40565</v>
      </c>
      <c r="C488" s="3">
        <v>8</v>
      </c>
      <c r="D488" s="3" t="b">
        <v>0</v>
      </c>
      <c r="E488" s="3">
        <v>6</v>
      </c>
      <c r="F488" s="3">
        <v>1</v>
      </c>
      <c r="G488" s="3">
        <v>0.02</v>
      </c>
      <c r="H488" t="str">
        <f t="shared" si="57"/>
        <v>Sat</v>
      </c>
      <c r="I488">
        <f t="shared" si="52"/>
        <v>0</v>
      </c>
      <c r="J488">
        <f t="shared" si="53"/>
        <v>0.44</v>
      </c>
      <c r="K488">
        <f t="shared" si="54"/>
        <v>0.32840000000000003</v>
      </c>
      <c r="L488">
        <f t="shared" si="55"/>
        <v>1</v>
      </c>
      <c r="M488">
        <f t="shared" si="56"/>
        <v>26</v>
      </c>
      <c r="N488" t="str">
        <f t="shared" si="58"/>
        <v>Day Shift</v>
      </c>
    </row>
    <row r="489" spans="1:14" x14ac:dyDescent="0.3">
      <c r="A489" s="3">
        <v>488</v>
      </c>
      <c r="B489" s="4">
        <v>40565</v>
      </c>
      <c r="C489" s="3">
        <v>9</v>
      </c>
      <c r="D489" s="3" t="b">
        <v>0</v>
      </c>
      <c r="E489" s="3">
        <v>6</v>
      </c>
      <c r="F489" s="3">
        <v>1</v>
      </c>
      <c r="G489" s="3">
        <v>0.04</v>
      </c>
      <c r="H489" t="str">
        <f t="shared" si="57"/>
        <v>Sat</v>
      </c>
      <c r="I489">
        <f t="shared" si="52"/>
        <v>3.0300000000000001E-2</v>
      </c>
      <c r="J489">
        <f t="shared" si="53"/>
        <v>0.41</v>
      </c>
      <c r="K489">
        <f t="shared" si="54"/>
        <v>0.25369999999999998</v>
      </c>
      <c r="L489">
        <f t="shared" si="55"/>
        <v>3</v>
      </c>
      <c r="M489">
        <f t="shared" si="56"/>
        <v>37</v>
      </c>
      <c r="N489" t="str">
        <f t="shared" si="58"/>
        <v>Day Shift</v>
      </c>
    </row>
    <row r="490" spans="1:14" x14ac:dyDescent="0.3">
      <c r="A490" s="3">
        <v>489</v>
      </c>
      <c r="B490" s="4">
        <v>40565</v>
      </c>
      <c r="C490" s="3">
        <v>10</v>
      </c>
      <c r="D490" s="3" t="b">
        <v>0</v>
      </c>
      <c r="E490" s="3">
        <v>6</v>
      </c>
      <c r="F490" s="3">
        <v>2</v>
      </c>
      <c r="G490" s="3">
        <v>0.04</v>
      </c>
      <c r="H490" t="str">
        <f t="shared" si="57"/>
        <v>Sat</v>
      </c>
      <c r="I490">
        <f t="shared" si="52"/>
        <v>6.0600000000000001E-2</v>
      </c>
      <c r="J490">
        <f t="shared" si="53"/>
        <v>0.41</v>
      </c>
      <c r="K490">
        <f t="shared" si="54"/>
        <v>0.16420000000000001</v>
      </c>
      <c r="L490">
        <f t="shared" si="55"/>
        <v>3</v>
      </c>
      <c r="M490">
        <f t="shared" si="56"/>
        <v>50</v>
      </c>
      <c r="N490" t="str">
        <f t="shared" si="58"/>
        <v>Day Shift</v>
      </c>
    </row>
    <row r="491" spans="1:14" x14ac:dyDescent="0.3">
      <c r="A491" s="3">
        <v>490</v>
      </c>
      <c r="B491" s="4">
        <v>40565</v>
      </c>
      <c r="C491" s="3">
        <v>11</v>
      </c>
      <c r="D491" s="3" t="b">
        <v>0</v>
      </c>
      <c r="E491" s="3">
        <v>6</v>
      </c>
      <c r="F491" s="3">
        <v>2</v>
      </c>
      <c r="G491" s="3">
        <v>0.06</v>
      </c>
      <c r="H491" t="str">
        <f t="shared" si="57"/>
        <v>Sat</v>
      </c>
      <c r="I491">
        <f t="shared" si="52"/>
        <v>7.5800000000000006E-2</v>
      </c>
      <c r="J491">
        <f t="shared" si="53"/>
        <v>0.38</v>
      </c>
      <c r="K491">
        <f t="shared" si="54"/>
        <v>0.1343</v>
      </c>
      <c r="L491">
        <f t="shared" si="55"/>
        <v>4</v>
      </c>
      <c r="M491">
        <f t="shared" si="56"/>
        <v>59</v>
      </c>
      <c r="N491" t="str">
        <f t="shared" si="58"/>
        <v>Day Shift</v>
      </c>
    </row>
    <row r="492" spans="1:14" x14ac:dyDescent="0.3">
      <c r="A492" s="3">
        <v>491</v>
      </c>
      <c r="B492" s="4">
        <v>40565</v>
      </c>
      <c r="C492" s="3">
        <v>12</v>
      </c>
      <c r="D492" s="3" t="b">
        <v>0</v>
      </c>
      <c r="E492" s="3">
        <v>6</v>
      </c>
      <c r="F492" s="3">
        <v>2</v>
      </c>
      <c r="G492" s="3">
        <v>0.06</v>
      </c>
      <c r="H492" t="str">
        <f t="shared" si="57"/>
        <v>Sat</v>
      </c>
      <c r="I492">
        <f t="shared" si="52"/>
        <v>0.1061</v>
      </c>
      <c r="J492">
        <f t="shared" si="53"/>
        <v>0.38</v>
      </c>
      <c r="K492">
        <f t="shared" si="54"/>
        <v>0.1045</v>
      </c>
      <c r="L492">
        <f t="shared" si="55"/>
        <v>10</v>
      </c>
      <c r="M492">
        <f t="shared" si="56"/>
        <v>60</v>
      </c>
      <c r="N492" t="str">
        <f t="shared" si="58"/>
        <v>Day Shift</v>
      </c>
    </row>
    <row r="493" spans="1:14" x14ac:dyDescent="0.3">
      <c r="A493" s="3">
        <v>492</v>
      </c>
      <c r="B493" s="4">
        <v>40565</v>
      </c>
      <c r="C493" s="3">
        <v>13</v>
      </c>
      <c r="D493" s="3" t="b">
        <v>0</v>
      </c>
      <c r="E493" s="3">
        <v>6</v>
      </c>
      <c r="F493" s="3">
        <v>1</v>
      </c>
      <c r="G493" s="3">
        <v>0.08</v>
      </c>
      <c r="H493" t="str">
        <f t="shared" si="57"/>
        <v>Sat</v>
      </c>
      <c r="I493">
        <f t="shared" si="52"/>
        <v>0.16669999999999999</v>
      </c>
      <c r="J493">
        <f t="shared" si="53"/>
        <v>0.35</v>
      </c>
      <c r="K493">
        <f t="shared" si="54"/>
        <v>0</v>
      </c>
      <c r="L493">
        <f t="shared" si="55"/>
        <v>12</v>
      </c>
      <c r="M493">
        <f t="shared" si="56"/>
        <v>72</v>
      </c>
      <c r="N493" t="str">
        <f t="shared" si="58"/>
        <v>Day Shift</v>
      </c>
    </row>
    <row r="494" spans="1:14" x14ac:dyDescent="0.3">
      <c r="A494" s="3">
        <v>493</v>
      </c>
      <c r="B494" s="4">
        <v>40565</v>
      </c>
      <c r="C494" s="3">
        <v>14</v>
      </c>
      <c r="D494" s="3" t="b">
        <v>0</v>
      </c>
      <c r="E494" s="3">
        <v>6</v>
      </c>
      <c r="F494" s="3">
        <v>1</v>
      </c>
      <c r="G494" s="3">
        <v>0.1</v>
      </c>
      <c r="H494" t="str">
        <f t="shared" si="57"/>
        <v>Sat</v>
      </c>
      <c r="I494">
        <f t="shared" si="52"/>
        <v>0.13639999999999999</v>
      </c>
      <c r="J494">
        <f t="shared" si="53"/>
        <v>0.33</v>
      </c>
      <c r="K494">
        <f t="shared" si="54"/>
        <v>0.1045</v>
      </c>
      <c r="L494">
        <f t="shared" si="55"/>
        <v>11</v>
      </c>
      <c r="M494">
        <f t="shared" si="56"/>
        <v>64</v>
      </c>
      <c r="N494" t="str">
        <f t="shared" si="58"/>
        <v>Day Shift</v>
      </c>
    </row>
    <row r="495" spans="1:14" x14ac:dyDescent="0.3">
      <c r="A495" s="3">
        <v>494</v>
      </c>
      <c r="B495" s="4">
        <v>40565</v>
      </c>
      <c r="C495" s="3">
        <v>15</v>
      </c>
      <c r="D495" s="3" t="b">
        <v>0</v>
      </c>
      <c r="E495" s="3">
        <v>6</v>
      </c>
      <c r="F495" s="3">
        <v>1</v>
      </c>
      <c r="G495" s="3">
        <v>0.12</v>
      </c>
      <c r="H495" t="str">
        <f t="shared" si="57"/>
        <v>Sat</v>
      </c>
      <c r="I495">
        <f t="shared" si="52"/>
        <v>0.1515</v>
      </c>
      <c r="J495">
        <f t="shared" si="53"/>
        <v>0.28000000000000003</v>
      </c>
      <c r="K495">
        <f t="shared" si="54"/>
        <v>0</v>
      </c>
      <c r="L495">
        <f t="shared" si="55"/>
        <v>10</v>
      </c>
      <c r="M495">
        <f t="shared" si="56"/>
        <v>93</v>
      </c>
      <c r="N495" t="str">
        <f t="shared" si="58"/>
        <v>Day Shift</v>
      </c>
    </row>
    <row r="496" spans="1:14" x14ac:dyDescent="0.3">
      <c r="A496" s="3">
        <v>495</v>
      </c>
      <c r="B496" s="4">
        <v>40565</v>
      </c>
      <c r="C496" s="3">
        <v>16</v>
      </c>
      <c r="D496" s="3" t="b">
        <v>0</v>
      </c>
      <c r="E496" s="3">
        <v>6</v>
      </c>
      <c r="F496" s="3">
        <v>1</v>
      </c>
      <c r="G496" s="3">
        <v>0.12</v>
      </c>
      <c r="H496" t="str">
        <f t="shared" si="57"/>
        <v>Sat</v>
      </c>
      <c r="I496">
        <f t="shared" si="52"/>
        <v>0.13639999999999999</v>
      </c>
      <c r="J496">
        <f t="shared" si="53"/>
        <v>0.28000000000000003</v>
      </c>
      <c r="K496">
        <f t="shared" si="54"/>
        <v>0.19400000000000001</v>
      </c>
      <c r="L496">
        <f t="shared" si="55"/>
        <v>11</v>
      </c>
      <c r="M496">
        <f t="shared" si="56"/>
        <v>72</v>
      </c>
      <c r="N496" t="str">
        <f t="shared" si="58"/>
        <v>Day Shift</v>
      </c>
    </row>
    <row r="497" spans="1:14" x14ac:dyDescent="0.3">
      <c r="A497" s="3">
        <v>496</v>
      </c>
      <c r="B497" s="4">
        <v>40565</v>
      </c>
      <c r="C497" s="3">
        <v>17</v>
      </c>
      <c r="D497" s="3" t="b">
        <v>0</v>
      </c>
      <c r="E497" s="3">
        <v>6</v>
      </c>
      <c r="F497" s="3">
        <v>1</v>
      </c>
      <c r="G497" s="3">
        <v>0.12</v>
      </c>
      <c r="H497" t="str">
        <f t="shared" si="57"/>
        <v>Sat</v>
      </c>
      <c r="I497">
        <f t="shared" si="52"/>
        <v>0.19700000000000001</v>
      </c>
      <c r="J497">
        <f t="shared" si="53"/>
        <v>0.28000000000000003</v>
      </c>
      <c r="K497">
        <f t="shared" si="54"/>
        <v>0</v>
      </c>
      <c r="L497">
        <f t="shared" si="55"/>
        <v>8</v>
      </c>
      <c r="M497">
        <f t="shared" si="56"/>
        <v>59</v>
      </c>
      <c r="N497" t="str">
        <f t="shared" si="58"/>
        <v>Day Shift</v>
      </c>
    </row>
    <row r="498" spans="1:14" x14ac:dyDescent="0.3">
      <c r="A498" s="3">
        <v>497</v>
      </c>
      <c r="B498" s="4">
        <v>40565</v>
      </c>
      <c r="C498" s="3">
        <v>18</v>
      </c>
      <c r="D498" s="3" t="b">
        <v>0</v>
      </c>
      <c r="E498" s="3">
        <v>6</v>
      </c>
      <c r="F498" s="3">
        <v>1</v>
      </c>
      <c r="G498" s="3">
        <v>0.08</v>
      </c>
      <c r="H498" t="str">
        <f t="shared" si="57"/>
        <v>Sat</v>
      </c>
      <c r="I498">
        <f t="shared" si="52"/>
        <v>9.0899999999999995E-2</v>
      </c>
      <c r="J498">
        <f t="shared" si="53"/>
        <v>0.35</v>
      </c>
      <c r="K498">
        <f t="shared" si="54"/>
        <v>0.19400000000000001</v>
      </c>
      <c r="L498">
        <f t="shared" si="55"/>
        <v>0</v>
      </c>
      <c r="M498">
        <f t="shared" si="56"/>
        <v>54</v>
      </c>
      <c r="N498" t="str">
        <f t="shared" si="58"/>
        <v>Day Shift</v>
      </c>
    </row>
    <row r="499" spans="1:14" x14ac:dyDescent="0.3">
      <c r="A499" s="3">
        <v>498</v>
      </c>
      <c r="B499" s="4">
        <v>40565</v>
      </c>
      <c r="C499" s="3">
        <v>19</v>
      </c>
      <c r="D499" s="3" t="b">
        <v>0</v>
      </c>
      <c r="E499" s="3">
        <v>6</v>
      </c>
      <c r="F499" s="3">
        <v>1</v>
      </c>
      <c r="G499" s="3">
        <v>0.08</v>
      </c>
      <c r="H499" t="str">
        <f t="shared" si="57"/>
        <v>Sat</v>
      </c>
      <c r="I499">
        <f t="shared" si="52"/>
        <v>0.1061</v>
      </c>
      <c r="J499">
        <f t="shared" si="53"/>
        <v>0.35</v>
      </c>
      <c r="K499">
        <f t="shared" si="54"/>
        <v>0.1343</v>
      </c>
      <c r="L499">
        <f t="shared" si="55"/>
        <v>6</v>
      </c>
      <c r="M499">
        <f t="shared" si="56"/>
        <v>53</v>
      </c>
      <c r="N499" t="str">
        <f t="shared" si="58"/>
        <v>Night shift</v>
      </c>
    </row>
    <row r="500" spans="1:14" x14ac:dyDescent="0.3">
      <c r="A500" s="3">
        <v>499</v>
      </c>
      <c r="B500" s="4">
        <v>40565</v>
      </c>
      <c r="C500" s="3">
        <v>20</v>
      </c>
      <c r="D500" s="3" t="b">
        <v>0</v>
      </c>
      <c r="E500" s="3">
        <v>6</v>
      </c>
      <c r="F500" s="3">
        <v>1</v>
      </c>
      <c r="G500" s="3">
        <v>0.06</v>
      </c>
      <c r="H500" t="str">
        <f t="shared" si="57"/>
        <v>Sat</v>
      </c>
      <c r="I500">
        <f t="shared" si="52"/>
        <v>7.5800000000000006E-2</v>
      </c>
      <c r="J500">
        <f t="shared" si="53"/>
        <v>0.45</v>
      </c>
      <c r="K500">
        <f t="shared" si="54"/>
        <v>0.16420000000000001</v>
      </c>
      <c r="L500">
        <f t="shared" si="55"/>
        <v>1</v>
      </c>
      <c r="M500">
        <f t="shared" si="56"/>
        <v>44</v>
      </c>
      <c r="N500" t="str">
        <f t="shared" si="58"/>
        <v>Night shift</v>
      </c>
    </row>
    <row r="501" spans="1:14" x14ac:dyDescent="0.3">
      <c r="A501" s="3">
        <v>500</v>
      </c>
      <c r="B501" s="4">
        <v>40565</v>
      </c>
      <c r="C501" s="3">
        <v>21</v>
      </c>
      <c r="D501" s="3" t="b">
        <v>0</v>
      </c>
      <c r="E501" s="3">
        <v>6</v>
      </c>
      <c r="F501" s="3">
        <v>1</v>
      </c>
      <c r="G501" s="3">
        <v>0.06</v>
      </c>
      <c r="H501" t="str">
        <f t="shared" si="57"/>
        <v>Sat</v>
      </c>
      <c r="I501">
        <f t="shared" si="52"/>
        <v>0.1061</v>
      </c>
      <c r="J501">
        <f t="shared" si="53"/>
        <v>0.41</v>
      </c>
      <c r="K501">
        <f t="shared" si="54"/>
        <v>8.9599999999999999E-2</v>
      </c>
      <c r="L501">
        <f t="shared" si="55"/>
        <v>0</v>
      </c>
      <c r="M501">
        <f t="shared" si="56"/>
        <v>39</v>
      </c>
      <c r="N501" t="str">
        <f t="shared" si="58"/>
        <v>Night shift</v>
      </c>
    </row>
    <row r="502" spans="1:14" x14ac:dyDescent="0.3">
      <c r="A502" s="3">
        <v>501</v>
      </c>
      <c r="B502" s="4">
        <v>40565</v>
      </c>
      <c r="C502" s="3">
        <v>22</v>
      </c>
      <c r="D502" s="3" t="b">
        <v>0</v>
      </c>
      <c r="E502" s="3">
        <v>6</v>
      </c>
      <c r="F502" s="3">
        <v>1</v>
      </c>
      <c r="G502" s="3">
        <v>0.06</v>
      </c>
      <c r="H502" t="str">
        <f t="shared" si="57"/>
        <v>Sat</v>
      </c>
      <c r="I502">
        <f t="shared" si="52"/>
        <v>0.1515</v>
      </c>
      <c r="J502">
        <f t="shared" si="53"/>
        <v>0.49</v>
      </c>
      <c r="K502">
        <f t="shared" si="54"/>
        <v>0</v>
      </c>
      <c r="L502">
        <f t="shared" si="55"/>
        <v>7</v>
      </c>
      <c r="M502">
        <f t="shared" si="56"/>
        <v>23</v>
      </c>
      <c r="N502" t="str">
        <f t="shared" si="58"/>
        <v>Night shift</v>
      </c>
    </row>
    <row r="503" spans="1:14" x14ac:dyDescent="0.3">
      <c r="A503" s="3">
        <v>502</v>
      </c>
      <c r="B503" s="4">
        <v>40565</v>
      </c>
      <c r="C503" s="3">
        <v>23</v>
      </c>
      <c r="D503" s="3" t="b">
        <v>0</v>
      </c>
      <c r="E503" s="3">
        <v>6</v>
      </c>
      <c r="F503" s="3">
        <v>1</v>
      </c>
      <c r="G503" s="3">
        <v>0.04</v>
      </c>
      <c r="H503" t="str">
        <f t="shared" si="57"/>
        <v>Sat</v>
      </c>
      <c r="I503">
        <f t="shared" si="52"/>
        <v>7.5800000000000006E-2</v>
      </c>
      <c r="J503">
        <f t="shared" si="53"/>
        <v>0.56999999999999995</v>
      </c>
      <c r="K503">
        <f t="shared" si="54"/>
        <v>0.1045</v>
      </c>
      <c r="L503">
        <f t="shared" si="55"/>
        <v>2</v>
      </c>
      <c r="M503">
        <f t="shared" si="56"/>
        <v>31</v>
      </c>
      <c r="N503" t="str">
        <f t="shared" si="58"/>
        <v>Night shift</v>
      </c>
    </row>
    <row r="504" spans="1:14" x14ac:dyDescent="0.3">
      <c r="A504" s="3">
        <v>503</v>
      </c>
      <c r="B504" s="4">
        <v>40566</v>
      </c>
      <c r="C504" s="3">
        <v>0</v>
      </c>
      <c r="D504" s="3" t="b">
        <v>0</v>
      </c>
      <c r="E504" s="3">
        <v>0</v>
      </c>
      <c r="F504" s="3">
        <v>1</v>
      </c>
      <c r="G504" s="3">
        <v>0.04</v>
      </c>
      <c r="H504" t="str">
        <f t="shared" si="57"/>
        <v>Sun</v>
      </c>
      <c r="I504">
        <f t="shared" si="52"/>
        <v>7.5800000000000006E-2</v>
      </c>
      <c r="J504">
        <f t="shared" si="53"/>
        <v>0.56999999999999995</v>
      </c>
      <c r="K504">
        <f t="shared" si="54"/>
        <v>0.1045</v>
      </c>
      <c r="L504">
        <f t="shared" si="55"/>
        <v>2</v>
      </c>
      <c r="M504">
        <f t="shared" si="56"/>
        <v>20</v>
      </c>
      <c r="N504" t="str">
        <f t="shared" si="58"/>
        <v>Night shift</v>
      </c>
    </row>
    <row r="505" spans="1:14" x14ac:dyDescent="0.3">
      <c r="A505" s="3">
        <v>504</v>
      </c>
      <c r="B505" s="4">
        <v>40566</v>
      </c>
      <c r="C505" s="3">
        <v>1</v>
      </c>
      <c r="D505" s="3" t="b">
        <v>0</v>
      </c>
      <c r="E505" s="3">
        <v>0</v>
      </c>
      <c r="F505" s="3">
        <v>1</v>
      </c>
      <c r="G505" s="3">
        <v>0.04</v>
      </c>
      <c r="H505" t="str">
        <f t="shared" si="57"/>
        <v>Sun</v>
      </c>
      <c r="I505">
        <f t="shared" si="52"/>
        <v>7.5800000000000006E-2</v>
      </c>
      <c r="J505">
        <f t="shared" si="53"/>
        <v>0.56999999999999995</v>
      </c>
      <c r="K505">
        <f t="shared" si="54"/>
        <v>0.1045</v>
      </c>
      <c r="L505">
        <f t="shared" si="55"/>
        <v>1</v>
      </c>
      <c r="M505">
        <f t="shared" si="56"/>
        <v>12</v>
      </c>
      <c r="N505" t="str">
        <f t="shared" si="58"/>
        <v>Night shift</v>
      </c>
    </row>
    <row r="506" spans="1:14" x14ac:dyDescent="0.3">
      <c r="A506" s="3">
        <v>505</v>
      </c>
      <c r="B506" s="4">
        <v>40566</v>
      </c>
      <c r="C506" s="3">
        <v>2</v>
      </c>
      <c r="D506" s="3" t="b">
        <v>0</v>
      </c>
      <c r="E506" s="3">
        <v>0</v>
      </c>
      <c r="F506" s="3">
        <v>1</v>
      </c>
      <c r="G506" s="3">
        <v>0.02</v>
      </c>
      <c r="H506" t="str">
        <f t="shared" si="57"/>
        <v>Sun</v>
      </c>
      <c r="I506">
        <f t="shared" si="52"/>
        <v>6.0600000000000001E-2</v>
      </c>
      <c r="J506">
        <f t="shared" si="53"/>
        <v>0.62</v>
      </c>
      <c r="K506">
        <f t="shared" si="54"/>
        <v>0.1343</v>
      </c>
      <c r="L506">
        <f t="shared" si="55"/>
        <v>3</v>
      </c>
      <c r="M506">
        <f t="shared" si="56"/>
        <v>15</v>
      </c>
      <c r="N506" t="str">
        <f t="shared" si="58"/>
        <v>Night shift</v>
      </c>
    </row>
    <row r="507" spans="1:14" x14ac:dyDescent="0.3">
      <c r="A507" s="3">
        <v>506</v>
      </c>
      <c r="B507" s="4">
        <v>40566</v>
      </c>
      <c r="C507" s="3">
        <v>3</v>
      </c>
      <c r="D507" s="3" t="b">
        <v>0</v>
      </c>
      <c r="E507" s="3">
        <v>0</v>
      </c>
      <c r="F507" s="3">
        <v>1</v>
      </c>
      <c r="G507" s="3">
        <v>0.02</v>
      </c>
      <c r="H507" t="str">
        <f t="shared" si="57"/>
        <v>Sun</v>
      </c>
      <c r="I507">
        <f t="shared" si="52"/>
        <v>6.0600000000000001E-2</v>
      </c>
      <c r="J507">
        <f t="shared" si="53"/>
        <v>0.62</v>
      </c>
      <c r="K507">
        <f t="shared" si="54"/>
        <v>0.1343</v>
      </c>
      <c r="L507">
        <f t="shared" si="55"/>
        <v>1</v>
      </c>
      <c r="M507">
        <f t="shared" si="56"/>
        <v>4</v>
      </c>
      <c r="N507" t="str">
        <f t="shared" si="58"/>
        <v>Night shift</v>
      </c>
    </row>
    <row r="508" spans="1:14" x14ac:dyDescent="0.3">
      <c r="A508" s="3">
        <v>507</v>
      </c>
      <c r="B508" s="4">
        <v>40566</v>
      </c>
      <c r="C508" s="3">
        <v>5</v>
      </c>
      <c r="D508" s="3" t="b">
        <v>0</v>
      </c>
      <c r="E508" s="3">
        <v>0</v>
      </c>
      <c r="F508" s="3">
        <v>2</v>
      </c>
      <c r="G508" s="3">
        <v>0.04</v>
      </c>
      <c r="H508" t="str">
        <f t="shared" si="57"/>
        <v>Sun</v>
      </c>
      <c r="I508">
        <f t="shared" si="52"/>
        <v>7.5800000000000006E-2</v>
      </c>
      <c r="J508">
        <f t="shared" si="53"/>
        <v>0.56999999999999995</v>
      </c>
      <c r="K508">
        <f t="shared" si="54"/>
        <v>0.1045</v>
      </c>
      <c r="L508">
        <f t="shared" si="55"/>
        <v>0</v>
      </c>
      <c r="M508">
        <f t="shared" si="56"/>
        <v>3</v>
      </c>
      <c r="N508" t="str">
        <f t="shared" si="58"/>
        <v>Night shift</v>
      </c>
    </row>
    <row r="509" spans="1:14" x14ac:dyDescent="0.3">
      <c r="A509" s="3">
        <v>508</v>
      </c>
      <c r="B509" s="4">
        <v>40566</v>
      </c>
      <c r="C509" s="3">
        <v>6</v>
      </c>
      <c r="D509" s="3" t="b">
        <v>0</v>
      </c>
      <c r="E509" s="3">
        <v>0</v>
      </c>
      <c r="F509" s="3">
        <v>2</v>
      </c>
      <c r="G509" s="3">
        <v>0.04</v>
      </c>
      <c r="H509" t="str">
        <f t="shared" si="57"/>
        <v>Sun</v>
      </c>
      <c r="I509">
        <f t="shared" si="52"/>
        <v>7.5800000000000006E-2</v>
      </c>
      <c r="J509">
        <f t="shared" si="53"/>
        <v>0.56999999999999995</v>
      </c>
      <c r="K509">
        <f t="shared" si="54"/>
        <v>0.1045</v>
      </c>
      <c r="L509">
        <f t="shared" si="55"/>
        <v>0</v>
      </c>
      <c r="M509">
        <f t="shared" si="56"/>
        <v>1</v>
      </c>
      <c r="N509" t="str">
        <f t="shared" si="58"/>
        <v>Day Shift</v>
      </c>
    </row>
    <row r="510" spans="1:14" x14ac:dyDescent="0.3">
      <c r="A510" s="3">
        <v>509</v>
      </c>
      <c r="B510" s="4">
        <v>40566</v>
      </c>
      <c r="C510" s="3">
        <v>7</v>
      </c>
      <c r="D510" s="3" t="b">
        <v>0</v>
      </c>
      <c r="E510" s="3">
        <v>0</v>
      </c>
      <c r="F510" s="3">
        <v>1</v>
      </c>
      <c r="G510" s="3">
        <v>0.08</v>
      </c>
      <c r="H510" t="str">
        <f t="shared" si="57"/>
        <v>Sun</v>
      </c>
      <c r="I510">
        <f t="shared" si="52"/>
        <v>0.1061</v>
      </c>
      <c r="J510">
        <f t="shared" si="53"/>
        <v>0.57999999999999996</v>
      </c>
      <c r="K510">
        <f t="shared" si="54"/>
        <v>0.16420000000000001</v>
      </c>
      <c r="L510">
        <f t="shared" si="55"/>
        <v>1</v>
      </c>
      <c r="M510">
        <f t="shared" si="56"/>
        <v>1</v>
      </c>
      <c r="N510" t="str">
        <f t="shared" si="58"/>
        <v>Day Shift</v>
      </c>
    </row>
    <row r="511" spans="1:14" x14ac:dyDescent="0.3">
      <c r="A511" s="3">
        <v>510</v>
      </c>
      <c r="B511" s="4">
        <v>40566</v>
      </c>
      <c r="C511" s="3">
        <v>8</v>
      </c>
      <c r="D511" s="3" t="b">
        <v>0</v>
      </c>
      <c r="E511" s="3">
        <v>0</v>
      </c>
      <c r="F511" s="3">
        <v>1</v>
      </c>
      <c r="G511" s="3">
        <v>0.06</v>
      </c>
      <c r="H511" t="str">
        <f t="shared" si="57"/>
        <v>Sun</v>
      </c>
      <c r="I511">
        <f t="shared" si="52"/>
        <v>7.5800000000000006E-2</v>
      </c>
      <c r="J511">
        <f t="shared" si="53"/>
        <v>0.62</v>
      </c>
      <c r="K511">
        <f t="shared" si="54"/>
        <v>0.16420000000000001</v>
      </c>
      <c r="L511">
        <f t="shared" si="55"/>
        <v>2</v>
      </c>
      <c r="M511">
        <f t="shared" si="56"/>
        <v>17</v>
      </c>
      <c r="N511" t="str">
        <f t="shared" si="58"/>
        <v>Day Shift</v>
      </c>
    </row>
    <row r="512" spans="1:14" x14ac:dyDescent="0.3">
      <c r="A512" s="3">
        <v>511</v>
      </c>
      <c r="B512" s="4">
        <v>40566</v>
      </c>
      <c r="C512" s="3">
        <v>9</v>
      </c>
      <c r="D512" s="3" t="b">
        <v>0</v>
      </c>
      <c r="E512" s="3">
        <v>0</v>
      </c>
      <c r="F512" s="3">
        <v>1</v>
      </c>
      <c r="G512" s="3">
        <v>0.1</v>
      </c>
      <c r="H512" t="str">
        <f t="shared" si="57"/>
        <v>Sun</v>
      </c>
      <c r="I512">
        <f t="shared" si="52"/>
        <v>7.5800000000000006E-2</v>
      </c>
      <c r="J512">
        <f t="shared" si="53"/>
        <v>0.54</v>
      </c>
      <c r="K512">
        <f t="shared" si="54"/>
        <v>0.35820000000000002</v>
      </c>
      <c r="L512">
        <f t="shared" si="55"/>
        <v>3</v>
      </c>
      <c r="M512">
        <f t="shared" si="56"/>
        <v>25</v>
      </c>
      <c r="N512" t="str">
        <f t="shared" si="58"/>
        <v>Day Shift</v>
      </c>
    </row>
    <row r="513" spans="1:14" x14ac:dyDescent="0.3">
      <c r="A513" s="3">
        <v>512</v>
      </c>
      <c r="B513" s="4">
        <v>40566</v>
      </c>
      <c r="C513" s="3">
        <v>10</v>
      </c>
      <c r="D513" s="3" t="b">
        <v>0</v>
      </c>
      <c r="E513" s="3">
        <v>0</v>
      </c>
      <c r="F513" s="3">
        <v>1</v>
      </c>
      <c r="G513" s="3">
        <v>0.14000000000000001</v>
      </c>
      <c r="H513" t="str">
        <f t="shared" si="57"/>
        <v>Sun</v>
      </c>
      <c r="I513">
        <f t="shared" si="52"/>
        <v>0.1061</v>
      </c>
      <c r="J513">
        <f t="shared" si="53"/>
        <v>0.46</v>
      </c>
      <c r="K513">
        <f t="shared" si="54"/>
        <v>0.3881</v>
      </c>
      <c r="L513">
        <f t="shared" si="55"/>
        <v>7</v>
      </c>
      <c r="M513">
        <f t="shared" si="56"/>
        <v>51</v>
      </c>
      <c r="N513" t="str">
        <f t="shared" si="58"/>
        <v>Day Shift</v>
      </c>
    </row>
    <row r="514" spans="1:14" x14ac:dyDescent="0.3">
      <c r="A514" s="3">
        <v>513</v>
      </c>
      <c r="B514" s="4">
        <v>40566</v>
      </c>
      <c r="C514" s="3">
        <v>11</v>
      </c>
      <c r="D514" s="3" t="b">
        <v>0</v>
      </c>
      <c r="E514" s="3">
        <v>0</v>
      </c>
      <c r="F514" s="3">
        <v>1</v>
      </c>
      <c r="G514" s="3">
        <v>0.14000000000000001</v>
      </c>
      <c r="H514" t="str">
        <f t="shared" si="57"/>
        <v>Sun</v>
      </c>
      <c r="I514">
        <f t="shared" ref="I514:I577" si="59">VLOOKUP($A514,instantc,3,FALSE)</f>
        <v>0.13639999999999999</v>
      </c>
      <c r="J514">
        <f t="shared" ref="J514:J577" si="60">VLOOKUP($A514,instantc,4,FALSE)</f>
        <v>0.43</v>
      </c>
      <c r="K514">
        <f t="shared" ref="K514:K577" si="61">VLOOKUP($A514,instantc,5,FALSE)</f>
        <v>0.22389999999999999</v>
      </c>
      <c r="L514">
        <f t="shared" ref="L514:L577" si="62">VLOOKUP($A514,instantc,6,FALSE)</f>
        <v>22</v>
      </c>
      <c r="M514">
        <f t="shared" ref="M514:M577" si="63">VLOOKUP($A514,instantc,7,FALSE)</f>
        <v>77</v>
      </c>
      <c r="N514" t="str">
        <f t="shared" si="58"/>
        <v>Day Shift</v>
      </c>
    </row>
    <row r="515" spans="1:14" x14ac:dyDescent="0.3">
      <c r="A515" s="3">
        <v>514</v>
      </c>
      <c r="B515" s="4">
        <v>40566</v>
      </c>
      <c r="C515" s="3">
        <v>12</v>
      </c>
      <c r="D515" s="3" t="b">
        <v>0</v>
      </c>
      <c r="E515" s="3">
        <v>0</v>
      </c>
      <c r="F515" s="3">
        <v>1</v>
      </c>
      <c r="G515" s="3">
        <v>0.16</v>
      </c>
      <c r="H515" t="str">
        <f t="shared" ref="H515:H578" si="64">TEXT(B515,"ddd")</f>
        <v>Sun</v>
      </c>
      <c r="I515">
        <f t="shared" si="59"/>
        <v>0.1212</v>
      </c>
      <c r="J515">
        <f t="shared" si="60"/>
        <v>0.37</v>
      </c>
      <c r="K515">
        <f t="shared" si="61"/>
        <v>0.4627</v>
      </c>
      <c r="L515">
        <f t="shared" si="62"/>
        <v>24</v>
      </c>
      <c r="M515">
        <f t="shared" si="63"/>
        <v>92</v>
      </c>
      <c r="N515" t="str">
        <f t="shared" ref="N515:N578" si="65">IF(AND(C515&gt;=6,C515&lt;=18),"Day Shift","Night shift")</f>
        <v>Day Shift</v>
      </c>
    </row>
    <row r="516" spans="1:14" x14ac:dyDescent="0.3">
      <c r="A516" s="3">
        <v>515</v>
      </c>
      <c r="B516" s="4">
        <v>40566</v>
      </c>
      <c r="C516" s="3">
        <v>13</v>
      </c>
      <c r="D516" s="3" t="b">
        <v>0</v>
      </c>
      <c r="E516" s="3">
        <v>0</v>
      </c>
      <c r="F516" s="3">
        <v>1</v>
      </c>
      <c r="G516" s="3">
        <v>0.14000000000000001</v>
      </c>
      <c r="H516" t="str">
        <f t="shared" si="64"/>
        <v>Sun</v>
      </c>
      <c r="I516">
        <f t="shared" si="59"/>
        <v>0.1061</v>
      </c>
      <c r="J516">
        <f t="shared" si="60"/>
        <v>0.33</v>
      </c>
      <c r="K516">
        <f t="shared" si="61"/>
        <v>0.3881</v>
      </c>
      <c r="L516">
        <f t="shared" si="62"/>
        <v>12</v>
      </c>
      <c r="M516">
        <f t="shared" si="63"/>
        <v>75</v>
      </c>
      <c r="N516" t="str">
        <f t="shared" si="65"/>
        <v>Day Shift</v>
      </c>
    </row>
    <row r="517" spans="1:14" x14ac:dyDescent="0.3">
      <c r="A517" s="3">
        <v>516</v>
      </c>
      <c r="B517" s="4">
        <v>40566</v>
      </c>
      <c r="C517" s="3">
        <v>14</v>
      </c>
      <c r="D517" s="3" t="b">
        <v>0</v>
      </c>
      <c r="E517" s="3">
        <v>0</v>
      </c>
      <c r="F517" s="3">
        <v>1</v>
      </c>
      <c r="G517" s="3">
        <v>0.16</v>
      </c>
      <c r="H517" t="str">
        <f t="shared" si="64"/>
        <v>Sun</v>
      </c>
      <c r="I517">
        <f t="shared" si="59"/>
        <v>0.13639999999999999</v>
      </c>
      <c r="J517">
        <f t="shared" si="60"/>
        <v>0.28000000000000003</v>
      </c>
      <c r="K517">
        <f t="shared" si="61"/>
        <v>0.35820000000000002</v>
      </c>
      <c r="L517">
        <f t="shared" si="62"/>
        <v>17</v>
      </c>
      <c r="M517">
        <f t="shared" si="63"/>
        <v>93</v>
      </c>
      <c r="N517" t="str">
        <f t="shared" si="65"/>
        <v>Day Shift</v>
      </c>
    </row>
    <row r="518" spans="1:14" x14ac:dyDescent="0.3">
      <c r="A518" s="3">
        <v>517</v>
      </c>
      <c r="B518" s="4">
        <v>40566</v>
      </c>
      <c r="C518" s="3">
        <v>15</v>
      </c>
      <c r="D518" s="3" t="b">
        <v>0</v>
      </c>
      <c r="E518" s="3">
        <v>0</v>
      </c>
      <c r="F518" s="3">
        <v>1</v>
      </c>
      <c r="G518" s="3">
        <v>0.16</v>
      </c>
      <c r="H518" t="str">
        <f t="shared" si="64"/>
        <v>Sun</v>
      </c>
      <c r="I518">
        <f t="shared" si="59"/>
        <v>0.13639999999999999</v>
      </c>
      <c r="J518">
        <f t="shared" si="60"/>
        <v>0.28000000000000003</v>
      </c>
      <c r="K518">
        <f t="shared" si="61"/>
        <v>0.35820000000000002</v>
      </c>
      <c r="L518">
        <f t="shared" si="62"/>
        <v>13</v>
      </c>
      <c r="M518">
        <f t="shared" si="63"/>
        <v>64</v>
      </c>
      <c r="N518" t="str">
        <f t="shared" si="65"/>
        <v>Day Shift</v>
      </c>
    </row>
    <row r="519" spans="1:14" x14ac:dyDescent="0.3">
      <c r="A519" s="3">
        <v>518</v>
      </c>
      <c r="B519" s="4">
        <v>40566</v>
      </c>
      <c r="C519" s="3">
        <v>16</v>
      </c>
      <c r="D519" s="3" t="b">
        <v>0</v>
      </c>
      <c r="E519" s="3">
        <v>0</v>
      </c>
      <c r="F519" s="3">
        <v>1</v>
      </c>
      <c r="G519" s="3">
        <v>0.16</v>
      </c>
      <c r="H519" t="str">
        <f t="shared" si="64"/>
        <v>Sun</v>
      </c>
      <c r="I519">
        <f t="shared" si="59"/>
        <v>0.13639999999999999</v>
      </c>
      <c r="J519">
        <f t="shared" si="60"/>
        <v>0.26</v>
      </c>
      <c r="K519">
        <f t="shared" si="61"/>
        <v>0.32840000000000003</v>
      </c>
      <c r="L519">
        <f t="shared" si="62"/>
        <v>9</v>
      </c>
      <c r="M519">
        <f t="shared" si="63"/>
        <v>56</v>
      </c>
      <c r="N519" t="str">
        <f t="shared" si="65"/>
        <v>Day Shift</v>
      </c>
    </row>
    <row r="520" spans="1:14" x14ac:dyDescent="0.3">
      <c r="A520" s="3">
        <v>519</v>
      </c>
      <c r="B520" s="4">
        <v>40566</v>
      </c>
      <c r="C520" s="3">
        <v>17</v>
      </c>
      <c r="D520" s="3" t="b">
        <v>0</v>
      </c>
      <c r="E520" s="3">
        <v>0</v>
      </c>
      <c r="F520" s="3">
        <v>1</v>
      </c>
      <c r="G520" s="3">
        <v>0.14000000000000001</v>
      </c>
      <c r="H520" t="str">
        <f t="shared" si="64"/>
        <v>Sun</v>
      </c>
      <c r="I520">
        <f t="shared" si="59"/>
        <v>0.1061</v>
      </c>
      <c r="J520">
        <f t="shared" si="60"/>
        <v>0.26</v>
      </c>
      <c r="K520">
        <f t="shared" si="61"/>
        <v>0.3881</v>
      </c>
      <c r="L520">
        <f t="shared" si="62"/>
        <v>5</v>
      </c>
      <c r="M520">
        <f t="shared" si="63"/>
        <v>50</v>
      </c>
      <c r="N520" t="str">
        <f t="shared" si="65"/>
        <v>Day Shift</v>
      </c>
    </row>
    <row r="521" spans="1:14" x14ac:dyDescent="0.3">
      <c r="A521" s="3">
        <v>520</v>
      </c>
      <c r="B521" s="4">
        <v>40566</v>
      </c>
      <c r="C521" s="3">
        <v>18</v>
      </c>
      <c r="D521" s="3" t="b">
        <v>0</v>
      </c>
      <c r="E521" s="3">
        <v>0</v>
      </c>
      <c r="F521" s="3">
        <v>1</v>
      </c>
      <c r="G521" s="3">
        <v>0.12</v>
      </c>
      <c r="H521" t="str">
        <f t="shared" si="64"/>
        <v>Sun</v>
      </c>
      <c r="I521">
        <f t="shared" si="59"/>
        <v>0.1212</v>
      </c>
      <c r="J521">
        <f t="shared" si="60"/>
        <v>0.3</v>
      </c>
      <c r="K521">
        <f t="shared" si="61"/>
        <v>0.25369999999999998</v>
      </c>
      <c r="L521">
        <f t="shared" si="62"/>
        <v>5</v>
      </c>
      <c r="M521">
        <f t="shared" si="63"/>
        <v>44</v>
      </c>
      <c r="N521" t="str">
        <f t="shared" si="65"/>
        <v>Day Shift</v>
      </c>
    </row>
    <row r="522" spans="1:14" x14ac:dyDescent="0.3">
      <c r="A522" s="3">
        <v>521</v>
      </c>
      <c r="B522" s="4">
        <v>40566</v>
      </c>
      <c r="C522" s="3">
        <v>19</v>
      </c>
      <c r="D522" s="3" t="b">
        <v>0</v>
      </c>
      <c r="E522" s="3">
        <v>0</v>
      </c>
      <c r="F522" s="3">
        <v>1</v>
      </c>
      <c r="G522" s="3">
        <v>0.12</v>
      </c>
      <c r="H522" t="str">
        <f t="shared" si="64"/>
        <v>Sun</v>
      </c>
      <c r="I522">
        <f t="shared" si="59"/>
        <v>0.1212</v>
      </c>
      <c r="J522">
        <f t="shared" si="60"/>
        <v>0.3</v>
      </c>
      <c r="K522">
        <f t="shared" si="61"/>
        <v>0.28360000000000002</v>
      </c>
      <c r="L522">
        <f t="shared" si="62"/>
        <v>5</v>
      </c>
      <c r="M522">
        <f t="shared" si="63"/>
        <v>45</v>
      </c>
      <c r="N522" t="str">
        <f t="shared" si="65"/>
        <v>Night shift</v>
      </c>
    </row>
    <row r="523" spans="1:14" x14ac:dyDescent="0.3">
      <c r="A523" s="3">
        <v>522</v>
      </c>
      <c r="B523" s="4">
        <v>40566</v>
      </c>
      <c r="C523" s="3">
        <v>20</v>
      </c>
      <c r="D523" s="3" t="b">
        <v>0</v>
      </c>
      <c r="E523" s="3">
        <v>0</v>
      </c>
      <c r="F523" s="3">
        <v>1</v>
      </c>
      <c r="G523" s="3">
        <v>0.1</v>
      </c>
      <c r="H523" t="str">
        <f t="shared" si="64"/>
        <v>Sun</v>
      </c>
      <c r="I523">
        <f t="shared" si="59"/>
        <v>0.1061</v>
      </c>
      <c r="J523">
        <f t="shared" si="60"/>
        <v>0.36</v>
      </c>
      <c r="K523">
        <f t="shared" si="61"/>
        <v>0.25369999999999998</v>
      </c>
      <c r="L523">
        <f t="shared" si="62"/>
        <v>4</v>
      </c>
      <c r="M523">
        <f t="shared" si="63"/>
        <v>31</v>
      </c>
      <c r="N523" t="str">
        <f t="shared" si="65"/>
        <v>Night shift</v>
      </c>
    </row>
    <row r="524" spans="1:14" x14ac:dyDescent="0.3">
      <c r="A524" s="3">
        <v>523</v>
      </c>
      <c r="B524" s="4">
        <v>40566</v>
      </c>
      <c r="C524" s="3">
        <v>21</v>
      </c>
      <c r="D524" s="3" t="b">
        <v>0</v>
      </c>
      <c r="E524" s="3">
        <v>0</v>
      </c>
      <c r="F524" s="3">
        <v>1</v>
      </c>
      <c r="G524" s="3">
        <v>0.1</v>
      </c>
      <c r="H524" t="str">
        <f t="shared" si="64"/>
        <v>Sun</v>
      </c>
      <c r="I524">
        <f t="shared" si="59"/>
        <v>0.1061</v>
      </c>
      <c r="J524">
        <f t="shared" si="60"/>
        <v>0.36</v>
      </c>
      <c r="K524">
        <f t="shared" si="61"/>
        <v>0.19400000000000001</v>
      </c>
      <c r="L524">
        <f t="shared" si="62"/>
        <v>5</v>
      </c>
      <c r="M524">
        <f t="shared" si="63"/>
        <v>20</v>
      </c>
      <c r="N524" t="str">
        <f t="shared" si="65"/>
        <v>Night shift</v>
      </c>
    </row>
    <row r="525" spans="1:14" x14ac:dyDescent="0.3">
      <c r="A525" s="3">
        <v>524</v>
      </c>
      <c r="B525" s="4">
        <v>40566</v>
      </c>
      <c r="C525" s="3">
        <v>22</v>
      </c>
      <c r="D525" s="3" t="b">
        <v>0</v>
      </c>
      <c r="E525" s="3">
        <v>0</v>
      </c>
      <c r="F525" s="3">
        <v>1</v>
      </c>
      <c r="G525" s="3">
        <v>0.08</v>
      </c>
      <c r="H525" t="str">
        <f t="shared" si="64"/>
        <v>Sun</v>
      </c>
      <c r="I525">
        <f t="shared" si="59"/>
        <v>9.0899999999999995E-2</v>
      </c>
      <c r="J525">
        <f t="shared" si="60"/>
        <v>0.38</v>
      </c>
      <c r="K525">
        <f t="shared" si="61"/>
        <v>0.19400000000000001</v>
      </c>
      <c r="L525">
        <f t="shared" si="62"/>
        <v>5</v>
      </c>
      <c r="M525">
        <f t="shared" si="63"/>
        <v>23</v>
      </c>
      <c r="N525" t="str">
        <f t="shared" si="65"/>
        <v>Night shift</v>
      </c>
    </row>
    <row r="526" spans="1:14" x14ac:dyDescent="0.3">
      <c r="A526" s="3">
        <v>525</v>
      </c>
      <c r="B526" s="4">
        <v>40566</v>
      </c>
      <c r="C526" s="3">
        <v>23</v>
      </c>
      <c r="D526" s="3" t="b">
        <v>0</v>
      </c>
      <c r="E526" s="3">
        <v>0</v>
      </c>
      <c r="F526" s="3">
        <v>1</v>
      </c>
      <c r="G526" s="3">
        <v>0.06</v>
      </c>
      <c r="H526" t="str">
        <f t="shared" si="64"/>
        <v>Sun</v>
      </c>
      <c r="I526">
        <f t="shared" si="59"/>
        <v>6.0600000000000001E-2</v>
      </c>
      <c r="J526">
        <f t="shared" si="60"/>
        <v>0.41</v>
      </c>
      <c r="K526">
        <f t="shared" si="61"/>
        <v>0.22389999999999999</v>
      </c>
      <c r="L526">
        <f t="shared" si="62"/>
        <v>4</v>
      </c>
      <c r="M526">
        <f t="shared" si="63"/>
        <v>17</v>
      </c>
      <c r="N526" t="str">
        <f t="shared" si="65"/>
        <v>Night shift</v>
      </c>
    </row>
    <row r="527" spans="1:14" x14ac:dyDescent="0.3">
      <c r="A527" s="3">
        <v>526</v>
      </c>
      <c r="B527" s="4">
        <v>40567</v>
      </c>
      <c r="C527" s="3">
        <v>0</v>
      </c>
      <c r="D527" s="3" t="b">
        <v>0</v>
      </c>
      <c r="E527" s="3">
        <v>1</v>
      </c>
      <c r="F527" s="3">
        <v>1</v>
      </c>
      <c r="G527" s="3">
        <v>0.06</v>
      </c>
      <c r="H527" t="str">
        <f t="shared" si="64"/>
        <v>Mon</v>
      </c>
      <c r="I527">
        <f t="shared" si="59"/>
        <v>6.0600000000000001E-2</v>
      </c>
      <c r="J527">
        <f t="shared" si="60"/>
        <v>0.41</v>
      </c>
      <c r="K527">
        <f t="shared" si="61"/>
        <v>0.19400000000000001</v>
      </c>
      <c r="L527">
        <f t="shared" si="62"/>
        <v>0</v>
      </c>
      <c r="M527">
        <f t="shared" si="63"/>
        <v>7</v>
      </c>
      <c r="N527" t="str">
        <f t="shared" si="65"/>
        <v>Night shift</v>
      </c>
    </row>
    <row r="528" spans="1:14" x14ac:dyDescent="0.3">
      <c r="A528" s="3">
        <v>527</v>
      </c>
      <c r="B528" s="4">
        <v>40567</v>
      </c>
      <c r="C528" s="3">
        <v>1</v>
      </c>
      <c r="D528" s="3" t="b">
        <v>0</v>
      </c>
      <c r="E528" s="3">
        <v>1</v>
      </c>
      <c r="F528" s="3">
        <v>1</v>
      </c>
      <c r="G528" s="3">
        <v>0.04</v>
      </c>
      <c r="H528" t="str">
        <f t="shared" si="64"/>
        <v>Mon</v>
      </c>
      <c r="I528">
        <f t="shared" si="59"/>
        <v>4.5499999999999999E-2</v>
      </c>
      <c r="J528">
        <f t="shared" si="60"/>
        <v>0.45</v>
      </c>
      <c r="K528">
        <f t="shared" si="61"/>
        <v>0.19400000000000001</v>
      </c>
      <c r="L528">
        <f t="shared" si="62"/>
        <v>0</v>
      </c>
      <c r="M528">
        <f t="shared" si="63"/>
        <v>1</v>
      </c>
      <c r="N528" t="str">
        <f t="shared" si="65"/>
        <v>Night shift</v>
      </c>
    </row>
    <row r="529" spans="1:14" x14ac:dyDescent="0.3">
      <c r="A529" s="3">
        <v>528</v>
      </c>
      <c r="B529" s="4">
        <v>40567</v>
      </c>
      <c r="C529" s="3">
        <v>3</v>
      </c>
      <c r="D529" s="3" t="b">
        <v>0</v>
      </c>
      <c r="E529" s="3">
        <v>1</v>
      </c>
      <c r="F529" s="3">
        <v>1</v>
      </c>
      <c r="G529" s="3">
        <v>0.04</v>
      </c>
      <c r="H529" t="str">
        <f t="shared" si="64"/>
        <v>Mon</v>
      </c>
      <c r="I529">
        <f t="shared" si="59"/>
        <v>3.0300000000000001E-2</v>
      </c>
      <c r="J529">
        <f t="shared" si="60"/>
        <v>0.45</v>
      </c>
      <c r="K529">
        <f t="shared" si="61"/>
        <v>0.25369999999999998</v>
      </c>
      <c r="L529">
        <f t="shared" si="62"/>
        <v>0</v>
      </c>
      <c r="M529">
        <f t="shared" si="63"/>
        <v>1</v>
      </c>
      <c r="N529" t="str">
        <f t="shared" si="65"/>
        <v>Night shift</v>
      </c>
    </row>
    <row r="530" spans="1:14" x14ac:dyDescent="0.3">
      <c r="A530" s="3">
        <v>529</v>
      </c>
      <c r="B530" s="4">
        <v>40567</v>
      </c>
      <c r="C530" s="3">
        <v>4</v>
      </c>
      <c r="D530" s="3" t="b">
        <v>0</v>
      </c>
      <c r="E530" s="3">
        <v>1</v>
      </c>
      <c r="F530" s="3">
        <v>1</v>
      </c>
      <c r="G530" s="3">
        <v>0.02</v>
      </c>
      <c r="H530" t="str">
        <f t="shared" si="64"/>
        <v>Mon</v>
      </c>
      <c r="I530">
        <f t="shared" si="59"/>
        <v>6.0600000000000001E-2</v>
      </c>
      <c r="J530">
        <f t="shared" si="60"/>
        <v>0.48</v>
      </c>
      <c r="K530">
        <f t="shared" si="61"/>
        <v>0.1343</v>
      </c>
      <c r="L530">
        <f t="shared" si="62"/>
        <v>0</v>
      </c>
      <c r="M530">
        <f t="shared" si="63"/>
        <v>1</v>
      </c>
      <c r="N530" t="str">
        <f t="shared" si="65"/>
        <v>Night shift</v>
      </c>
    </row>
    <row r="531" spans="1:14" x14ac:dyDescent="0.3">
      <c r="A531" s="3">
        <v>530</v>
      </c>
      <c r="B531" s="4">
        <v>40567</v>
      </c>
      <c r="C531" s="3">
        <v>5</v>
      </c>
      <c r="D531" s="3" t="b">
        <v>0</v>
      </c>
      <c r="E531" s="3">
        <v>1</v>
      </c>
      <c r="F531" s="3">
        <v>1</v>
      </c>
      <c r="G531" s="3">
        <v>0.02</v>
      </c>
      <c r="H531" t="str">
        <f t="shared" si="64"/>
        <v>Mon</v>
      </c>
      <c r="I531">
        <f t="shared" si="59"/>
        <v>6.0600000000000001E-2</v>
      </c>
      <c r="J531">
        <f t="shared" si="60"/>
        <v>0.48</v>
      </c>
      <c r="K531">
        <f t="shared" si="61"/>
        <v>0.1343</v>
      </c>
      <c r="L531">
        <f t="shared" si="62"/>
        <v>0</v>
      </c>
      <c r="M531">
        <f t="shared" si="63"/>
        <v>5</v>
      </c>
      <c r="N531" t="str">
        <f t="shared" si="65"/>
        <v>Night shift</v>
      </c>
    </row>
    <row r="532" spans="1:14" x14ac:dyDescent="0.3">
      <c r="A532" s="3">
        <v>531</v>
      </c>
      <c r="B532" s="4">
        <v>40567</v>
      </c>
      <c r="C532" s="3">
        <v>6</v>
      </c>
      <c r="D532" s="3" t="b">
        <v>0</v>
      </c>
      <c r="E532" s="3">
        <v>1</v>
      </c>
      <c r="F532" s="3">
        <v>1</v>
      </c>
      <c r="G532" s="3">
        <v>0.02</v>
      </c>
      <c r="H532" t="str">
        <f t="shared" si="64"/>
        <v>Mon</v>
      </c>
      <c r="I532">
        <f t="shared" si="59"/>
        <v>7.5800000000000006E-2</v>
      </c>
      <c r="J532">
        <f t="shared" si="60"/>
        <v>0.48</v>
      </c>
      <c r="K532">
        <f t="shared" si="61"/>
        <v>8.9599999999999999E-2</v>
      </c>
      <c r="L532">
        <f t="shared" si="62"/>
        <v>0</v>
      </c>
      <c r="M532">
        <f t="shared" si="63"/>
        <v>15</v>
      </c>
      <c r="N532" t="str">
        <f t="shared" si="65"/>
        <v>Day Shift</v>
      </c>
    </row>
    <row r="533" spans="1:14" x14ac:dyDescent="0.3">
      <c r="A533" s="3">
        <v>532</v>
      </c>
      <c r="B533" s="4">
        <v>40567</v>
      </c>
      <c r="C533" s="3">
        <v>7</v>
      </c>
      <c r="D533" s="3" t="b">
        <v>0</v>
      </c>
      <c r="E533" s="3">
        <v>1</v>
      </c>
      <c r="F533" s="3">
        <v>1</v>
      </c>
      <c r="G533" s="3">
        <v>0.02</v>
      </c>
      <c r="H533" t="str">
        <f t="shared" si="64"/>
        <v>Mon</v>
      </c>
      <c r="I533">
        <f t="shared" si="59"/>
        <v>0.1212</v>
      </c>
      <c r="J533">
        <f t="shared" si="60"/>
        <v>0.48</v>
      </c>
      <c r="K533">
        <f t="shared" si="61"/>
        <v>0</v>
      </c>
      <c r="L533">
        <f t="shared" si="62"/>
        <v>5</v>
      </c>
      <c r="M533">
        <f t="shared" si="63"/>
        <v>79</v>
      </c>
      <c r="N533" t="str">
        <f t="shared" si="65"/>
        <v>Day Shift</v>
      </c>
    </row>
    <row r="534" spans="1:14" x14ac:dyDescent="0.3">
      <c r="A534" s="3">
        <v>533</v>
      </c>
      <c r="B534" s="4">
        <v>40567</v>
      </c>
      <c r="C534" s="3">
        <v>8</v>
      </c>
      <c r="D534" s="3" t="b">
        <v>0</v>
      </c>
      <c r="E534" s="3">
        <v>1</v>
      </c>
      <c r="F534" s="3">
        <v>1</v>
      </c>
      <c r="G534" s="3">
        <v>0.04</v>
      </c>
      <c r="H534" t="str">
        <f t="shared" si="64"/>
        <v>Mon</v>
      </c>
      <c r="I534">
        <f t="shared" si="59"/>
        <v>0.13639999999999999</v>
      </c>
      <c r="J534">
        <f t="shared" si="60"/>
        <v>0.49</v>
      </c>
      <c r="K534">
        <f t="shared" si="61"/>
        <v>0</v>
      </c>
      <c r="L534">
        <f t="shared" si="62"/>
        <v>6</v>
      </c>
      <c r="M534">
        <f t="shared" si="63"/>
        <v>171</v>
      </c>
      <c r="N534" t="str">
        <f t="shared" si="65"/>
        <v>Day Shift</v>
      </c>
    </row>
    <row r="535" spans="1:14" x14ac:dyDescent="0.3">
      <c r="A535" s="3">
        <v>534</v>
      </c>
      <c r="B535" s="4">
        <v>40567</v>
      </c>
      <c r="C535" s="3">
        <v>9</v>
      </c>
      <c r="D535" s="3" t="b">
        <v>0</v>
      </c>
      <c r="E535" s="3">
        <v>1</v>
      </c>
      <c r="F535" s="3">
        <v>1</v>
      </c>
      <c r="G535" s="3">
        <v>0.06</v>
      </c>
      <c r="H535" t="str">
        <f t="shared" si="64"/>
        <v>Mon</v>
      </c>
      <c r="I535">
        <f t="shared" si="59"/>
        <v>0.1515</v>
      </c>
      <c r="J535">
        <f t="shared" si="60"/>
        <v>0.41</v>
      </c>
      <c r="K535">
        <f t="shared" si="61"/>
        <v>0</v>
      </c>
      <c r="L535">
        <f t="shared" si="62"/>
        <v>4</v>
      </c>
      <c r="M535">
        <f t="shared" si="63"/>
        <v>98</v>
      </c>
      <c r="N535" t="str">
        <f t="shared" si="65"/>
        <v>Day Shift</v>
      </c>
    </row>
    <row r="536" spans="1:14" x14ac:dyDescent="0.3">
      <c r="A536" s="3">
        <v>535</v>
      </c>
      <c r="B536" s="4">
        <v>40567</v>
      </c>
      <c r="C536" s="3">
        <v>10</v>
      </c>
      <c r="D536" s="3" t="b">
        <v>0</v>
      </c>
      <c r="E536" s="3">
        <v>1</v>
      </c>
      <c r="F536" s="3">
        <v>1</v>
      </c>
      <c r="G536" s="3">
        <v>0.1</v>
      </c>
      <c r="H536" t="str">
        <f t="shared" si="64"/>
        <v>Mon</v>
      </c>
      <c r="I536">
        <f t="shared" si="59"/>
        <v>0.13639999999999999</v>
      </c>
      <c r="J536">
        <f t="shared" si="60"/>
        <v>0.42</v>
      </c>
      <c r="K536">
        <f t="shared" si="61"/>
        <v>0</v>
      </c>
      <c r="L536">
        <f t="shared" si="62"/>
        <v>6</v>
      </c>
      <c r="M536">
        <f t="shared" si="63"/>
        <v>34</v>
      </c>
      <c r="N536" t="str">
        <f t="shared" si="65"/>
        <v>Day Shift</v>
      </c>
    </row>
    <row r="537" spans="1:14" x14ac:dyDescent="0.3">
      <c r="A537" s="3">
        <v>536</v>
      </c>
      <c r="B537" s="4">
        <v>40567</v>
      </c>
      <c r="C537" s="3">
        <v>11</v>
      </c>
      <c r="D537" s="3" t="b">
        <v>0</v>
      </c>
      <c r="E537" s="3">
        <v>1</v>
      </c>
      <c r="F537" s="3">
        <v>1</v>
      </c>
      <c r="G537" s="3">
        <v>0.1</v>
      </c>
      <c r="H537" t="str">
        <f t="shared" si="64"/>
        <v>Mon</v>
      </c>
      <c r="I537">
        <f t="shared" si="59"/>
        <v>0.1212</v>
      </c>
      <c r="J537">
        <f t="shared" si="60"/>
        <v>0.46</v>
      </c>
      <c r="K537">
        <f t="shared" si="61"/>
        <v>0.1343</v>
      </c>
      <c r="L537">
        <f t="shared" si="62"/>
        <v>3</v>
      </c>
      <c r="M537">
        <f t="shared" si="63"/>
        <v>43</v>
      </c>
      <c r="N537" t="str">
        <f t="shared" si="65"/>
        <v>Day Shift</v>
      </c>
    </row>
    <row r="538" spans="1:14" x14ac:dyDescent="0.3">
      <c r="A538" s="3">
        <v>537</v>
      </c>
      <c r="B538" s="4">
        <v>40567</v>
      </c>
      <c r="C538" s="3">
        <v>12</v>
      </c>
      <c r="D538" s="3" t="b">
        <v>0</v>
      </c>
      <c r="E538" s="3">
        <v>1</v>
      </c>
      <c r="F538" s="3">
        <v>2</v>
      </c>
      <c r="G538" s="3">
        <v>0.12</v>
      </c>
      <c r="H538" t="str">
        <f t="shared" si="64"/>
        <v>Mon</v>
      </c>
      <c r="I538">
        <f t="shared" si="59"/>
        <v>0.13639999999999999</v>
      </c>
      <c r="J538">
        <f t="shared" si="60"/>
        <v>0.42</v>
      </c>
      <c r="K538">
        <f t="shared" si="61"/>
        <v>0.19400000000000001</v>
      </c>
      <c r="L538">
        <f t="shared" si="62"/>
        <v>11</v>
      </c>
      <c r="M538">
        <f t="shared" si="63"/>
        <v>52</v>
      </c>
      <c r="N538" t="str">
        <f t="shared" si="65"/>
        <v>Day Shift</v>
      </c>
    </row>
    <row r="539" spans="1:14" x14ac:dyDescent="0.3">
      <c r="A539" s="3">
        <v>538</v>
      </c>
      <c r="B539" s="4">
        <v>40567</v>
      </c>
      <c r="C539" s="3">
        <v>13</v>
      </c>
      <c r="D539" s="3" t="b">
        <v>0</v>
      </c>
      <c r="E539" s="3">
        <v>1</v>
      </c>
      <c r="F539" s="3">
        <v>2</v>
      </c>
      <c r="G539" s="3">
        <v>0.14000000000000001</v>
      </c>
      <c r="H539" t="str">
        <f t="shared" si="64"/>
        <v>Mon</v>
      </c>
      <c r="I539">
        <f t="shared" si="59"/>
        <v>0.13639999999999999</v>
      </c>
      <c r="J539">
        <f t="shared" si="60"/>
        <v>0.43</v>
      </c>
      <c r="K539">
        <f t="shared" si="61"/>
        <v>0.22389999999999999</v>
      </c>
      <c r="L539">
        <f t="shared" si="62"/>
        <v>6</v>
      </c>
      <c r="M539">
        <f t="shared" si="63"/>
        <v>54</v>
      </c>
      <c r="N539" t="str">
        <f t="shared" si="65"/>
        <v>Day Shift</v>
      </c>
    </row>
    <row r="540" spans="1:14" x14ac:dyDescent="0.3">
      <c r="A540" s="3">
        <v>539</v>
      </c>
      <c r="B540" s="4">
        <v>40567</v>
      </c>
      <c r="C540" s="3">
        <v>14</v>
      </c>
      <c r="D540" s="3" t="b">
        <v>0</v>
      </c>
      <c r="E540" s="3">
        <v>1</v>
      </c>
      <c r="F540" s="3">
        <v>2</v>
      </c>
      <c r="G540" s="3">
        <v>0.14000000000000001</v>
      </c>
      <c r="H540" t="str">
        <f t="shared" si="64"/>
        <v>Mon</v>
      </c>
      <c r="I540">
        <f t="shared" si="59"/>
        <v>0.13639999999999999</v>
      </c>
      <c r="J540">
        <f t="shared" si="60"/>
        <v>0.46</v>
      </c>
      <c r="K540">
        <f t="shared" si="61"/>
        <v>0.22389999999999999</v>
      </c>
      <c r="L540">
        <f t="shared" si="62"/>
        <v>2</v>
      </c>
      <c r="M540">
        <f t="shared" si="63"/>
        <v>43</v>
      </c>
      <c r="N540" t="str">
        <f t="shared" si="65"/>
        <v>Day Shift</v>
      </c>
    </row>
    <row r="541" spans="1:14" x14ac:dyDescent="0.3">
      <c r="A541" s="3">
        <v>540</v>
      </c>
      <c r="B541" s="4">
        <v>40567</v>
      </c>
      <c r="C541" s="3">
        <v>15</v>
      </c>
      <c r="D541" s="3" t="b">
        <v>0</v>
      </c>
      <c r="E541" s="3">
        <v>1</v>
      </c>
      <c r="F541" s="3">
        <v>1</v>
      </c>
      <c r="G541" s="3">
        <v>0.16</v>
      </c>
      <c r="H541" t="str">
        <f t="shared" si="64"/>
        <v>Mon</v>
      </c>
      <c r="I541">
        <f t="shared" si="59"/>
        <v>0.16669999999999999</v>
      </c>
      <c r="J541">
        <f t="shared" si="60"/>
        <v>0.4</v>
      </c>
      <c r="K541">
        <f t="shared" si="61"/>
        <v>0.16420000000000001</v>
      </c>
      <c r="L541">
        <f t="shared" si="62"/>
        <v>7</v>
      </c>
      <c r="M541">
        <f t="shared" si="63"/>
        <v>50</v>
      </c>
      <c r="N541" t="str">
        <f t="shared" si="65"/>
        <v>Day Shift</v>
      </c>
    </row>
    <row r="542" spans="1:14" x14ac:dyDescent="0.3">
      <c r="A542" s="3">
        <v>541</v>
      </c>
      <c r="B542" s="4">
        <v>40567</v>
      </c>
      <c r="C542" s="3">
        <v>16</v>
      </c>
      <c r="D542" s="3" t="b">
        <v>0</v>
      </c>
      <c r="E542" s="3">
        <v>1</v>
      </c>
      <c r="F542" s="3">
        <v>1</v>
      </c>
      <c r="G542" s="3">
        <v>0.16</v>
      </c>
      <c r="H542" t="str">
        <f t="shared" si="64"/>
        <v>Mon</v>
      </c>
      <c r="I542">
        <f t="shared" si="59"/>
        <v>0.1515</v>
      </c>
      <c r="J542">
        <f t="shared" si="60"/>
        <v>0.47</v>
      </c>
      <c r="K542">
        <f t="shared" si="61"/>
        <v>0.25369999999999998</v>
      </c>
      <c r="L542">
        <f t="shared" si="62"/>
        <v>4</v>
      </c>
      <c r="M542">
        <f t="shared" si="63"/>
        <v>66</v>
      </c>
      <c r="N542" t="str">
        <f t="shared" si="65"/>
        <v>Day Shift</v>
      </c>
    </row>
    <row r="543" spans="1:14" x14ac:dyDescent="0.3">
      <c r="A543" s="3">
        <v>542</v>
      </c>
      <c r="B543" s="4">
        <v>40567</v>
      </c>
      <c r="C543" s="3">
        <v>17</v>
      </c>
      <c r="D543" s="3" t="b">
        <v>0</v>
      </c>
      <c r="E543" s="3">
        <v>1</v>
      </c>
      <c r="F543" s="3">
        <v>1</v>
      </c>
      <c r="G543" s="3">
        <v>0.14000000000000001</v>
      </c>
      <c r="H543" t="str">
        <f t="shared" si="64"/>
        <v>Mon</v>
      </c>
      <c r="I543">
        <f t="shared" si="59"/>
        <v>0.1212</v>
      </c>
      <c r="J543">
        <f t="shared" si="60"/>
        <v>0.5</v>
      </c>
      <c r="K543">
        <f t="shared" si="61"/>
        <v>0.25369999999999998</v>
      </c>
      <c r="L543">
        <f t="shared" si="62"/>
        <v>6</v>
      </c>
      <c r="M543">
        <f t="shared" si="63"/>
        <v>178</v>
      </c>
      <c r="N543" t="str">
        <f t="shared" si="65"/>
        <v>Day Shift</v>
      </c>
    </row>
    <row r="544" spans="1:14" x14ac:dyDescent="0.3">
      <c r="A544" s="3">
        <v>543</v>
      </c>
      <c r="B544" s="4">
        <v>40567</v>
      </c>
      <c r="C544" s="3">
        <v>18</v>
      </c>
      <c r="D544" s="3" t="b">
        <v>0</v>
      </c>
      <c r="E544" s="3">
        <v>1</v>
      </c>
      <c r="F544" s="3">
        <v>1</v>
      </c>
      <c r="G544" s="3">
        <v>0.14000000000000001</v>
      </c>
      <c r="H544" t="str">
        <f t="shared" si="64"/>
        <v>Mon</v>
      </c>
      <c r="I544">
        <f t="shared" si="59"/>
        <v>0.13639999999999999</v>
      </c>
      <c r="J544">
        <f t="shared" si="60"/>
        <v>0.59</v>
      </c>
      <c r="K544">
        <f t="shared" si="61"/>
        <v>0.19400000000000001</v>
      </c>
      <c r="L544">
        <f t="shared" si="62"/>
        <v>8</v>
      </c>
      <c r="M544">
        <f t="shared" si="63"/>
        <v>145</v>
      </c>
      <c r="N544" t="str">
        <f t="shared" si="65"/>
        <v>Day Shift</v>
      </c>
    </row>
    <row r="545" spans="1:14" x14ac:dyDescent="0.3">
      <c r="A545" s="3">
        <v>544</v>
      </c>
      <c r="B545" s="4">
        <v>40567</v>
      </c>
      <c r="C545" s="3">
        <v>19</v>
      </c>
      <c r="D545" s="3" t="b">
        <v>0</v>
      </c>
      <c r="E545" s="3">
        <v>1</v>
      </c>
      <c r="F545" s="3">
        <v>1</v>
      </c>
      <c r="G545" s="3">
        <v>0.14000000000000001</v>
      </c>
      <c r="H545" t="str">
        <f t="shared" si="64"/>
        <v>Mon</v>
      </c>
      <c r="I545">
        <f t="shared" si="59"/>
        <v>0.1515</v>
      </c>
      <c r="J545">
        <f t="shared" si="60"/>
        <v>0.54</v>
      </c>
      <c r="K545">
        <f t="shared" si="61"/>
        <v>0.16420000000000001</v>
      </c>
      <c r="L545">
        <f t="shared" si="62"/>
        <v>5</v>
      </c>
      <c r="M545">
        <f t="shared" si="63"/>
        <v>101</v>
      </c>
      <c r="N545" t="str">
        <f t="shared" si="65"/>
        <v>Night shift</v>
      </c>
    </row>
    <row r="546" spans="1:14" x14ac:dyDescent="0.3">
      <c r="A546" s="3">
        <v>545</v>
      </c>
      <c r="B546" s="4">
        <v>40567</v>
      </c>
      <c r="C546" s="3">
        <v>20</v>
      </c>
      <c r="D546" s="3" t="b">
        <v>0</v>
      </c>
      <c r="E546" s="3">
        <v>1</v>
      </c>
      <c r="F546" s="3">
        <v>1</v>
      </c>
      <c r="G546" s="3">
        <v>0.14000000000000001</v>
      </c>
      <c r="H546" t="str">
        <f t="shared" si="64"/>
        <v>Mon</v>
      </c>
      <c r="I546">
        <f t="shared" si="59"/>
        <v>0.13639999999999999</v>
      </c>
      <c r="J546">
        <f t="shared" si="60"/>
        <v>0.59</v>
      </c>
      <c r="K546">
        <f t="shared" si="61"/>
        <v>0.19400000000000001</v>
      </c>
      <c r="L546">
        <f t="shared" si="62"/>
        <v>1</v>
      </c>
      <c r="M546">
        <f t="shared" si="63"/>
        <v>80</v>
      </c>
      <c r="N546" t="str">
        <f t="shared" si="65"/>
        <v>Night shift</v>
      </c>
    </row>
    <row r="547" spans="1:14" x14ac:dyDescent="0.3">
      <c r="A547" s="3">
        <v>546</v>
      </c>
      <c r="B547" s="4">
        <v>40567</v>
      </c>
      <c r="C547" s="3">
        <v>21</v>
      </c>
      <c r="D547" s="3" t="b">
        <v>0</v>
      </c>
      <c r="E547" s="3">
        <v>1</v>
      </c>
      <c r="F547" s="3">
        <v>1</v>
      </c>
      <c r="G547" s="3">
        <v>0.14000000000000001</v>
      </c>
      <c r="H547" t="str">
        <f t="shared" si="64"/>
        <v>Mon</v>
      </c>
      <c r="I547">
        <f t="shared" si="59"/>
        <v>0.1515</v>
      </c>
      <c r="J547">
        <f t="shared" si="60"/>
        <v>0.63</v>
      </c>
      <c r="K547">
        <f t="shared" si="61"/>
        <v>0.16420000000000001</v>
      </c>
      <c r="L547">
        <f t="shared" si="62"/>
        <v>6</v>
      </c>
      <c r="M547">
        <f t="shared" si="63"/>
        <v>53</v>
      </c>
      <c r="N547" t="str">
        <f t="shared" si="65"/>
        <v>Night shift</v>
      </c>
    </row>
    <row r="548" spans="1:14" x14ac:dyDescent="0.3">
      <c r="A548" s="3">
        <v>547</v>
      </c>
      <c r="B548" s="4">
        <v>40567</v>
      </c>
      <c r="C548" s="3">
        <v>22</v>
      </c>
      <c r="D548" s="3" t="b">
        <v>0</v>
      </c>
      <c r="E548" s="3">
        <v>1</v>
      </c>
      <c r="F548" s="3">
        <v>2</v>
      </c>
      <c r="G548" s="3">
        <v>0.14000000000000001</v>
      </c>
      <c r="H548" t="str">
        <f t="shared" si="64"/>
        <v>Mon</v>
      </c>
      <c r="I548">
        <f t="shared" si="59"/>
        <v>0.13639999999999999</v>
      </c>
      <c r="J548">
        <f t="shared" si="60"/>
        <v>0.63</v>
      </c>
      <c r="K548">
        <f t="shared" si="61"/>
        <v>0.22389999999999999</v>
      </c>
      <c r="L548">
        <f t="shared" si="62"/>
        <v>3</v>
      </c>
      <c r="M548">
        <f t="shared" si="63"/>
        <v>32</v>
      </c>
      <c r="N548" t="str">
        <f t="shared" si="65"/>
        <v>Night shift</v>
      </c>
    </row>
    <row r="549" spans="1:14" x14ac:dyDescent="0.3">
      <c r="A549" s="3">
        <v>548</v>
      </c>
      <c r="B549" s="4">
        <v>40567</v>
      </c>
      <c r="C549" s="3">
        <v>23</v>
      </c>
      <c r="D549" s="3" t="b">
        <v>0</v>
      </c>
      <c r="E549" s="3">
        <v>1</v>
      </c>
      <c r="F549" s="3">
        <v>2</v>
      </c>
      <c r="G549" s="3">
        <v>0.16</v>
      </c>
      <c r="H549" t="str">
        <f t="shared" si="64"/>
        <v>Mon</v>
      </c>
      <c r="I549">
        <f t="shared" si="59"/>
        <v>0.1515</v>
      </c>
      <c r="J549">
        <f t="shared" si="60"/>
        <v>0.64</v>
      </c>
      <c r="K549">
        <f t="shared" si="61"/>
        <v>0.25369999999999998</v>
      </c>
      <c r="L549">
        <f t="shared" si="62"/>
        <v>3</v>
      </c>
      <c r="M549">
        <f t="shared" si="63"/>
        <v>21</v>
      </c>
      <c r="N549" t="str">
        <f t="shared" si="65"/>
        <v>Night shift</v>
      </c>
    </row>
    <row r="550" spans="1:14" x14ac:dyDescent="0.3">
      <c r="A550" s="3">
        <v>549</v>
      </c>
      <c r="B550" s="4">
        <v>40568</v>
      </c>
      <c r="C550" s="3">
        <v>0</v>
      </c>
      <c r="D550" s="3" t="b">
        <v>0</v>
      </c>
      <c r="E550" s="3">
        <v>2</v>
      </c>
      <c r="F550" s="3">
        <v>2</v>
      </c>
      <c r="G550" s="3">
        <v>0.16</v>
      </c>
      <c r="H550" t="str">
        <f t="shared" si="64"/>
        <v>Tue</v>
      </c>
      <c r="I550">
        <f t="shared" si="59"/>
        <v>0.13639999999999999</v>
      </c>
      <c r="J550">
        <f t="shared" si="60"/>
        <v>0.69</v>
      </c>
      <c r="K550">
        <f t="shared" si="61"/>
        <v>0.28360000000000002</v>
      </c>
      <c r="L550">
        <f t="shared" si="62"/>
        <v>3</v>
      </c>
      <c r="M550">
        <f t="shared" si="63"/>
        <v>6</v>
      </c>
      <c r="N550" t="str">
        <f t="shared" si="65"/>
        <v>Night shift</v>
      </c>
    </row>
    <row r="551" spans="1:14" x14ac:dyDescent="0.3">
      <c r="A551" s="3">
        <v>550</v>
      </c>
      <c r="B551" s="4">
        <v>40568</v>
      </c>
      <c r="C551" s="3">
        <v>1</v>
      </c>
      <c r="D551" s="3" t="b">
        <v>0</v>
      </c>
      <c r="E551" s="3">
        <v>2</v>
      </c>
      <c r="F551" s="3">
        <v>2</v>
      </c>
      <c r="G551" s="3">
        <v>0.16</v>
      </c>
      <c r="H551" t="str">
        <f t="shared" si="64"/>
        <v>Tue</v>
      </c>
      <c r="I551">
        <f t="shared" si="59"/>
        <v>0.16669999999999999</v>
      </c>
      <c r="J551">
        <f t="shared" si="60"/>
        <v>0.69</v>
      </c>
      <c r="K551">
        <f t="shared" si="61"/>
        <v>0.16420000000000001</v>
      </c>
      <c r="L551">
        <f t="shared" si="62"/>
        <v>0</v>
      </c>
      <c r="M551">
        <f t="shared" si="63"/>
        <v>5</v>
      </c>
      <c r="N551" t="str">
        <f t="shared" si="65"/>
        <v>Night shift</v>
      </c>
    </row>
    <row r="552" spans="1:14" x14ac:dyDescent="0.3">
      <c r="A552" s="3">
        <v>551</v>
      </c>
      <c r="B552" s="4">
        <v>40568</v>
      </c>
      <c r="C552" s="3">
        <v>2</v>
      </c>
      <c r="D552" s="3" t="b">
        <v>0</v>
      </c>
      <c r="E552" s="3">
        <v>2</v>
      </c>
      <c r="F552" s="3">
        <v>1</v>
      </c>
      <c r="G552" s="3">
        <v>0.16</v>
      </c>
      <c r="H552" t="str">
        <f t="shared" si="64"/>
        <v>Tue</v>
      </c>
      <c r="I552">
        <f t="shared" si="59"/>
        <v>0.1515</v>
      </c>
      <c r="J552">
        <f t="shared" si="60"/>
        <v>0.69</v>
      </c>
      <c r="K552">
        <f t="shared" si="61"/>
        <v>0.22389999999999999</v>
      </c>
      <c r="L552">
        <f t="shared" si="62"/>
        <v>0</v>
      </c>
      <c r="M552">
        <f t="shared" si="63"/>
        <v>2</v>
      </c>
      <c r="N552" t="str">
        <f t="shared" si="65"/>
        <v>Night shift</v>
      </c>
    </row>
    <row r="553" spans="1:14" x14ac:dyDescent="0.3">
      <c r="A553" s="3">
        <v>552</v>
      </c>
      <c r="B553" s="4">
        <v>40568</v>
      </c>
      <c r="C553" s="3">
        <v>4</v>
      </c>
      <c r="D553" s="3" t="b">
        <v>0</v>
      </c>
      <c r="E553" s="3">
        <v>2</v>
      </c>
      <c r="F553" s="3">
        <v>1</v>
      </c>
      <c r="G553" s="3">
        <v>0.14000000000000001</v>
      </c>
      <c r="H553" t="str">
        <f t="shared" si="64"/>
        <v>Tue</v>
      </c>
      <c r="I553">
        <f t="shared" si="59"/>
        <v>0.16669999999999999</v>
      </c>
      <c r="J553">
        <f t="shared" si="60"/>
        <v>0.74</v>
      </c>
      <c r="K553">
        <f t="shared" si="61"/>
        <v>0.1045</v>
      </c>
      <c r="L553">
        <f t="shared" si="62"/>
        <v>0</v>
      </c>
      <c r="M553">
        <f t="shared" si="63"/>
        <v>1</v>
      </c>
      <c r="N553" t="str">
        <f t="shared" si="65"/>
        <v>Night shift</v>
      </c>
    </row>
    <row r="554" spans="1:14" x14ac:dyDescent="0.3">
      <c r="A554" s="3">
        <v>553</v>
      </c>
      <c r="B554" s="4">
        <v>40568</v>
      </c>
      <c r="C554" s="3">
        <v>5</v>
      </c>
      <c r="D554" s="3" t="b">
        <v>0</v>
      </c>
      <c r="E554" s="3">
        <v>2</v>
      </c>
      <c r="F554" s="3">
        <v>1</v>
      </c>
      <c r="G554" s="3">
        <v>0.14000000000000001</v>
      </c>
      <c r="H554" t="str">
        <f t="shared" si="64"/>
        <v>Tue</v>
      </c>
      <c r="I554">
        <f t="shared" si="59"/>
        <v>0.13639999999999999</v>
      </c>
      <c r="J554">
        <f t="shared" si="60"/>
        <v>0.74</v>
      </c>
      <c r="K554">
        <f t="shared" si="61"/>
        <v>0.22389999999999999</v>
      </c>
      <c r="L554">
        <f t="shared" si="62"/>
        <v>0</v>
      </c>
      <c r="M554">
        <f t="shared" si="63"/>
        <v>9</v>
      </c>
      <c r="N554" t="str">
        <f t="shared" si="65"/>
        <v>Night shift</v>
      </c>
    </row>
    <row r="555" spans="1:14" x14ac:dyDescent="0.3">
      <c r="A555" s="3">
        <v>554</v>
      </c>
      <c r="B555" s="4">
        <v>40568</v>
      </c>
      <c r="C555" s="3">
        <v>6</v>
      </c>
      <c r="D555" s="3" t="b">
        <v>0</v>
      </c>
      <c r="E555" s="3">
        <v>2</v>
      </c>
      <c r="F555" s="3">
        <v>1</v>
      </c>
      <c r="G555" s="3">
        <v>0.16</v>
      </c>
      <c r="H555" t="str">
        <f t="shared" si="64"/>
        <v>Tue</v>
      </c>
      <c r="I555">
        <f t="shared" si="59"/>
        <v>0.18179999999999999</v>
      </c>
      <c r="J555">
        <f t="shared" si="60"/>
        <v>0.74</v>
      </c>
      <c r="K555">
        <f t="shared" si="61"/>
        <v>0.1045</v>
      </c>
      <c r="L555">
        <f t="shared" si="62"/>
        <v>1</v>
      </c>
      <c r="M555">
        <f t="shared" si="63"/>
        <v>35</v>
      </c>
      <c r="N555" t="str">
        <f t="shared" si="65"/>
        <v>Day Shift</v>
      </c>
    </row>
    <row r="556" spans="1:14" x14ac:dyDescent="0.3">
      <c r="A556" s="3">
        <v>555</v>
      </c>
      <c r="B556" s="4">
        <v>40568</v>
      </c>
      <c r="C556" s="3">
        <v>7</v>
      </c>
      <c r="D556" s="3" t="b">
        <v>0</v>
      </c>
      <c r="E556" s="3">
        <v>2</v>
      </c>
      <c r="F556" s="3">
        <v>1</v>
      </c>
      <c r="G556" s="3">
        <v>0.16</v>
      </c>
      <c r="H556" t="str">
        <f t="shared" si="64"/>
        <v>Tue</v>
      </c>
      <c r="I556">
        <f t="shared" si="59"/>
        <v>0.1515</v>
      </c>
      <c r="J556">
        <f t="shared" si="60"/>
        <v>0.74</v>
      </c>
      <c r="K556">
        <f t="shared" si="61"/>
        <v>0.22389999999999999</v>
      </c>
      <c r="L556">
        <f t="shared" si="62"/>
        <v>5</v>
      </c>
      <c r="M556">
        <f t="shared" si="63"/>
        <v>103</v>
      </c>
      <c r="N556" t="str">
        <f t="shared" si="65"/>
        <v>Day Shift</v>
      </c>
    </row>
    <row r="557" spans="1:14" x14ac:dyDescent="0.3">
      <c r="A557" s="3">
        <v>556</v>
      </c>
      <c r="B557" s="4">
        <v>40568</v>
      </c>
      <c r="C557" s="3">
        <v>8</v>
      </c>
      <c r="D557" s="3" t="b">
        <v>0</v>
      </c>
      <c r="E557" s="3">
        <v>2</v>
      </c>
      <c r="F557" s="3">
        <v>2</v>
      </c>
      <c r="G557" s="3">
        <v>0.16</v>
      </c>
      <c r="H557" t="str">
        <f t="shared" si="64"/>
        <v>Tue</v>
      </c>
      <c r="I557">
        <f t="shared" si="59"/>
        <v>0.18179999999999999</v>
      </c>
      <c r="J557">
        <f t="shared" si="60"/>
        <v>0.74</v>
      </c>
      <c r="K557">
        <f t="shared" si="61"/>
        <v>0.1343</v>
      </c>
      <c r="L557">
        <f t="shared" si="62"/>
        <v>5</v>
      </c>
      <c r="M557">
        <f t="shared" si="63"/>
        <v>233</v>
      </c>
      <c r="N557" t="str">
        <f t="shared" si="65"/>
        <v>Day Shift</v>
      </c>
    </row>
    <row r="558" spans="1:14" x14ac:dyDescent="0.3">
      <c r="A558" s="3">
        <v>557</v>
      </c>
      <c r="B558" s="4">
        <v>40568</v>
      </c>
      <c r="C558" s="3">
        <v>9</v>
      </c>
      <c r="D558" s="3" t="b">
        <v>0</v>
      </c>
      <c r="E558" s="3">
        <v>2</v>
      </c>
      <c r="F558" s="3">
        <v>2</v>
      </c>
      <c r="G558" s="3">
        <v>0.2</v>
      </c>
      <c r="H558" t="str">
        <f t="shared" si="64"/>
        <v>Tue</v>
      </c>
      <c r="I558">
        <f t="shared" si="59"/>
        <v>0.2273</v>
      </c>
      <c r="J558">
        <f t="shared" si="60"/>
        <v>0.64</v>
      </c>
      <c r="K558">
        <f t="shared" si="61"/>
        <v>8.9599999999999999E-2</v>
      </c>
      <c r="L558">
        <f t="shared" si="62"/>
        <v>10</v>
      </c>
      <c r="M558">
        <f t="shared" si="63"/>
        <v>134</v>
      </c>
      <c r="N558" t="str">
        <f t="shared" si="65"/>
        <v>Day Shift</v>
      </c>
    </row>
    <row r="559" spans="1:14" x14ac:dyDescent="0.3">
      <c r="A559" s="3">
        <v>558</v>
      </c>
      <c r="B559" s="4">
        <v>40568</v>
      </c>
      <c r="C559" s="3">
        <v>10</v>
      </c>
      <c r="D559" s="3" t="b">
        <v>0</v>
      </c>
      <c r="E559" s="3">
        <v>2</v>
      </c>
      <c r="F559" s="3">
        <v>2</v>
      </c>
      <c r="G559" s="3">
        <v>0.22</v>
      </c>
      <c r="H559" t="str">
        <f t="shared" si="64"/>
        <v>Tue</v>
      </c>
      <c r="I559">
        <f t="shared" si="59"/>
        <v>0.2424</v>
      </c>
      <c r="J559">
        <f t="shared" si="60"/>
        <v>0.6</v>
      </c>
      <c r="K559">
        <f t="shared" si="61"/>
        <v>0.1045</v>
      </c>
      <c r="L559">
        <f t="shared" si="62"/>
        <v>6</v>
      </c>
      <c r="M559">
        <f t="shared" si="63"/>
        <v>49</v>
      </c>
      <c r="N559" t="str">
        <f t="shared" si="65"/>
        <v>Day Shift</v>
      </c>
    </row>
    <row r="560" spans="1:14" x14ac:dyDescent="0.3">
      <c r="A560" s="3">
        <v>559</v>
      </c>
      <c r="B560" s="4">
        <v>40568</v>
      </c>
      <c r="C560" s="3">
        <v>11</v>
      </c>
      <c r="D560" s="3" t="b">
        <v>0</v>
      </c>
      <c r="E560" s="3">
        <v>2</v>
      </c>
      <c r="F560" s="3">
        <v>2</v>
      </c>
      <c r="G560" s="3">
        <v>0.24</v>
      </c>
      <c r="H560" t="str">
        <f t="shared" si="64"/>
        <v>Tue</v>
      </c>
      <c r="I560">
        <f t="shared" si="59"/>
        <v>0.2424</v>
      </c>
      <c r="J560">
        <f t="shared" si="60"/>
        <v>0.6</v>
      </c>
      <c r="K560">
        <f t="shared" si="61"/>
        <v>0.1343</v>
      </c>
      <c r="L560">
        <f t="shared" si="62"/>
        <v>6</v>
      </c>
      <c r="M560">
        <f t="shared" si="63"/>
        <v>55</v>
      </c>
      <c r="N560" t="str">
        <f t="shared" si="65"/>
        <v>Day Shift</v>
      </c>
    </row>
    <row r="561" spans="1:14" x14ac:dyDescent="0.3">
      <c r="A561" s="3">
        <v>560</v>
      </c>
      <c r="B561" s="4">
        <v>40568</v>
      </c>
      <c r="C561" s="3">
        <v>12</v>
      </c>
      <c r="D561" s="3" t="b">
        <v>0</v>
      </c>
      <c r="E561" s="3">
        <v>2</v>
      </c>
      <c r="F561" s="3">
        <v>2</v>
      </c>
      <c r="G561" s="3">
        <v>0.26</v>
      </c>
      <c r="H561" t="str">
        <f t="shared" si="64"/>
        <v>Tue</v>
      </c>
      <c r="I561">
        <f t="shared" si="59"/>
        <v>0.28789999999999999</v>
      </c>
      <c r="J561">
        <f t="shared" si="60"/>
        <v>0.56000000000000005</v>
      </c>
      <c r="K561">
        <f t="shared" si="61"/>
        <v>8.9599999999999999E-2</v>
      </c>
      <c r="L561">
        <f t="shared" si="62"/>
        <v>21</v>
      </c>
      <c r="M561">
        <f t="shared" si="63"/>
        <v>85</v>
      </c>
      <c r="N561" t="str">
        <f t="shared" si="65"/>
        <v>Day Shift</v>
      </c>
    </row>
    <row r="562" spans="1:14" x14ac:dyDescent="0.3">
      <c r="A562" s="3">
        <v>561</v>
      </c>
      <c r="B562" s="4">
        <v>40568</v>
      </c>
      <c r="C562" s="3">
        <v>13</v>
      </c>
      <c r="D562" s="3" t="b">
        <v>0</v>
      </c>
      <c r="E562" s="3">
        <v>2</v>
      </c>
      <c r="F562" s="3">
        <v>2</v>
      </c>
      <c r="G562" s="3">
        <v>0.26</v>
      </c>
      <c r="H562" t="str">
        <f t="shared" si="64"/>
        <v>Tue</v>
      </c>
      <c r="I562">
        <f t="shared" si="59"/>
        <v>0.2727</v>
      </c>
      <c r="J562">
        <f t="shared" si="60"/>
        <v>0.56000000000000005</v>
      </c>
      <c r="K562">
        <f t="shared" si="61"/>
        <v>0.1343</v>
      </c>
      <c r="L562">
        <f t="shared" si="62"/>
        <v>21</v>
      </c>
      <c r="M562">
        <f t="shared" si="63"/>
        <v>72</v>
      </c>
      <c r="N562" t="str">
        <f t="shared" si="65"/>
        <v>Day Shift</v>
      </c>
    </row>
    <row r="563" spans="1:14" x14ac:dyDescent="0.3">
      <c r="A563" s="3">
        <v>562</v>
      </c>
      <c r="B563" s="4">
        <v>40568</v>
      </c>
      <c r="C563" s="3">
        <v>14</v>
      </c>
      <c r="D563" s="3" t="b">
        <v>0</v>
      </c>
      <c r="E563" s="3">
        <v>2</v>
      </c>
      <c r="F563" s="3">
        <v>2</v>
      </c>
      <c r="G563" s="3">
        <v>0.3</v>
      </c>
      <c r="H563" t="str">
        <f t="shared" si="64"/>
        <v>Tue</v>
      </c>
      <c r="I563">
        <f t="shared" si="59"/>
        <v>0.33329999999999999</v>
      </c>
      <c r="J563">
        <f t="shared" si="60"/>
        <v>0.45</v>
      </c>
      <c r="K563">
        <f t="shared" si="61"/>
        <v>0</v>
      </c>
      <c r="L563">
        <f t="shared" si="62"/>
        <v>11</v>
      </c>
      <c r="M563">
        <f t="shared" si="63"/>
        <v>57</v>
      </c>
      <c r="N563" t="str">
        <f t="shared" si="65"/>
        <v>Day Shift</v>
      </c>
    </row>
    <row r="564" spans="1:14" x14ac:dyDescent="0.3">
      <c r="A564" s="3">
        <v>563</v>
      </c>
      <c r="B564" s="4">
        <v>40568</v>
      </c>
      <c r="C564" s="3">
        <v>15</v>
      </c>
      <c r="D564" s="3" t="b">
        <v>0</v>
      </c>
      <c r="E564" s="3">
        <v>2</v>
      </c>
      <c r="F564" s="3">
        <v>2</v>
      </c>
      <c r="G564" s="3">
        <v>0.32</v>
      </c>
      <c r="H564" t="str">
        <f t="shared" si="64"/>
        <v>Tue</v>
      </c>
      <c r="I564">
        <f t="shared" si="59"/>
        <v>0.34849999999999998</v>
      </c>
      <c r="J564">
        <f t="shared" si="60"/>
        <v>0.42</v>
      </c>
      <c r="K564">
        <f t="shared" si="61"/>
        <v>0</v>
      </c>
      <c r="L564">
        <f t="shared" si="62"/>
        <v>21</v>
      </c>
      <c r="M564">
        <f t="shared" si="63"/>
        <v>63</v>
      </c>
      <c r="N564" t="str">
        <f t="shared" si="65"/>
        <v>Day Shift</v>
      </c>
    </row>
    <row r="565" spans="1:14" x14ac:dyDescent="0.3">
      <c r="A565" s="3">
        <v>564</v>
      </c>
      <c r="B565" s="4">
        <v>40568</v>
      </c>
      <c r="C565" s="3">
        <v>16</v>
      </c>
      <c r="D565" s="3" t="b">
        <v>0</v>
      </c>
      <c r="E565" s="3">
        <v>2</v>
      </c>
      <c r="F565" s="3">
        <v>2</v>
      </c>
      <c r="G565" s="3">
        <v>0.32</v>
      </c>
      <c r="H565" t="str">
        <f t="shared" si="64"/>
        <v>Tue</v>
      </c>
      <c r="I565">
        <f t="shared" si="59"/>
        <v>0.34849999999999998</v>
      </c>
      <c r="J565">
        <f t="shared" si="60"/>
        <v>0.42</v>
      </c>
      <c r="K565">
        <f t="shared" si="61"/>
        <v>0</v>
      </c>
      <c r="L565">
        <f t="shared" si="62"/>
        <v>14</v>
      </c>
      <c r="M565">
        <f t="shared" si="63"/>
        <v>102</v>
      </c>
      <c r="N565" t="str">
        <f t="shared" si="65"/>
        <v>Day Shift</v>
      </c>
    </row>
    <row r="566" spans="1:14" x14ac:dyDescent="0.3">
      <c r="A566" s="3">
        <v>565</v>
      </c>
      <c r="B566" s="4">
        <v>40568</v>
      </c>
      <c r="C566" s="3">
        <v>17</v>
      </c>
      <c r="D566" s="3" t="b">
        <v>0</v>
      </c>
      <c r="E566" s="3">
        <v>2</v>
      </c>
      <c r="F566" s="3">
        <v>1</v>
      </c>
      <c r="G566" s="3">
        <v>0.3</v>
      </c>
      <c r="H566" t="str">
        <f t="shared" si="64"/>
        <v>Tue</v>
      </c>
      <c r="I566">
        <f t="shared" si="59"/>
        <v>0.33329999999999999</v>
      </c>
      <c r="J566">
        <f t="shared" si="60"/>
        <v>0.45</v>
      </c>
      <c r="K566">
        <f t="shared" si="61"/>
        <v>0</v>
      </c>
      <c r="L566">
        <f t="shared" si="62"/>
        <v>14</v>
      </c>
      <c r="M566">
        <f t="shared" si="63"/>
        <v>208</v>
      </c>
      <c r="N566" t="str">
        <f t="shared" si="65"/>
        <v>Day Shift</v>
      </c>
    </row>
    <row r="567" spans="1:14" x14ac:dyDescent="0.3">
      <c r="A567" s="3">
        <v>566</v>
      </c>
      <c r="B567" s="4">
        <v>40568</v>
      </c>
      <c r="C567" s="3">
        <v>18</v>
      </c>
      <c r="D567" s="3" t="b">
        <v>0</v>
      </c>
      <c r="E567" s="3">
        <v>2</v>
      </c>
      <c r="F567" s="3">
        <v>2</v>
      </c>
      <c r="G567" s="3">
        <v>0.3</v>
      </c>
      <c r="H567" t="str">
        <f t="shared" si="64"/>
        <v>Tue</v>
      </c>
      <c r="I567">
        <f t="shared" si="59"/>
        <v>0.31819999999999998</v>
      </c>
      <c r="J567">
        <f t="shared" si="60"/>
        <v>0.49</v>
      </c>
      <c r="K567">
        <f t="shared" si="61"/>
        <v>8.9599999999999999E-2</v>
      </c>
      <c r="L567">
        <f t="shared" si="62"/>
        <v>7</v>
      </c>
      <c r="M567">
        <f t="shared" si="63"/>
        <v>218</v>
      </c>
      <c r="N567" t="str">
        <f t="shared" si="65"/>
        <v>Day Shift</v>
      </c>
    </row>
    <row r="568" spans="1:14" x14ac:dyDescent="0.3">
      <c r="A568" s="3">
        <v>567</v>
      </c>
      <c r="B568" s="4">
        <v>40568</v>
      </c>
      <c r="C568" s="3">
        <v>19</v>
      </c>
      <c r="D568" s="3" t="b">
        <v>0</v>
      </c>
      <c r="E568" s="3">
        <v>2</v>
      </c>
      <c r="F568" s="3">
        <v>2</v>
      </c>
      <c r="G568" s="3">
        <v>0.26</v>
      </c>
      <c r="H568" t="str">
        <f t="shared" si="64"/>
        <v>Tue</v>
      </c>
      <c r="I568">
        <f t="shared" si="59"/>
        <v>0.2576</v>
      </c>
      <c r="J568">
        <f t="shared" si="60"/>
        <v>0.65</v>
      </c>
      <c r="K568">
        <f t="shared" si="61"/>
        <v>0.16420000000000001</v>
      </c>
      <c r="L568">
        <f t="shared" si="62"/>
        <v>13</v>
      </c>
      <c r="M568">
        <f t="shared" si="63"/>
        <v>133</v>
      </c>
      <c r="N568" t="str">
        <f t="shared" si="65"/>
        <v>Night shift</v>
      </c>
    </row>
    <row r="569" spans="1:14" x14ac:dyDescent="0.3">
      <c r="A569" s="3">
        <v>568</v>
      </c>
      <c r="B569" s="4">
        <v>40568</v>
      </c>
      <c r="C569" s="3">
        <v>20</v>
      </c>
      <c r="D569" s="3" t="b">
        <v>0</v>
      </c>
      <c r="E569" s="3">
        <v>2</v>
      </c>
      <c r="F569" s="3">
        <v>1</v>
      </c>
      <c r="G569" s="3">
        <v>0.24</v>
      </c>
      <c r="H569" t="str">
        <f t="shared" si="64"/>
        <v>Tue</v>
      </c>
      <c r="I569">
        <f t="shared" si="59"/>
        <v>0.2273</v>
      </c>
      <c r="J569">
        <f t="shared" si="60"/>
        <v>0.65</v>
      </c>
      <c r="K569">
        <f t="shared" si="61"/>
        <v>0.19400000000000001</v>
      </c>
      <c r="L569">
        <f t="shared" si="62"/>
        <v>16</v>
      </c>
      <c r="M569">
        <f t="shared" si="63"/>
        <v>103</v>
      </c>
      <c r="N569" t="str">
        <f t="shared" si="65"/>
        <v>Night shift</v>
      </c>
    </row>
    <row r="570" spans="1:14" x14ac:dyDescent="0.3">
      <c r="A570" s="3">
        <v>569</v>
      </c>
      <c r="B570" s="4">
        <v>40568</v>
      </c>
      <c r="C570" s="3">
        <v>21</v>
      </c>
      <c r="D570" s="3" t="b">
        <v>0</v>
      </c>
      <c r="E570" s="3">
        <v>2</v>
      </c>
      <c r="F570" s="3">
        <v>1</v>
      </c>
      <c r="G570" s="3">
        <v>0.24</v>
      </c>
      <c r="H570" t="str">
        <f t="shared" si="64"/>
        <v>Tue</v>
      </c>
      <c r="I570">
        <f t="shared" si="59"/>
        <v>0.2273</v>
      </c>
      <c r="J570">
        <f t="shared" si="60"/>
        <v>0.65</v>
      </c>
      <c r="K570">
        <f t="shared" si="61"/>
        <v>0.19400000000000001</v>
      </c>
      <c r="L570">
        <f t="shared" si="62"/>
        <v>5</v>
      </c>
      <c r="M570">
        <f t="shared" si="63"/>
        <v>40</v>
      </c>
      <c r="N570" t="str">
        <f t="shared" si="65"/>
        <v>Night shift</v>
      </c>
    </row>
    <row r="571" spans="1:14" x14ac:dyDescent="0.3">
      <c r="A571" s="3">
        <v>570</v>
      </c>
      <c r="B571" s="4">
        <v>40568</v>
      </c>
      <c r="C571" s="3">
        <v>22</v>
      </c>
      <c r="D571" s="3" t="b">
        <v>0</v>
      </c>
      <c r="E571" s="3">
        <v>2</v>
      </c>
      <c r="F571" s="3">
        <v>1</v>
      </c>
      <c r="G571" s="3">
        <v>0.22</v>
      </c>
      <c r="H571" t="str">
        <f t="shared" si="64"/>
        <v>Tue</v>
      </c>
      <c r="I571">
        <f t="shared" si="59"/>
        <v>0.2273</v>
      </c>
      <c r="J571">
        <f t="shared" si="60"/>
        <v>0.64</v>
      </c>
      <c r="K571">
        <f t="shared" si="61"/>
        <v>0.16420000000000001</v>
      </c>
      <c r="L571">
        <f t="shared" si="62"/>
        <v>4</v>
      </c>
      <c r="M571">
        <f t="shared" si="63"/>
        <v>49</v>
      </c>
      <c r="N571" t="str">
        <f t="shared" si="65"/>
        <v>Night shift</v>
      </c>
    </row>
    <row r="572" spans="1:14" x14ac:dyDescent="0.3">
      <c r="A572" s="3">
        <v>571</v>
      </c>
      <c r="B572" s="4">
        <v>40568</v>
      </c>
      <c r="C572" s="3">
        <v>23</v>
      </c>
      <c r="D572" s="3" t="b">
        <v>0</v>
      </c>
      <c r="E572" s="3">
        <v>2</v>
      </c>
      <c r="F572" s="3">
        <v>2</v>
      </c>
      <c r="G572" s="3">
        <v>0.22</v>
      </c>
      <c r="H572" t="str">
        <f t="shared" si="64"/>
        <v>Tue</v>
      </c>
      <c r="I572">
        <f t="shared" si="59"/>
        <v>0.2273</v>
      </c>
      <c r="J572">
        <f t="shared" si="60"/>
        <v>0.64</v>
      </c>
      <c r="K572">
        <f t="shared" si="61"/>
        <v>0.16420000000000001</v>
      </c>
      <c r="L572">
        <f t="shared" si="62"/>
        <v>3</v>
      </c>
      <c r="M572">
        <f t="shared" si="63"/>
        <v>37</v>
      </c>
      <c r="N572" t="str">
        <f t="shared" si="65"/>
        <v>Night shift</v>
      </c>
    </row>
    <row r="573" spans="1:14" x14ac:dyDescent="0.3">
      <c r="A573" s="3">
        <v>572</v>
      </c>
      <c r="B573" s="4">
        <v>40569</v>
      </c>
      <c r="C573" s="3">
        <v>0</v>
      </c>
      <c r="D573" s="3" t="b">
        <v>0</v>
      </c>
      <c r="E573" s="3">
        <v>3</v>
      </c>
      <c r="F573" s="3">
        <v>2</v>
      </c>
      <c r="G573" s="3">
        <v>0.22</v>
      </c>
      <c r="H573" t="str">
        <f t="shared" si="64"/>
        <v>Wed</v>
      </c>
      <c r="I573">
        <f t="shared" si="59"/>
        <v>0.2273</v>
      </c>
      <c r="J573">
        <f t="shared" si="60"/>
        <v>0.69</v>
      </c>
      <c r="K573">
        <f t="shared" si="61"/>
        <v>0.1343</v>
      </c>
      <c r="L573">
        <f t="shared" si="62"/>
        <v>3</v>
      </c>
      <c r="M573">
        <f t="shared" si="63"/>
        <v>14</v>
      </c>
      <c r="N573" t="str">
        <f t="shared" si="65"/>
        <v>Night shift</v>
      </c>
    </row>
    <row r="574" spans="1:14" x14ac:dyDescent="0.3">
      <c r="A574" s="3">
        <v>573</v>
      </c>
      <c r="B574" s="4">
        <v>40569</v>
      </c>
      <c r="C574" s="3">
        <v>1</v>
      </c>
      <c r="D574" s="3" t="b">
        <v>0</v>
      </c>
      <c r="E574" s="3">
        <v>3</v>
      </c>
      <c r="F574" s="3">
        <v>2</v>
      </c>
      <c r="G574" s="3">
        <v>0.24</v>
      </c>
      <c r="H574" t="str">
        <f t="shared" si="64"/>
        <v>Wed</v>
      </c>
      <c r="I574">
        <f t="shared" si="59"/>
        <v>0.2424</v>
      </c>
      <c r="J574">
        <f t="shared" si="60"/>
        <v>0.65</v>
      </c>
      <c r="K574">
        <f t="shared" si="61"/>
        <v>0.1343</v>
      </c>
      <c r="L574">
        <f t="shared" si="62"/>
        <v>0</v>
      </c>
      <c r="M574">
        <f t="shared" si="63"/>
        <v>5</v>
      </c>
      <c r="N574" t="str">
        <f t="shared" si="65"/>
        <v>Night shift</v>
      </c>
    </row>
    <row r="575" spans="1:14" x14ac:dyDescent="0.3">
      <c r="A575" s="3">
        <v>574</v>
      </c>
      <c r="B575" s="4">
        <v>40569</v>
      </c>
      <c r="C575" s="3">
        <v>2</v>
      </c>
      <c r="D575" s="3" t="b">
        <v>0</v>
      </c>
      <c r="E575" s="3">
        <v>3</v>
      </c>
      <c r="F575" s="3">
        <v>3</v>
      </c>
      <c r="G575" s="3">
        <v>0.22</v>
      </c>
      <c r="H575" t="str">
        <f t="shared" si="64"/>
        <v>Wed</v>
      </c>
      <c r="I575">
        <f t="shared" si="59"/>
        <v>0.2273</v>
      </c>
      <c r="J575">
        <f t="shared" si="60"/>
        <v>0.69</v>
      </c>
      <c r="K575">
        <f t="shared" si="61"/>
        <v>0.19400000000000001</v>
      </c>
      <c r="L575">
        <f t="shared" si="62"/>
        <v>3</v>
      </c>
      <c r="M575">
        <f t="shared" si="63"/>
        <v>7</v>
      </c>
      <c r="N575" t="str">
        <f t="shared" si="65"/>
        <v>Night shift</v>
      </c>
    </row>
    <row r="576" spans="1:14" x14ac:dyDescent="0.3">
      <c r="A576" s="3">
        <v>575</v>
      </c>
      <c r="B576" s="4">
        <v>40569</v>
      </c>
      <c r="C576" s="3">
        <v>5</v>
      </c>
      <c r="D576" s="3" t="b">
        <v>0</v>
      </c>
      <c r="E576" s="3">
        <v>3</v>
      </c>
      <c r="F576" s="3">
        <v>3</v>
      </c>
      <c r="G576" s="3">
        <v>0.2</v>
      </c>
      <c r="H576" t="str">
        <f t="shared" si="64"/>
        <v>Wed</v>
      </c>
      <c r="I576">
        <f t="shared" si="59"/>
        <v>0.18179999999999999</v>
      </c>
      <c r="J576">
        <f t="shared" si="60"/>
        <v>0.86</v>
      </c>
      <c r="K576">
        <f t="shared" si="61"/>
        <v>0.28360000000000002</v>
      </c>
      <c r="L576">
        <f t="shared" si="62"/>
        <v>0</v>
      </c>
      <c r="M576">
        <f t="shared" si="63"/>
        <v>1</v>
      </c>
      <c r="N576" t="str">
        <f t="shared" si="65"/>
        <v>Night shift</v>
      </c>
    </row>
    <row r="577" spans="1:14" x14ac:dyDescent="0.3">
      <c r="A577" s="3">
        <v>576</v>
      </c>
      <c r="B577" s="4">
        <v>40569</v>
      </c>
      <c r="C577" s="3">
        <v>6</v>
      </c>
      <c r="D577" s="3" t="b">
        <v>0</v>
      </c>
      <c r="E577" s="3">
        <v>3</v>
      </c>
      <c r="F577" s="3">
        <v>3</v>
      </c>
      <c r="G577" s="3">
        <v>0.2</v>
      </c>
      <c r="H577" t="str">
        <f t="shared" si="64"/>
        <v>Wed</v>
      </c>
      <c r="I577">
        <f t="shared" si="59"/>
        <v>0.18179999999999999</v>
      </c>
      <c r="J577">
        <f t="shared" si="60"/>
        <v>0.86</v>
      </c>
      <c r="K577">
        <f t="shared" si="61"/>
        <v>0.28360000000000002</v>
      </c>
      <c r="L577">
        <f t="shared" si="62"/>
        <v>0</v>
      </c>
      <c r="M577">
        <f t="shared" si="63"/>
        <v>8</v>
      </c>
      <c r="N577" t="str">
        <f t="shared" si="65"/>
        <v>Day Shift</v>
      </c>
    </row>
    <row r="578" spans="1:14" x14ac:dyDescent="0.3">
      <c r="A578" s="3">
        <v>577</v>
      </c>
      <c r="B578" s="4">
        <v>40569</v>
      </c>
      <c r="C578" s="3">
        <v>7</v>
      </c>
      <c r="D578" s="3" t="b">
        <v>0</v>
      </c>
      <c r="E578" s="3">
        <v>3</v>
      </c>
      <c r="F578" s="3">
        <v>3</v>
      </c>
      <c r="G578" s="3">
        <v>0.22</v>
      </c>
      <c r="H578" t="str">
        <f t="shared" si="64"/>
        <v>Wed</v>
      </c>
      <c r="I578">
        <f t="shared" ref="I578:I611" si="66">VLOOKUP($A578,instantc,3,FALSE)</f>
        <v>0.21210000000000001</v>
      </c>
      <c r="J578">
        <f t="shared" ref="J578:J611" si="67">VLOOKUP($A578,instantc,4,FALSE)</f>
        <v>0.87</v>
      </c>
      <c r="K578">
        <f t="shared" ref="K578:K611" si="68">VLOOKUP($A578,instantc,5,FALSE)</f>
        <v>0.29849999999999999</v>
      </c>
      <c r="L578">
        <f t="shared" ref="L578:L611" si="69">VLOOKUP($A578,instantc,6,FALSE)</f>
        <v>1</v>
      </c>
      <c r="M578">
        <f t="shared" ref="M578:M611" si="70">VLOOKUP($A578,instantc,7,FALSE)</f>
        <v>29</v>
      </c>
      <c r="N578" t="str">
        <f t="shared" si="65"/>
        <v>Day Shift</v>
      </c>
    </row>
    <row r="579" spans="1:14" x14ac:dyDescent="0.3">
      <c r="A579" s="3">
        <v>578</v>
      </c>
      <c r="B579" s="4">
        <v>40569</v>
      </c>
      <c r="C579" s="3">
        <v>8</v>
      </c>
      <c r="D579" s="3" t="b">
        <v>0</v>
      </c>
      <c r="E579" s="3">
        <v>3</v>
      </c>
      <c r="F579" s="3">
        <v>3</v>
      </c>
      <c r="G579" s="3">
        <v>0.22</v>
      </c>
      <c r="H579" t="str">
        <f t="shared" ref="H579:H611" si="71">TEXT(B579,"ddd")</f>
        <v>Wed</v>
      </c>
      <c r="I579">
        <f t="shared" si="66"/>
        <v>0.21210000000000001</v>
      </c>
      <c r="J579">
        <f t="shared" si="67"/>
        <v>0.87</v>
      </c>
      <c r="K579">
        <f t="shared" si="68"/>
        <v>0.29849999999999999</v>
      </c>
      <c r="L579">
        <f t="shared" si="69"/>
        <v>3</v>
      </c>
      <c r="M579">
        <f t="shared" si="70"/>
        <v>69</v>
      </c>
      <c r="N579" t="str">
        <f t="shared" ref="N579:N611" si="72">IF(AND(C579&gt;=6,C579&lt;=18),"Day Shift","Night shift")</f>
        <v>Day Shift</v>
      </c>
    </row>
    <row r="580" spans="1:14" x14ac:dyDescent="0.3">
      <c r="A580" s="3">
        <v>579</v>
      </c>
      <c r="B580" s="4">
        <v>40569</v>
      </c>
      <c r="C580" s="3">
        <v>9</v>
      </c>
      <c r="D580" s="3" t="b">
        <v>0</v>
      </c>
      <c r="E580" s="3">
        <v>3</v>
      </c>
      <c r="F580" s="3">
        <v>3</v>
      </c>
      <c r="G580" s="3">
        <v>0.22</v>
      </c>
      <c r="H580" t="str">
        <f t="shared" si="71"/>
        <v>Wed</v>
      </c>
      <c r="I580">
        <f t="shared" si="66"/>
        <v>0.21210000000000001</v>
      </c>
      <c r="J580">
        <f t="shared" si="67"/>
        <v>0.87</v>
      </c>
      <c r="K580">
        <f t="shared" si="68"/>
        <v>0.29849999999999999</v>
      </c>
      <c r="L580">
        <f t="shared" si="69"/>
        <v>3</v>
      </c>
      <c r="M580">
        <f t="shared" si="70"/>
        <v>55</v>
      </c>
      <c r="N580" t="str">
        <f t="shared" si="72"/>
        <v>Day Shift</v>
      </c>
    </row>
    <row r="581" spans="1:14" x14ac:dyDescent="0.3">
      <c r="A581" s="3">
        <v>580</v>
      </c>
      <c r="B581" s="4">
        <v>40569</v>
      </c>
      <c r="C581" s="3">
        <v>10</v>
      </c>
      <c r="D581" s="3" t="b">
        <v>0</v>
      </c>
      <c r="E581" s="3">
        <v>3</v>
      </c>
      <c r="F581" s="3">
        <v>3</v>
      </c>
      <c r="G581" s="3">
        <v>0.22</v>
      </c>
      <c r="H581" t="str">
        <f t="shared" si="71"/>
        <v>Wed</v>
      </c>
      <c r="I581">
        <f t="shared" si="66"/>
        <v>0.21210000000000001</v>
      </c>
      <c r="J581">
        <f t="shared" si="67"/>
        <v>0.93</v>
      </c>
      <c r="K581">
        <f t="shared" si="68"/>
        <v>0.28360000000000002</v>
      </c>
      <c r="L581">
        <f t="shared" si="69"/>
        <v>2</v>
      </c>
      <c r="M581">
        <f t="shared" si="70"/>
        <v>26</v>
      </c>
      <c r="N581" t="str">
        <f t="shared" si="72"/>
        <v>Day Shift</v>
      </c>
    </row>
    <row r="582" spans="1:14" x14ac:dyDescent="0.3">
      <c r="A582" s="3">
        <v>581</v>
      </c>
      <c r="B582" s="4">
        <v>40569</v>
      </c>
      <c r="C582" s="3">
        <v>11</v>
      </c>
      <c r="D582" s="3" t="b">
        <v>0</v>
      </c>
      <c r="E582" s="3">
        <v>3</v>
      </c>
      <c r="F582" s="3">
        <v>3</v>
      </c>
      <c r="G582" s="3">
        <v>0.22</v>
      </c>
      <c r="H582" t="str">
        <f t="shared" si="71"/>
        <v>Wed</v>
      </c>
      <c r="I582">
        <f t="shared" si="66"/>
        <v>0.19700000000000001</v>
      </c>
      <c r="J582">
        <f t="shared" si="67"/>
        <v>0.93</v>
      </c>
      <c r="K582">
        <f t="shared" si="68"/>
        <v>0.32840000000000003</v>
      </c>
      <c r="L582">
        <f t="shared" si="69"/>
        <v>6</v>
      </c>
      <c r="M582">
        <f t="shared" si="70"/>
        <v>35</v>
      </c>
      <c r="N582" t="str">
        <f t="shared" si="72"/>
        <v>Day Shift</v>
      </c>
    </row>
    <row r="583" spans="1:14" x14ac:dyDescent="0.3">
      <c r="A583" s="3">
        <v>582</v>
      </c>
      <c r="B583" s="4">
        <v>40569</v>
      </c>
      <c r="C583" s="3">
        <v>12</v>
      </c>
      <c r="D583" s="3" t="b">
        <v>0</v>
      </c>
      <c r="E583" s="3">
        <v>3</v>
      </c>
      <c r="F583" s="3">
        <v>3</v>
      </c>
      <c r="G583" s="3">
        <v>0.22</v>
      </c>
      <c r="H583" t="str">
        <f t="shared" si="71"/>
        <v>Wed</v>
      </c>
      <c r="I583">
        <f t="shared" si="66"/>
        <v>0.19700000000000001</v>
      </c>
      <c r="J583">
        <f t="shared" si="67"/>
        <v>0.93</v>
      </c>
      <c r="K583">
        <f t="shared" si="68"/>
        <v>0.32840000000000003</v>
      </c>
      <c r="L583">
        <f t="shared" si="69"/>
        <v>7</v>
      </c>
      <c r="M583">
        <f t="shared" si="70"/>
        <v>41</v>
      </c>
      <c r="N583" t="str">
        <f t="shared" si="72"/>
        <v>Day Shift</v>
      </c>
    </row>
    <row r="584" spans="1:14" x14ac:dyDescent="0.3">
      <c r="A584" s="3">
        <v>583</v>
      </c>
      <c r="B584" s="4">
        <v>40569</v>
      </c>
      <c r="C584" s="3">
        <v>13</v>
      </c>
      <c r="D584" s="3" t="b">
        <v>0</v>
      </c>
      <c r="E584" s="3">
        <v>3</v>
      </c>
      <c r="F584" s="3">
        <v>3</v>
      </c>
      <c r="G584" s="3">
        <v>0.22</v>
      </c>
      <c r="H584" t="str">
        <f t="shared" si="71"/>
        <v>Wed</v>
      </c>
      <c r="I584">
        <f t="shared" si="66"/>
        <v>0.19700000000000001</v>
      </c>
      <c r="J584">
        <f t="shared" si="67"/>
        <v>0.93</v>
      </c>
      <c r="K584">
        <f t="shared" si="68"/>
        <v>0.32840000000000003</v>
      </c>
      <c r="L584">
        <f t="shared" si="69"/>
        <v>4</v>
      </c>
      <c r="M584">
        <f t="shared" si="70"/>
        <v>43</v>
      </c>
      <c r="N584" t="str">
        <f t="shared" si="72"/>
        <v>Day Shift</v>
      </c>
    </row>
    <row r="585" spans="1:14" x14ac:dyDescent="0.3">
      <c r="A585" s="3">
        <v>584</v>
      </c>
      <c r="B585" s="4">
        <v>40569</v>
      </c>
      <c r="C585" s="3">
        <v>14</v>
      </c>
      <c r="D585" s="3" t="b">
        <v>0</v>
      </c>
      <c r="E585" s="3">
        <v>3</v>
      </c>
      <c r="F585" s="3">
        <v>3</v>
      </c>
      <c r="G585" s="3">
        <v>0.22</v>
      </c>
      <c r="H585" t="str">
        <f t="shared" si="71"/>
        <v>Wed</v>
      </c>
      <c r="I585">
        <f t="shared" si="66"/>
        <v>0.19700000000000001</v>
      </c>
      <c r="J585">
        <f t="shared" si="67"/>
        <v>0.93</v>
      </c>
      <c r="K585">
        <f t="shared" si="68"/>
        <v>0.35820000000000002</v>
      </c>
      <c r="L585">
        <f t="shared" si="69"/>
        <v>0</v>
      </c>
      <c r="M585">
        <f t="shared" si="70"/>
        <v>36</v>
      </c>
      <c r="N585" t="str">
        <f t="shared" si="72"/>
        <v>Day Shift</v>
      </c>
    </row>
    <row r="586" spans="1:14" x14ac:dyDescent="0.3">
      <c r="A586" s="3">
        <v>585</v>
      </c>
      <c r="B586" s="4">
        <v>40569</v>
      </c>
      <c r="C586" s="3">
        <v>15</v>
      </c>
      <c r="D586" s="3" t="b">
        <v>0</v>
      </c>
      <c r="E586" s="3">
        <v>3</v>
      </c>
      <c r="F586" s="3">
        <v>3</v>
      </c>
      <c r="G586" s="3">
        <v>0.22</v>
      </c>
      <c r="H586" t="str">
        <f t="shared" si="71"/>
        <v>Wed</v>
      </c>
      <c r="I586">
        <f t="shared" si="66"/>
        <v>0.18179999999999999</v>
      </c>
      <c r="J586">
        <f t="shared" si="67"/>
        <v>0.93</v>
      </c>
      <c r="K586">
        <f t="shared" si="68"/>
        <v>0.4627</v>
      </c>
      <c r="L586">
        <f t="shared" si="69"/>
        <v>1</v>
      </c>
      <c r="M586">
        <f t="shared" si="70"/>
        <v>42</v>
      </c>
      <c r="N586" t="str">
        <f t="shared" si="72"/>
        <v>Day Shift</v>
      </c>
    </row>
    <row r="587" spans="1:14" x14ac:dyDescent="0.3">
      <c r="A587" s="3">
        <v>586</v>
      </c>
      <c r="B587" s="4">
        <v>40569</v>
      </c>
      <c r="C587" s="3">
        <v>16</v>
      </c>
      <c r="D587" s="3" t="b">
        <v>0</v>
      </c>
      <c r="E587" s="3">
        <v>3</v>
      </c>
      <c r="F587" s="3">
        <v>4</v>
      </c>
      <c r="G587" s="3">
        <v>0.22</v>
      </c>
      <c r="H587" t="str">
        <f t="shared" si="71"/>
        <v>Wed</v>
      </c>
      <c r="I587">
        <f t="shared" si="66"/>
        <v>0.19700000000000001</v>
      </c>
      <c r="J587">
        <f t="shared" si="67"/>
        <v>0.93</v>
      </c>
      <c r="K587">
        <f t="shared" si="68"/>
        <v>0.32840000000000003</v>
      </c>
      <c r="L587">
        <f t="shared" si="69"/>
        <v>1</v>
      </c>
      <c r="M587">
        <f t="shared" si="70"/>
        <v>35</v>
      </c>
      <c r="N587" t="str">
        <f t="shared" si="72"/>
        <v>Day Shift</v>
      </c>
    </row>
    <row r="588" spans="1:14" x14ac:dyDescent="0.3">
      <c r="A588" s="3">
        <v>587</v>
      </c>
      <c r="B588" s="4">
        <v>40569</v>
      </c>
      <c r="C588" s="3">
        <v>17</v>
      </c>
      <c r="D588" s="3" t="b">
        <v>0</v>
      </c>
      <c r="E588" s="3">
        <v>3</v>
      </c>
      <c r="F588" s="3">
        <v>3</v>
      </c>
      <c r="G588" s="3">
        <v>0.2</v>
      </c>
      <c r="H588" t="str">
        <f t="shared" si="71"/>
        <v>Wed</v>
      </c>
      <c r="I588">
        <f t="shared" si="66"/>
        <v>0.18179999999999999</v>
      </c>
      <c r="J588">
        <f t="shared" si="67"/>
        <v>0.93</v>
      </c>
      <c r="K588">
        <f t="shared" si="68"/>
        <v>0.35820000000000002</v>
      </c>
      <c r="L588">
        <f t="shared" si="69"/>
        <v>0</v>
      </c>
      <c r="M588">
        <f t="shared" si="70"/>
        <v>26</v>
      </c>
      <c r="N588" t="str">
        <f t="shared" si="72"/>
        <v>Day Shift</v>
      </c>
    </row>
    <row r="589" spans="1:14" x14ac:dyDescent="0.3">
      <c r="A589" s="3">
        <v>588</v>
      </c>
      <c r="B589" s="4">
        <v>40570</v>
      </c>
      <c r="C589" s="3">
        <v>16</v>
      </c>
      <c r="D589" s="3" t="b">
        <v>0</v>
      </c>
      <c r="E589" s="3">
        <v>4</v>
      </c>
      <c r="F589" s="3">
        <v>1</v>
      </c>
      <c r="G589" s="3">
        <v>0.22</v>
      </c>
      <c r="H589" t="str">
        <f t="shared" si="71"/>
        <v>Thu</v>
      </c>
      <c r="I589">
        <f t="shared" si="66"/>
        <v>0.2273</v>
      </c>
      <c r="J589">
        <f t="shared" si="67"/>
        <v>0.55000000000000004</v>
      </c>
      <c r="K589">
        <f t="shared" si="68"/>
        <v>0.19400000000000001</v>
      </c>
      <c r="L589">
        <f t="shared" si="69"/>
        <v>1</v>
      </c>
      <c r="M589">
        <f t="shared" si="70"/>
        <v>23</v>
      </c>
      <c r="N589" t="str">
        <f t="shared" si="72"/>
        <v>Day Shift</v>
      </c>
    </row>
    <row r="590" spans="1:14" x14ac:dyDescent="0.3">
      <c r="A590" s="3">
        <v>589</v>
      </c>
      <c r="B590" s="4">
        <v>40570</v>
      </c>
      <c r="C590" s="3">
        <v>17</v>
      </c>
      <c r="D590" s="3" t="b">
        <v>0</v>
      </c>
      <c r="E590" s="3">
        <v>4</v>
      </c>
      <c r="F590" s="3">
        <v>1</v>
      </c>
      <c r="G590" s="3">
        <v>0.22</v>
      </c>
      <c r="H590" t="str">
        <f t="shared" si="71"/>
        <v>Thu</v>
      </c>
      <c r="I590">
        <f t="shared" si="66"/>
        <v>0.2424</v>
      </c>
      <c r="J590">
        <f t="shared" si="67"/>
        <v>0.55000000000000004</v>
      </c>
      <c r="K590">
        <f t="shared" si="68"/>
        <v>0.1045</v>
      </c>
      <c r="L590">
        <f t="shared" si="69"/>
        <v>2</v>
      </c>
      <c r="M590">
        <f t="shared" si="70"/>
        <v>82</v>
      </c>
      <c r="N590" t="str">
        <f t="shared" si="72"/>
        <v>Day Shift</v>
      </c>
    </row>
    <row r="591" spans="1:14" x14ac:dyDescent="0.3">
      <c r="A591" s="3">
        <v>590</v>
      </c>
      <c r="B591" s="4">
        <v>40570</v>
      </c>
      <c r="C591" s="3">
        <v>18</v>
      </c>
      <c r="D591" s="3" t="b">
        <v>0</v>
      </c>
      <c r="E591" s="3">
        <v>4</v>
      </c>
      <c r="F591" s="3">
        <v>1</v>
      </c>
      <c r="G591" s="3">
        <v>0.2</v>
      </c>
      <c r="H591" t="str">
        <f t="shared" si="71"/>
        <v>Thu</v>
      </c>
      <c r="I591">
        <f t="shared" si="66"/>
        <v>0.2273</v>
      </c>
      <c r="J591">
        <f t="shared" si="67"/>
        <v>0.69</v>
      </c>
      <c r="K591">
        <f t="shared" si="68"/>
        <v>8.9599999999999999E-2</v>
      </c>
      <c r="L591">
        <f t="shared" si="69"/>
        <v>3</v>
      </c>
      <c r="M591">
        <f t="shared" si="70"/>
        <v>101</v>
      </c>
      <c r="N591" t="str">
        <f t="shared" si="72"/>
        <v>Day Shift</v>
      </c>
    </row>
    <row r="592" spans="1:14" x14ac:dyDescent="0.3">
      <c r="A592" s="3">
        <v>591</v>
      </c>
      <c r="B592" s="4">
        <v>40570</v>
      </c>
      <c r="C592" s="3">
        <v>19</v>
      </c>
      <c r="D592" s="3" t="b">
        <v>0</v>
      </c>
      <c r="E592" s="3">
        <v>4</v>
      </c>
      <c r="F592" s="3">
        <v>1</v>
      </c>
      <c r="G592" s="3">
        <v>0.2</v>
      </c>
      <c r="H592" t="str">
        <f t="shared" si="71"/>
        <v>Thu</v>
      </c>
      <c r="I592">
        <f t="shared" si="66"/>
        <v>0.2273</v>
      </c>
      <c r="J592">
        <f t="shared" si="67"/>
        <v>0.69</v>
      </c>
      <c r="K592">
        <f t="shared" si="68"/>
        <v>8.9599999999999999E-2</v>
      </c>
      <c r="L592">
        <f t="shared" si="69"/>
        <v>3</v>
      </c>
      <c r="M592">
        <f t="shared" si="70"/>
        <v>76</v>
      </c>
      <c r="N592" t="str">
        <f t="shared" si="72"/>
        <v>Night shift</v>
      </c>
    </row>
    <row r="593" spans="1:14" x14ac:dyDescent="0.3">
      <c r="A593" s="3">
        <v>592</v>
      </c>
      <c r="B593" s="4">
        <v>40570</v>
      </c>
      <c r="C593" s="3">
        <v>20</v>
      </c>
      <c r="D593" s="3" t="b">
        <v>0</v>
      </c>
      <c r="E593" s="3">
        <v>4</v>
      </c>
      <c r="F593" s="3">
        <v>1</v>
      </c>
      <c r="G593" s="3">
        <v>0.18</v>
      </c>
      <c r="H593" t="str">
        <f t="shared" si="71"/>
        <v>Thu</v>
      </c>
      <c r="I593">
        <f t="shared" si="66"/>
        <v>0.21210000000000001</v>
      </c>
      <c r="J593">
        <f t="shared" si="67"/>
        <v>0.74</v>
      </c>
      <c r="K593">
        <f t="shared" si="68"/>
        <v>8.9599999999999999E-2</v>
      </c>
      <c r="L593">
        <f t="shared" si="69"/>
        <v>4</v>
      </c>
      <c r="M593">
        <f t="shared" si="70"/>
        <v>55</v>
      </c>
      <c r="N593" t="str">
        <f t="shared" si="72"/>
        <v>Night shift</v>
      </c>
    </row>
    <row r="594" spans="1:14" x14ac:dyDescent="0.3">
      <c r="A594" s="3">
        <v>593</v>
      </c>
      <c r="B594" s="4">
        <v>40570</v>
      </c>
      <c r="C594" s="3">
        <v>21</v>
      </c>
      <c r="D594" s="3" t="b">
        <v>0</v>
      </c>
      <c r="E594" s="3">
        <v>4</v>
      </c>
      <c r="F594" s="3">
        <v>1</v>
      </c>
      <c r="G594" s="3">
        <v>0.18</v>
      </c>
      <c r="H594" t="str">
        <f t="shared" si="71"/>
        <v>Thu</v>
      </c>
      <c r="I594">
        <f t="shared" si="66"/>
        <v>0.21210000000000001</v>
      </c>
      <c r="J594">
        <f t="shared" si="67"/>
        <v>0.74</v>
      </c>
      <c r="K594">
        <f t="shared" si="68"/>
        <v>8.9599999999999999E-2</v>
      </c>
      <c r="L594">
        <f t="shared" si="69"/>
        <v>2</v>
      </c>
      <c r="M594">
        <f t="shared" si="70"/>
        <v>36</v>
      </c>
      <c r="N594" t="str">
        <f t="shared" si="72"/>
        <v>Night shift</v>
      </c>
    </row>
    <row r="595" spans="1:14" x14ac:dyDescent="0.3">
      <c r="A595" s="3">
        <v>594</v>
      </c>
      <c r="B595" s="4">
        <v>40570</v>
      </c>
      <c r="C595" s="3">
        <v>22</v>
      </c>
      <c r="D595" s="3" t="b">
        <v>0</v>
      </c>
      <c r="E595" s="3">
        <v>4</v>
      </c>
      <c r="F595" s="3">
        <v>1</v>
      </c>
      <c r="G595" s="3">
        <v>0.18</v>
      </c>
      <c r="H595" t="str">
        <f t="shared" si="71"/>
        <v>Thu</v>
      </c>
      <c r="I595">
        <f t="shared" si="66"/>
        <v>0.21210000000000001</v>
      </c>
      <c r="J595">
        <f t="shared" si="67"/>
        <v>0.74</v>
      </c>
      <c r="K595">
        <f t="shared" si="68"/>
        <v>8.9599999999999999E-2</v>
      </c>
      <c r="L595">
        <f t="shared" si="69"/>
        <v>0</v>
      </c>
      <c r="M595">
        <f t="shared" si="70"/>
        <v>27</v>
      </c>
      <c r="N595" t="str">
        <f t="shared" si="72"/>
        <v>Night shift</v>
      </c>
    </row>
    <row r="596" spans="1:14" x14ac:dyDescent="0.3">
      <c r="A596" s="3">
        <v>595</v>
      </c>
      <c r="B596" s="4">
        <v>40570</v>
      </c>
      <c r="C596" s="3">
        <v>23</v>
      </c>
      <c r="D596" s="3" t="b">
        <v>0</v>
      </c>
      <c r="E596" s="3">
        <v>4</v>
      </c>
      <c r="F596" s="3">
        <v>1</v>
      </c>
      <c r="G596" s="3">
        <v>0.18</v>
      </c>
      <c r="H596" t="str">
        <f t="shared" si="71"/>
        <v>Thu</v>
      </c>
      <c r="I596">
        <f t="shared" si="66"/>
        <v>0.19700000000000001</v>
      </c>
      <c r="J596">
        <f t="shared" si="67"/>
        <v>0.8</v>
      </c>
      <c r="K596">
        <f t="shared" si="68"/>
        <v>0.16420000000000001</v>
      </c>
      <c r="L596">
        <f t="shared" si="69"/>
        <v>0</v>
      </c>
      <c r="M596">
        <f t="shared" si="70"/>
        <v>16</v>
      </c>
      <c r="N596" t="str">
        <f t="shared" si="72"/>
        <v>Night shift</v>
      </c>
    </row>
    <row r="597" spans="1:14" x14ac:dyDescent="0.3">
      <c r="A597" s="3">
        <v>596</v>
      </c>
      <c r="B597" s="4">
        <v>40571</v>
      </c>
      <c r="C597" s="3">
        <v>0</v>
      </c>
      <c r="D597" s="3" t="b">
        <v>0</v>
      </c>
      <c r="E597" s="3">
        <v>5</v>
      </c>
      <c r="F597" s="3">
        <v>2</v>
      </c>
      <c r="G597" s="3">
        <v>0.2</v>
      </c>
      <c r="H597" t="str">
        <f t="shared" si="71"/>
        <v>Fri</v>
      </c>
      <c r="I597">
        <f t="shared" si="66"/>
        <v>0.21210000000000001</v>
      </c>
      <c r="J597">
        <f t="shared" si="67"/>
        <v>0.75</v>
      </c>
      <c r="K597">
        <f t="shared" si="68"/>
        <v>0.1343</v>
      </c>
      <c r="L597">
        <f t="shared" si="69"/>
        <v>0</v>
      </c>
      <c r="M597">
        <f t="shared" si="70"/>
        <v>9</v>
      </c>
      <c r="N597" t="str">
        <f t="shared" si="72"/>
        <v>Night shift</v>
      </c>
    </row>
    <row r="598" spans="1:14" x14ac:dyDescent="0.3">
      <c r="A598" s="3">
        <v>597</v>
      </c>
      <c r="B598" s="4">
        <v>40571</v>
      </c>
      <c r="C598" s="3">
        <v>1</v>
      </c>
      <c r="D598" s="3" t="b">
        <v>0</v>
      </c>
      <c r="E598" s="3">
        <v>5</v>
      </c>
      <c r="F598" s="3">
        <v>2</v>
      </c>
      <c r="G598" s="3">
        <v>0.2</v>
      </c>
      <c r="H598" t="str">
        <f t="shared" si="71"/>
        <v>Fri</v>
      </c>
      <c r="I598">
        <f t="shared" si="66"/>
        <v>0.21210000000000001</v>
      </c>
      <c r="J598">
        <f t="shared" si="67"/>
        <v>0.75</v>
      </c>
      <c r="K598">
        <f t="shared" si="68"/>
        <v>0.1343</v>
      </c>
      <c r="L598">
        <f t="shared" si="69"/>
        <v>1</v>
      </c>
      <c r="M598">
        <f t="shared" si="70"/>
        <v>2</v>
      </c>
      <c r="N598" t="str">
        <f t="shared" si="72"/>
        <v>Night shift</v>
      </c>
    </row>
    <row r="599" spans="1:14" x14ac:dyDescent="0.3">
      <c r="A599" s="3">
        <v>598</v>
      </c>
      <c r="B599" s="4">
        <v>40571</v>
      </c>
      <c r="C599" s="3">
        <v>2</v>
      </c>
      <c r="D599" s="3" t="b">
        <v>0</v>
      </c>
      <c r="E599" s="3">
        <v>5</v>
      </c>
      <c r="F599" s="3">
        <v>2</v>
      </c>
      <c r="G599" s="3">
        <v>0.2</v>
      </c>
      <c r="H599" t="str">
        <f t="shared" si="71"/>
        <v>Fri</v>
      </c>
      <c r="I599">
        <f t="shared" si="66"/>
        <v>0.21210000000000001</v>
      </c>
      <c r="J599">
        <f t="shared" si="67"/>
        <v>0.75</v>
      </c>
      <c r="K599">
        <f t="shared" si="68"/>
        <v>0.16420000000000001</v>
      </c>
      <c r="L599">
        <f t="shared" si="69"/>
        <v>0</v>
      </c>
      <c r="M599">
        <f t="shared" si="70"/>
        <v>2</v>
      </c>
      <c r="N599" t="str">
        <f t="shared" si="72"/>
        <v>Night shift</v>
      </c>
    </row>
    <row r="600" spans="1:14" x14ac:dyDescent="0.3">
      <c r="A600" s="3">
        <v>599</v>
      </c>
      <c r="B600" s="4">
        <v>40571</v>
      </c>
      <c r="C600" s="3">
        <v>3</v>
      </c>
      <c r="D600" s="3" t="b">
        <v>0</v>
      </c>
      <c r="E600" s="3">
        <v>5</v>
      </c>
      <c r="F600" s="3">
        <v>2</v>
      </c>
      <c r="G600" s="3">
        <v>0.2</v>
      </c>
      <c r="H600" t="str">
        <f t="shared" si="71"/>
        <v>Fri</v>
      </c>
      <c r="I600">
        <f t="shared" si="66"/>
        <v>0.2273</v>
      </c>
      <c r="J600">
        <f t="shared" si="67"/>
        <v>0.75</v>
      </c>
      <c r="K600">
        <f t="shared" si="68"/>
        <v>0.1045</v>
      </c>
      <c r="L600">
        <f t="shared" si="69"/>
        <v>1</v>
      </c>
      <c r="M600">
        <f t="shared" si="70"/>
        <v>0</v>
      </c>
      <c r="N600" t="str">
        <f t="shared" si="72"/>
        <v>Night shift</v>
      </c>
    </row>
    <row r="601" spans="1:14" x14ac:dyDescent="0.3">
      <c r="A601" s="3">
        <v>600</v>
      </c>
      <c r="B601" s="4">
        <v>40571</v>
      </c>
      <c r="C601" s="3">
        <v>5</v>
      </c>
      <c r="D601" s="3" t="b">
        <v>0</v>
      </c>
      <c r="E601" s="3">
        <v>5</v>
      </c>
      <c r="F601" s="3">
        <v>2</v>
      </c>
      <c r="G601" s="3">
        <v>0.18</v>
      </c>
      <c r="H601" t="str">
        <f t="shared" si="71"/>
        <v>Fri</v>
      </c>
      <c r="I601">
        <f t="shared" si="66"/>
        <v>0.21210000000000001</v>
      </c>
      <c r="J601">
        <f t="shared" si="67"/>
        <v>0.8</v>
      </c>
      <c r="K601">
        <f t="shared" si="68"/>
        <v>0.1045</v>
      </c>
      <c r="L601">
        <f t="shared" si="69"/>
        <v>0</v>
      </c>
      <c r="M601">
        <f t="shared" si="70"/>
        <v>4</v>
      </c>
      <c r="N601" t="str">
        <f t="shared" si="72"/>
        <v>Night shift</v>
      </c>
    </row>
    <row r="602" spans="1:14" x14ac:dyDescent="0.3">
      <c r="A602" s="3">
        <v>601</v>
      </c>
      <c r="B602" s="4">
        <v>40571</v>
      </c>
      <c r="C602" s="3">
        <v>6</v>
      </c>
      <c r="D602" s="3" t="b">
        <v>0</v>
      </c>
      <c r="E602" s="3">
        <v>5</v>
      </c>
      <c r="F602" s="3">
        <v>2</v>
      </c>
      <c r="G602" s="3">
        <v>0.18</v>
      </c>
      <c r="H602" t="str">
        <f t="shared" si="71"/>
        <v>Fri</v>
      </c>
      <c r="I602">
        <f t="shared" si="66"/>
        <v>0.19700000000000001</v>
      </c>
      <c r="J602">
        <f t="shared" si="67"/>
        <v>0.8</v>
      </c>
      <c r="K602">
        <f t="shared" si="68"/>
        <v>0.1343</v>
      </c>
      <c r="L602">
        <f t="shared" si="69"/>
        <v>0</v>
      </c>
      <c r="M602">
        <f t="shared" si="70"/>
        <v>16</v>
      </c>
      <c r="N602" t="str">
        <f t="shared" si="72"/>
        <v>Day Shift</v>
      </c>
    </row>
    <row r="603" spans="1:14" x14ac:dyDescent="0.3">
      <c r="A603" s="3">
        <v>602</v>
      </c>
      <c r="B603" s="4">
        <v>40571</v>
      </c>
      <c r="C603" s="3">
        <v>7</v>
      </c>
      <c r="D603" s="3" t="b">
        <v>0</v>
      </c>
      <c r="E603" s="3">
        <v>5</v>
      </c>
      <c r="F603" s="3">
        <v>2</v>
      </c>
      <c r="G603" s="3">
        <v>0.16</v>
      </c>
      <c r="H603" t="str">
        <f t="shared" si="71"/>
        <v>Fri</v>
      </c>
      <c r="I603">
        <f t="shared" si="66"/>
        <v>0.19700000000000001</v>
      </c>
      <c r="J603">
        <f t="shared" si="67"/>
        <v>0.86</v>
      </c>
      <c r="K603">
        <f t="shared" si="68"/>
        <v>8.9599999999999999E-2</v>
      </c>
      <c r="L603">
        <f t="shared" si="69"/>
        <v>2</v>
      </c>
      <c r="M603">
        <f t="shared" si="70"/>
        <v>58</v>
      </c>
      <c r="N603" t="str">
        <f t="shared" si="72"/>
        <v>Day Shift</v>
      </c>
    </row>
    <row r="604" spans="1:14" x14ac:dyDescent="0.3">
      <c r="A604" s="3">
        <v>603</v>
      </c>
      <c r="B604" s="4">
        <v>40571</v>
      </c>
      <c r="C604" s="3">
        <v>8</v>
      </c>
      <c r="D604" s="3" t="b">
        <v>0</v>
      </c>
      <c r="E604" s="3">
        <v>5</v>
      </c>
      <c r="F604" s="3">
        <v>2</v>
      </c>
      <c r="G604" s="3">
        <v>0.16</v>
      </c>
      <c r="H604" t="str">
        <f t="shared" si="71"/>
        <v>Fri</v>
      </c>
      <c r="I604">
        <f t="shared" si="66"/>
        <v>0.19700000000000001</v>
      </c>
      <c r="J604">
        <f t="shared" si="67"/>
        <v>0.86</v>
      </c>
      <c r="K604">
        <f t="shared" si="68"/>
        <v>8.9599999999999999E-2</v>
      </c>
      <c r="L604">
        <f t="shared" si="69"/>
        <v>2</v>
      </c>
      <c r="M604">
        <f t="shared" si="70"/>
        <v>155</v>
      </c>
      <c r="N604" t="str">
        <f t="shared" si="72"/>
        <v>Day Shift</v>
      </c>
    </row>
    <row r="605" spans="1:14" x14ac:dyDescent="0.3">
      <c r="A605" s="3">
        <v>604</v>
      </c>
      <c r="B605" s="4">
        <v>40571</v>
      </c>
      <c r="C605" s="3">
        <v>9</v>
      </c>
      <c r="D605" s="3" t="b">
        <v>0</v>
      </c>
      <c r="E605" s="3">
        <v>5</v>
      </c>
      <c r="F605" s="3">
        <v>3</v>
      </c>
      <c r="G605" s="3">
        <v>0.18</v>
      </c>
      <c r="H605" t="str">
        <f t="shared" si="71"/>
        <v>Fri</v>
      </c>
      <c r="I605">
        <f t="shared" si="66"/>
        <v>0.21210000000000001</v>
      </c>
      <c r="J605">
        <f t="shared" si="67"/>
        <v>0.86</v>
      </c>
      <c r="K605">
        <f t="shared" si="68"/>
        <v>8.9599999999999999E-2</v>
      </c>
      <c r="L605">
        <f t="shared" si="69"/>
        <v>6</v>
      </c>
      <c r="M605">
        <f t="shared" si="70"/>
        <v>95</v>
      </c>
      <c r="N605" t="str">
        <f t="shared" si="72"/>
        <v>Day Shift</v>
      </c>
    </row>
    <row r="606" spans="1:14" x14ac:dyDescent="0.3">
      <c r="A606" s="3">
        <v>605</v>
      </c>
      <c r="B606" s="4">
        <v>40571</v>
      </c>
      <c r="C606" s="3">
        <v>10</v>
      </c>
      <c r="D606" s="3" t="b">
        <v>0</v>
      </c>
      <c r="E606" s="3">
        <v>5</v>
      </c>
      <c r="F606" s="3">
        <v>3</v>
      </c>
      <c r="G606" s="3">
        <v>0.18</v>
      </c>
      <c r="H606" t="str">
        <f t="shared" si="71"/>
        <v>Fri</v>
      </c>
      <c r="I606">
        <f t="shared" si="66"/>
        <v>0.21210000000000001</v>
      </c>
      <c r="J606">
        <f t="shared" si="67"/>
        <v>0.86</v>
      </c>
      <c r="K606">
        <f t="shared" si="68"/>
        <v>0.1045</v>
      </c>
      <c r="L606">
        <f t="shared" si="69"/>
        <v>0</v>
      </c>
      <c r="M606">
        <f t="shared" si="70"/>
        <v>49</v>
      </c>
      <c r="N606" t="str">
        <f t="shared" si="72"/>
        <v>Day Shift</v>
      </c>
    </row>
    <row r="607" spans="1:14" x14ac:dyDescent="0.3">
      <c r="A607" s="3">
        <v>606</v>
      </c>
      <c r="B607" s="4">
        <v>40571</v>
      </c>
      <c r="C607" s="3">
        <v>11</v>
      </c>
      <c r="D607" s="3" t="b">
        <v>0</v>
      </c>
      <c r="E607" s="3">
        <v>5</v>
      </c>
      <c r="F607" s="3">
        <v>3</v>
      </c>
      <c r="G607" s="3">
        <v>0.18</v>
      </c>
      <c r="H607" t="str">
        <f t="shared" si="71"/>
        <v>Fri</v>
      </c>
      <c r="I607">
        <f t="shared" si="66"/>
        <v>0.21210000000000001</v>
      </c>
      <c r="J607">
        <f t="shared" si="67"/>
        <v>0.93</v>
      </c>
      <c r="K607">
        <f t="shared" si="68"/>
        <v>0.1045</v>
      </c>
      <c r="L607">
        <f t="shared" si="69"/>
        <v>0</v>
      </c>
      <c r="M607">
        <f t="shared" si="70"/>
        <v>30</v>
      </c>
      <c r="N607" t="str">
        <f t="shared" si="72"/>
        <v>Day Shift</v>
      </c>
    </row>
    <row r="608" spans="1:14" x14ac:dyDescent="0.3">
      <c r="A608" s="3">
        <v>607</v>
      </c>
      <c r="B608" s="4">
        <v>40571</v>
      </c>
      <c r="C608" s="3">
        <v>12</v>
      </c>
      <c r="D608" s="3" t="b">
        <v>0</v>
      </c>
      <c r="E608" s="3">
        <v>5</v>
      </c>
      <c r="F608" s="3">
        <v>3</v>
      </c>
      <c r="G608" s="3">
        <v>0.18</v>
      </c>
      <c r="H608" t="str">
        <f t="shared" si="71"/>
        <v>Fri</v>
      </c>
      <c r="I608">
        <f t="shared" si="66"/>
        <v>0.21210000000000001</v>
      </c>
      <c r="J608">
        <f t="shared" si="67"/>
        <v>0.93</v>
      </c>
      <c r="K608">
        <f t="shared" si="68"/>
        <v>0.1045</v>
      </c>
      <c r="L608">
        <f t="shared" si="69"/>
        <v>1</v>
      </c>
      <c r="M608">
        <f t="shared" si="70"/>
        <v>28</v>
      </c>
      <c r="N608" t="str">
        <f t="shared" si="72"/>
        <v>Day Shift</v>
      </c>
    </row>
    <row r="609" spans="1:14" x14ac:dyDescent="0.3">
      <c r="A609" s="3">
        <v>608</v>
      </c>
      <c r="B609" s="4">
        <v>40571</v>
      </c>
      <c r="C609" s="3">
        <v>13</v>
      </c>
      <c r="D609" s="3" t="b">
        <v>0</v>
      </c>
      <c r="E609" s="3">
        <v>5</v>
      </c>
      <c r="F609" s="3">
        <v>3</v>
      </c>
      <c r="G609" s="3">
        <v>0.18</v>
      </c>
      <c r="H609" t="str">
        <f t="shared" si="71"/>
        <v>Fri</v>
      </c>
      <c r="I609">
        <f t="shared" si="66"/>
        <v>0.21210000000000001</v>
      </c>
      <c r="J609">
        <f t="shared" si="67"/>
        <v>0.93</v>
      </c>
      <c r="K609">
        <f t="shared" si="68"/>
        <v>0.1045</v>
      </c>
      <c r="L609">
        <f t="shared" si="69"/>
        <v>0</v>
      </c>
      <c r="M609">
        <f t="shared" si="70"/>
        <v>31</v>
      </c>
      <c r="N609" t="str">
        <f t="shared" si="72"/>
        <v>Day Shift</v>
      </c>
    </row>
    <row r="610" spans="1:14" x14ac:dyDescent="0.3">
      <c r="A610" s="3">
        <v>609</v>
      </c>
      <c r="B610" s="4">
        <v>40571</v>
      </c>
      <c r="C610" s="3">
        <v>14</v>
      </c>
      <c r="D610" s="3" t="b">
        <v>0</v>
      </c>
      <c r="E610" s="3">
        <v>5</v>
      </c>
      <c r="F610" s="3">
        <v>3</v>
      </c>
      <c r="G610" s="3">
        <v>0.22</v>
      </c>
      <c r="H610" t="str">
        <f t="shared" si="71"/>
        <v>Fri</v>
      </c>
      <c r="I610">
        <f t="shared" si="66"/>
        <v>0.2727</v>
      </c>
      <c r="J610">
        <f t="shared" si="67"/>
        <v>0.8</v>
      </c>
      <c r="K610">
        <f t="shared" si="68"/>
        <v>0</v>
      </c>
      <c r="L610">
        <f t="shared" si="69"/>
        <v>2</v>
      </c>
      <c r="M610">
        <f t="shared" si="70"/>
        <v>36</v>
      </c>
      <c r="N610" t="str">
        <f t="shared" si="72"/>
        <v>Day Shift</v>
      </c>
    </row>
    <row r="611" spans="1:14" ht="15" thickBot="1" x14ac:dyDescent="0.35">
      <c r="A611" s="5">
        <v>610</v>
      </c>
      <c r="B611" s="6">
        <v>40571</v>
      </c>
      <c r="C611" s="5">
        <v>15</v>
      </c>
      <c r="D611" s="5" t="b">
        <v>0</v>
      </c>
      <c r="E611" s="5">
        <v>5</v>
      </c>
      <c r="F611" s="5">
        <v>2</v>
      </c>
      <c r="G611" s="5">
        <v>0.2</v>
      </c>
      <c r="H611" t="str">
        <f t="shared" si="71"/>
        <v>Fri</v>
      </c>
      <c r="I611">
        <f t="shared" si="66"/>
        <v>0.2576</v>
      </c>
      <c r="J611">
        <f t="shared" si="67"/>
        <v>0.86</v>
      </c>
      <c r="K611">
        <f t="shared" si="68"/>
        <v>0</v>
      </c>
      <c r="L611">
        <f t="shared" si="69"/>
        <v>1</v>
      </c>
      <c r="M611">
        <f t="shared" si="70"/>
        <v>40</v>
      </c>
      <c r="N611" t="str">
        <f t="shared" si="72"/>
        <v>Day Shift</v>
      </c>
    </row>
  </sheetData>
  <phoneticPr fontId="5" type="noConversion"/>
  <conditionalFormatting sqref="M2">
    <cfRule type="cellIs" dxfId="6" priority="3" operator="equal">
      <formula>$N$2</formula>
    </cfRule>
  </conditionalFormatting>
  <conditionalFormatting sqref="Q4:Q10 Q12:Q613">
    <cfRule type="duplicateValues" dxfId="3" priority="9"/>
  </conditionalFormatting>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9B17861C-4578-40BB-B6ED-02A1F9F02211}">
            <xm:f>NOT(ISERROR(SEARCH($N$8,N2)))</xm:f>
            <xm:f>$N$8</xm:f>
            <x14:dxf>
              <fill>
                <patternFill>
                  <bgColor theme="0"/>
                </patternFill>
              </fill>
            </x14:dxf>
          </x14:cfRule>
          <x14:cfRule type="containsText" priority="2" operator="containsText" id="{0E682707-160E-404F-9015-DD77D7A62F99}">
            <xm:f>NOT(ISERROR(SEARCH($N$2,N2)))</xm:f>
            <xm:f>$N$2</xm:f>
            <x14:dxf>
              <fill>
                <patternFill>
                  <bgColor theme="1" tint="0.499984740745262"/>
                </patternFill>
              </fill>
            </x14:dxf>
          </x14:cfRule>
          <xm:sqref>N2:N611</xm:sqref>
        </x14:conditionalFormatting>
      </x14:conditionalFormattings>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F0E5-897C-47E0-8D10-AFE3070BF549}">
  <dimension ref="A1:U611"/>
  <sheetViews>
    <sheetView tabSelected="1" topLeftCell="B1" workbookViewId="0">
      <selection activeCell="T5" sqref="T5"/>
    </sheetView>
  </sheetViews>
  <sheetFormatPr defaultRowHeight="14.4" x14ac:dyDescent="0.3"/>
  <cols>
    <col min="1" max="1" width="12.21875" customWidth="1"/>
    <col min="2" max="2" width="9" customWidth="1"/>
    <col min="3" max="3" width="13.109375" customWidth="1"/>
    <col min="4" max="4" width="9.88671875" customWidth="1"/>
    <col min="5" max="5" width="10.88671875" style="12" customWidth="1"/>
    <col min="6" max="6" width="12.21875" customWidth="1"/>
    <col min="8" max="8" width="11" customWidth="1"/>
    <col min="11" max="11" width="18.5546875" customWidth="1"/>
    <col min="13" max="13" width="17.109375" customWidth="1"/>
    <col min="15" max="15" width="11.88671875" customWidth="1"/>
    <col min="16" max="16" width="20.6640625" customWidth="1"/>
    <col min="17" max="17" width="24.6640625" customWidth="1"/>
    <col min="18" max="18" width="19.88671875" customWidth="1"/>
    <col min="19" max="19" width="12" customWidth="1"/>
    <col min="20" max="20" width="13.44140625" customWidth="1"/>
    <col min="21" max="21" width="13.6640625" customWidth="1"/>
  </cols>
  <sheetData>
    <row r="1" spans="1:21" ht="18.600000000000001" thickBot="1" x14ac:dyDescent="0.4">
      <c r="A1" s="14" t="s">
        <v>10</v>
      </c>
      <c r="B1" s="14" t="s">
        <v>0</v>
      </c>
      <c r="C1" s="14" t="s">
        <v>70</v>
      </c>
      <c r="D1" s="14" t="s">
        <v>11</v>
      </c>
      <c r="E1" s="18" t="s">
        <v>12</v>
      </c>
      <c r="F1" s="14" t="s">
        <v>13</v>
      </c>
      <c r="G1" s="14" t="s">
        <v>14</v>
      </c>
      <c r="H1" s="14" t="s">
        <v>15</v>
      </c>
      <c r="I1" s="14" t="s">
        <v>16</v>
      </c>
      <c r="J1" s="15" t="s">
        <v>9</v>
      </c>
      <c r="K1" s="15" t="s">
        <v>32</v>
      </c>
      <c r="L1" s="15" t="s">
        <v>41</v>
      </c>
      <c r="M1" s="20" t="s">
        <v>44</v>
      </c>
    </row>
    <row r="2" spans="1:21" ht="15" thickBot="1" x14ac:dyDescent="0.35">
      <c r="A2" s="2">
        <v>0</v>
      </c>
      <c r="B2" s="2">
        <v>1</v>
      </c>
      <c r="C2" s="4">
        <v>40544</v>
      </c>
      <c r="D2" s="2">
        <v>0.28789999999999999</v>
      </c>
      <c r="E2" s="13">
        <v>0.81</v>
      </c>
      <c r="F2" s="2">
        <v>0</v>
      </c>
      <c r="G2" s="2">
        <v>3</v>
      </c>
      <c r="H2" s="2">
        <v>13</v>
      </c>
      <c r="I2" s="2">
        <v>16</v>
      </c>
      <c r="J2" t="str">
        <f>LEFT(D2,4)</f>
        <v>0.28</v>
      </c>
      <c r="K2" t="str" cm="1">
        <f t="array" ref="K2">_xlfn.IFS(E2&gt;55%,"higher humidity",E2&gt;=35%,"medium humidity",E2&lt;35%,"lower humidity")</f>
        <v>higher humidity</v>
      </c>
      <c r="L2">
        <f>LEN(F2)</f>
        <v>1</v>
      </c>
      <c r="M2" t="str">
        <f>IF(H2&gt;30,"good boking","Bad booking")</f>
        <v>Bad booking</v>
      </c>
    </row>
    <row r="3" spans="1:21" ht="15" thickBot="1" x14ac:dyDescent="0.35">
      <c r="A3" s="2">
        <v>1</v>
      </c>
      <c r="B3" s="2">
        <v>2</v>
      </c>
      <c r="C3" s="4">
        <v>40544</v>
      </c>
      <c r="D3" s="2">
        <v>0.2727</v>
      </c>
      <c r="E3" s="13">
        <v>0.8</v>
      </c>
      <c r="F3" s="2">
        <v>0</v>
      </c>
      <c r="G3" s="2">
        <v>8</v>
      </c>
      <c r="H3" s="2">
        <v>32</v>
      </c>
      <c r="I3" s="2">
        <v>40</v>
      </c>
      <c r="J3" t="str">
        <f t="shared" ref="J3:J66" si="0">LEFT(D3,4)</f>
        <v>0.27</v>
      </c>
      <c r="K3" t="str" cm="1">
        <f t="array" ref="K3">_xlfn.IFS(E3&gt;55%,"higher humidity",E3&gt;=35%,"medium humidity",E3&lt;35%,"lower humidity")</f>
        <v>higher humidity</v>
      </c>
      <c r="L3">
        <f t="shared" ref="L3:L66" si="1">LEN(F3)</f>
        <v>1</v>
      </c>
      <c r="M3" t="str">
        <f t="shared" ref="M3:M66" si="2">IF(H3&gt;30,"good boking","Bad booking")</f>
        <v>good boking</v>
      </c>
      <c r="O3" s="39" t="s">
        <v>42</v>
      </c>
      <c r="P3" s="39"/>
      <c r="Q3" s="39"/>
      <c r="R3" s="39"/>
      <c r="S3" s="39"/>
      <c r="T3" s="39"/>
      <c r="U3" s="39"/>
    </row>
    <row r="4" spans="1:21" ht="18.600000000000001" thickBot="1" x14ac:dyDescent="0.4">
      <c r="A4" s="2">
        <v>2</v>
      </c>
      <c r="B4" s="2">
        <v>3</v>
      </c>
      <c r="C4" s="4">
        <v>40544</v>
      </c>
      <c r="D4" s="2">
        <v>0.2727</v>
      </c>
      <c r="E4" s="13">
        <v>0.8</v>
      </c>
      <c r="F4" s="2">
        <v>0</v>
      </c>
      <c r="G4" s="2">
        <v>5</v>
      </c>
      <c r="H4" s="2">
        <v>27</v>
      </c>
      <c r="I4" s="2">
        <v>32</v>
      </c>
      <c r="J4" t="str">
        <f t="shared" si="0"/>
        <v>0.27</v>
      </c>
      <c r="K4" t="str" cm="1">
        <f t="array" ref="K4">_xlfn.IFS(E4&gt;55%,"higher humidity",E4&gt;=35%,"medium humidity",E4&lt;35%,"lower humidity")</f>
        <v>higher humidity</v>
      </c>
      <c r="L4">
        <f t="shared" si="1"/>
        <v>1</v>
      </c>
      <c r="M4" t="str">
        <f t="shared" si="2"/>
        <v>Bad booking</v>
      </c>
      <c r="O4" s="19" t="s">
        <v>43</v>
      </c>
      <c r="P4" s="17" t="s">
        <v>38</v>
      </c>
      <c r="Q4" s="17" t="s">
        <v>40</v>
      </c>
      <c r="R4" s="17" t="s">
        <v>39</v>
      </c>
      <c r="S4" s="17" t="s">
        <v>19</v>
      </c>
      <c r="T4" s="17" t="s">
        <v>36</v>
      </c>
      <c r="U4" s="17" t="s">
        <v>35</v>
      </c>
    </row>
    <row r="5" spans="1:21" ht="18.600000000000001" thickBot="1" x14ac:dyDescent="0.4">
      <c r="A5" s="2">
        <v>3</v>
      </c>
      <c r="B5" s="2">
        <v>4</v>
      </c>
      <c r="C5" s="4">
        <v>40544</v>
      </c>
      <c r="D5" s="2">
        <v>0.28789999999999999</v>
      </c>
      <c r="E5" s="13">
        <v>0.75</v>
      </c>
      <c r="F5" s="2">
        <v>0</v>
      </c>
      <c r="G5" s="2">
        <v>3</v>
      </c>
      <c r="H5" s="2">
        <v>10</v>
      </c>
      <c r="I5" s="2">
        <v>13</v>
      </c>
      <c r="J5" t="str">
        <f t="shared" si="0"/>
        <v>0.28</v>
      </c>
      <c r="K5" t="str" cm="1">
        <f t="array" ref="K5">_xlfn.IFS(E5&gt;55%,"higher humidity",E5&gt;=35%,"medium humidity",E5&lt;35%,"lower humidity")</f>
        <v>higher humidity</v>
      </c>
      <c r="L5">
        <f t="shared" si="1"/>
        <v>1</v>
      </c>
      <c r="M5" t="str">
        <f t="shared" si="2"/>
        <v>Bad booking</v>
      </c>
      <c r="O5" s="17" t="s">
        <v>33</v>
      </c>
      <c r="P5" s="17">
        <f>SUMIF(K$2:K$611,P$4,G$2:G$611)</f>
        <v>914</v>
      </c>
      <c r="Q5" s="17">
        <f>SUMIF($K$2:$K$611,Q$4,$G$2:$G$611)</f>
        <v>1499</v>
      </c>
      <c r="R5" s="17">
        <f>SUMIF($K$2:$K$611,R$4,$G$2:$G$611)</f>
        <v>333</v>
      </c>
      <c r="S5">
        <f>SUM(G2:G611)</f>
        <v>2746</v>
      </c>
      <c r="U5">
        <f>AVERAGE(G1:G610)</f>
        <v>4.5073891625615765</v>
      </c>
    </row>
    <row r="6" spans="1:21" ht="18.600000000000001" thickBot="1" x14ac:dyDescent="0.4">
      <c r="A6" s="2">
        <v>4</v>
      </c>
      <c r="B6" s="2">
        <v>5</v>
      </c>
      <c r="C6" s="4">
        <v>40544</v>
      </c>
      <c r="D6" s="2">
        <v>0.28789999999999999</v>
      </c>
      <c r="E6" s="13">
        <v>0.75</v>
      </c>
      <c r="F6" s="2">
        <v>0</v>
      </c>
      <c r="G6" s="2">
        <v>0</v>
      </c>
      <c r="H6" s="2">
        <v>1</v>
      </c>
      <c r="I6" s="2">
        <v>1</v>
      </c>
      <c r="J6" t="str">
        <f t="shared" si="0"/>
        <v>0.28</v>
      </c>
      <c r="K6" t="str" cm="1">
        <f t="array" ref="K6">_xlfn.IFS(E6&gt;55%,"higher humidity",E6&gt;=35%,"medium humidity",E6&lt;35%,"lower humidity")</f>
        <v>higher humidity</v>
      </c>
      <c r="L6">
        <f t="shared" si="1"/>
        <v>1</v>
      </c>
      <c r="M6" t="str">
        <f t="shared" si="2"/>
        <v>Bad booking</v>
      </c>
      <c r="O6" s="17" t="s">
        <v>34</v>
      </c>
      <c r="P6" s="17">
        <f>SUMIF($K$2:$K$611,P$4,$H$2:$H$611)</f>
        <v>10173</v>
      </c>
      <c r="Q6" s="17">
        <f>SUMIF($K$2:$K$611,Q$4,$H$2:$H$611)</f>
        <v>18126</v>
      </c>
      <c r="R6" s="17">
        <f>SUMIF($K$2:$K$611,R$4,$H$2:$H$611)</f>
        <v>2853</v>
      </c>
      <c r="S6">
        <f>SUM(H2:H611)</f>
        <v>31152</v>
      </c>
      <c r="T6">
        <f>COUNT(H2:H611)</f>
        <v>610</v>
      </c>
      <c r="U6">
        <f t="shared" ref="U6" si="3">AVERAGE(H2:H611)</f>
        <v>51.068852459016391</v>
      </c>
    </row>
    <row r="7" spans="1:21" ht="15" thickBot="1" x14ac:dyDescent="0.35">
      <c r="A7" s="2">
        <v>5</v>
      </c>
      <c r="B7" s="2">
        <v>6</v>
      </c>
      <c r="C7" s="4">
        <v>40544</v>
      </c>
      <c r="D7" s="2">
        <v>0.2576</v>
      </c>
      <c r="E7" s="13">
        <v>0.75</v>
      </c>
      <c r="F7" s="2">
        <v>8.9599999999999999E-2</v>
      </c>
      <c r="G7" s="2">
        <v>0</v>
      </c>
      <c r="H7" s="2">
        <v>1</v>
      </c>
      <c r="I7" s="2">
        <v>1</v>
      </c>
      <c r="J7" t="str">
        <f t="shared" si="0"/>
        <v>0.25</v>
      </c>
      <c r="K7" t="str" cm="1">
        <f t="array" ref="K7">_xlfn.IFS(E7&gt;55%,"higher humidity",E7&gt;=35%,"medium humidity",E7&lt;35%,"lower humidity")</f>
        <v>higher humidity</v>
      </c>
      <c r="L7">
        <f t="shared" si="1"/>
        <v>6</v>
      </c>
      <c r="M7" t="str">
        <f t="shared" si="2"/>
        <v>Bad booking</v>
      </c>
    </row>
    <row r="8" spans="1:21" ht="15" thickBot="1" x14ac:dyDescent="0.35">
      <c r="A8" s="2">
        <v>6</v>
      </c>
      <c r="B8" s="2">
        <v>7</v>
      </c>
      <c r="C8" s="4">
        <v>40544</v>
      </c>
      <c r="D8" s="2">
        <v>0.2727</v>
      </c>
      <c r="E8" s="13">
        <v>0.8</v>
      </c>
      <c r="F8" s="2">
        <v>0</v>
      </c>
      <c r="G8" s="2">
        <v>2</v>
      </c>
      <c r="H8" s="2">
        <v>0</v>
      </c>
      <c r="I8" s="2">
        <v>2</v>
      </c>
      <c r="J8" t="str">
        <f t="shared" si="0"/>
        <v>0.27</v>
      </c>
      <c r="K8" t="str" cm="1">
        <f t="array" ref="K8">_xlfn.IFS(E8&gt;55%,"higher humidity",E8&gt;=35%,"medium humidity",E8&lt;35%,"lower humidity")</f>
        <v>higher humidity</v>
      </c>
      <c r="L8">
        <f t="shared" si="1"/>
        <v>1</v>
      </c>
      <c r="M8" t="str">
        <f t="shared" si="2"/>
        <v>Bad booking</v>
      </c>
    </row>
    <row r="9" spans="1:21" ht="15" thickBot="1" x14ac:dyDescent="0.35">
      <c r="A9" s="2">
        <v>7</v>
      </c>
      <c r="B9" s="2">
        <v>8</v>
      </c>
      <c r="C9" s="4">
        <v>40544</v>
      </c>
      <c r="D9" s="2">
        <v>0.2576</v>
      </c>
      <c r="E9" s="13">
        <v>0.86</v>
      </c>
      <c r="F9" s="2">
        <v>0</v>
      </c>
      <c r="G9" s="2">
        <v>1</v>
      </c>
      <c r="H9" s="2">
        <v>2</v>
      </c>
      <c r="I9" s="2">
        <v>3</v>
      </c>
      <c r="J9" t="str">
        <f t="shared" si="0"/>
        <v>0.25</v>
      </c>
      <c r="K9" t="str" cm="1">
        <f t="array" ref="K9">_xlfn.IFS(E9&gt;55%,"higher humidity",E9&gt;=35%,"medium humidity",E9&lt;35%,"lower humidity")</f>
        <v>higher humidity</v>
      </c>
      <c r="L9">
        <f t="shared" si="1"/>
        <v>1</v>
      </c>
      <c r="M9" t="str">
        <f t="shared" si="2"/>
        <v>Bad booking</v>
      </c>
    </row>
    <row r="10" spans="1:21" ht="16.2" thickBot="1" x14ac:dyDescent="0.35">
      <c r="A10" s="2">
        <v>8</v>
      </c>
      <c r="B10" s="2">
        <v>9</v>
      </c>
      <c r="C10" s="4">
        <v>40544</v>
      </c>
      <c r="D10" s="1" t="s">
        <v>37</v>
      </c>
      <c r="E10" s="13">
        <v>0.75</v>
      </c>
      <c r="F10" s="2">
        <v>0</v>
      </c>
      <c r="G10" s="2">
        <v>1</v>
      </c>
      <c r="H10" s="2">
        <v>7</v>
      </c>
      <c r="I10" s="2">
        <v>8</v>
      </c>
      <c r="J10" t="str">
        <f t="shared" si="0"/>
        <v xml:space="preserve">N/d </v>
      </c>
      <c r="K10" t="str" cm="1">
        <f t="array" ref="K10">_xlfn.IFS(E10&gt;55%,"higher humidity",E10&gt;=35%,"medium humidity",E10&lt;35%,"lower humidity")</f>
        <v>higher humidity</v>
      </c>
      <c r="L10">
        <f t="shared" si="1"/>
        <v>1</v>
      </c>
      <c r="M10" t="str">
        <f t="shared" si="2"/>
        <v>Bad booking</v>
      </c>
      <c r="O10" s="16"/>
      <c r="P10" s="16"/>
      <c r="Q10" s="16"/>
      <c r="R10" s="16"/>
    </row>
    <row r="11" spans="1:21" ht="15" thickBot="1" x14ac:dyDescent="0.35">
      <c r="A11" s="2">
        <v>9</v>
      </c>
      <c r="B11" s="2">
        <v>10</v>
      </c>
      <c r="C11" s="4">
        <v>40544</v>
      </c>
      <c r="D11" s="2">
        <v>0.34849999999999998</v>
      </c>
      <c r="E11" s="13">
        <v>0.76</v>
      </c>
      <c r="F11" s="2">
        <v>0</v>
      </c>
      <c r="G11" s="2">
        <v>8</v>
      </c>
      <c r="H11" s="2">
        <v>6</v>
      </c>
      <c r="I11" s="2">
        <v>14</v>
      </c>
      <c r="J11" t="str">
        <f t="shared" si="0"/>
        <v>0.34</v>
      </c>
      <c r="K11" t="str" cm="1">
        <f t="array" ref="K11">_xlfn.IFS(E11&gt;55%,"higher humidity",E11&gt;=35%,"medium humidity",E11&lt;35%,"lower humidity")</f>
        <v>higher humidity</v>
      </c>
      <c r="L11">
        <f t="shared" si="1"/>
        <v>1</v>
      </c>
      <c r="M11" t="str">
        <f t="shared" si="2"/>
        <v>Bad booking</v>
      </c>
    </row>
    <row r="12" spans="1:21" ht="15" thickBot="1" x14ac:dyDescent="0.35">
      <c r="A12" s="2">
        <v>10</v>
      </c>
      <c r="B12" s="2">
        <v>11</v>
      </c>
      <c r="C12" s="4">
        <v>40544</v>
      </c>
      <c r="D12" s="2">
        <v>0.39389999999999997</v>
      </c>
      <c r="E12" s="13">
        <v>0.76</v>
      </c>
      <c r="F12" s="2">
        <v>0.25369999999999998</v>
      </c>
      <c r="G12" s="2">
        <v>12</v>
      </c>
      <c r="H12" s="2">
        <v>24</v>
      </c>
      <c r="I12" s="2">
        <v>36</v>
      </c>
      <c r="J12" t="str">
        <f t="shared" si="0"/>
        <v>0.39</v>
      </c>
      <c r="K12" t="str" cm="1">
        <f t="array" ref="K12">_xlfn.IFS(E12&gt;55%,"higher humidity",E12&gt;=35%,"medium humidity",E12&lt;35%,"lower humidity")</f>
        <v>higher humidity</v>
      </c>
      <c r="L12">
        <f t="shared" si="1"/>
        <v>6</v>
      </c>
      <c r="M12" t="str">
        <f t="shared" si="2"/>
        <v>Bad booking</v>
      </c>
      <c r="P12" s="21" t="s">
        <v>70</v>
      </c>
      <c r="Q12" t="s">
        <v>60</v>
      </c>
    </row>
    <row r="13" spans="1:21" ht="15" thickBot="1" x14ac:dyDescent="0.35">
      <c r="A13" s="2">
        <v>11</v>
      </c>
      <c r="B13" s="2">
        <v>12</v>
      </c>
      <c r="C13" s="4">
        <v>40544</v>
      </c>
      <c r="D13" s="2">
        <v>0.33329999999999999</v>
      </c>
      <c r="E13" s="13">
        <v>0.81</v>
      </c>
      <c r="F13" s="2">
        <v>0.28360000000000002</v>
      </c>
      <c r="G13" s="2">
        <v>26</v>
      </c>
      <c r="H13" s="2">
        <v>30</v>
      </c>
      <c r="I13" s="2">
        <v>56</v>
      </c>
      <c r="J13" t="str">
        <f t="shared" si="0"/>
        <v>0.33</v>
      </c>
      <c r="K13" t="str" cm="1">
        <f t="array" ref="K13">_xlfn.IFS(E13&gt;55%,"higher humidity",E13&gt;=35%,"medium humidity",E13&lt;35%,"lower humidity")</f>
        <v>higher humidity</v>
      </c>
      <c r="L13">
        <f t="shared" si="1"/>
        <v>6</v>
      </c>
      <c r="M13" t="str">
        <f t="shared" si="2"/>
        <v>Bad booking</v>
      </c>
      <c r="P13" s="34">
        <v>40544</v>
      </c>
      <c r="Q13">
        <v>985</v>
      </c>
    </row>
    <row r="14" spans="1:21" ht="15" thickBot="1" x14ac:dyDescent="0.35">
      <c r="A14" s="2">
        <v>12</v>
      </c>
      <c r="B14" s="2">
        <v>13</v>
      </c>
      <c r="C14" s="4">
        <v>40544</v>
      </c>
      <c r="D14" s="2">
        <v>0.42420000000000002</v>
      </c>
      <c r="E14" s="13">
        <v>0.77</v>
      </c>
      <c r="F14" s="2">
        <v>0.28360000000000002</v>
      </c>
      <c r="G14" s="2">
        <v>29</v>
      </c>
      <c r="H14" s="2">
        <v>55</v>
      </c>
      <c r="I14" s="2">
        <v>84</v>
      </c>
      <c r="J14" t="str">
        <f t="shared" si="0"/>
        <v>0.42</v>
      </c>
      <c r="K14" t="str" cm="1">
        <f t="array" ref="K14">_xlfn.IFS(E14&gt;55%,"higher humidity",E14&gt;=35%,"medium humidity",E14&lt;35%,"lower humidity")</f>
        <v>higher humidity</v>
      </c>
      <c r="L14">
        <f t="shared" si="1"/>
        <v>6</v>
      </c>
      <c r="M14" t="str">
        <f t="shared" si="2"/>
        <v>good boking</v>
      </c>
      <c r="P14" s="34">
        <v>40545</v>
      </c>
      <c r="Q14">
        <v>801</v>
      </c>
    </row>
    <row r="15" spans="1:21" ht="15" thickBot="1" x14ac:dyDescent="0.35">
      <c r="A15" s="2">
        <v>13</v>
      </c>
      <c r="B15" s="2">
        <v>14</v>
      </c>
      <c r="C15" s="4">
        <v>40544</v>
      </c>
      <c r="D15" s="2">
        <v>0.45450000000000002</v>
      </c>
      <c r="E15" s="13">
        <v>0.72</v>
      </c>
      <c r="F15" s="2">
        <v>0.29849999999999999</v>
      </c>
      <c r="G15" s="2">
        <v>47</v>
      </c>
      <c r="H15" s="2">
        <v>47</v>
      </c>
      <c r="I15" s="2">
        <v>94</v>
      </c>
      <c r="J15" t="str">
        <f t="shared" si="0"/>
        <v>0.45</v>
      </c>
      <c r="K15" t="str" cm="1">
        <f t="array" ref="K15">_xlfn.IFS(E15&gt;55%,"higher humidity",E15&gt;=35%,"medium humidity",E15&lt;35%,"lower humidity")</f>
        <v>higher humidity</v>
      </c>
      <c r="L15">
        <f t="shared" si="1"/>
        <v>6</v>
      </c>
      <c r="M15" t="str">
        <f t="shared" si="2"/>
        <v>good boking</v>
      </c>
      <c r="P15" s="34">
        <v>40546</v>
      </c>
      <c r="Q15">
        <v>1349</v>
      </c>
    </row>
    <row r="16" spans="1:21" ht="15" thickBot="1" x14ac:dyDescent="0.35">
      <c r="A16" s="2">
        <v>14</v>
      </c>
      <c r="B16" s="2">
        <v>15</v>
      </c>
      <c r="C16" s="4">
        <v>40544</v>
      </c>
      <c r="D16" s="2">
        <v>0.45450000000000002</v>
      </c>
      <c r="E16" s="13">
        <v>0.72</v>
      </c>
      <c r="F16" s="2">
        <v>0.28360000000000002</v>
      </c>
      <c r="G16" s="2">
        <v>35</v>
      </c>
      <c r="H16" s="2">
        <v>71</v>
      </c>
      <c r="I16" s="2">
        <v>106</v>
      </c>
      <c r="J16" t="str">
        <f t="shared" si="0"/>
        <v>0.45</v>
      </c>
      <c r="K16" t="str" cm="1">
        <f t="array" ref="K16">_xlfn.IFS(E16&gt;55%,"higher humidity",E16&gt;=35%,"medium humidity",E16&lt;35%,"lower humidity")</f>
        <v>higher humidity</v>
      </c>
      <c r="L16">
        <f t="shared" si="1"/>
        <v>6</v>
      </c>
      <c r="M16" t="str">
        <f t="shared" si="2"/>
        <v>good boking</v>
      </c>
      <c r="P16" s="34">
        <v>40547</v>
      </c>
      <c r="Q16">
        <v>1562</v>
      </c>
    </row>
    <row r="17" spans="1:17" ht="15" thickBot="1" x14ac:dyDescent="0.35">
      <c r="A17" s="2">
        <v>15</v>
      </c>
      <c r="B17" s="2">
        <v>16</v>
      </c>
      <c r="C17" s="4">
        <v>40544</v>
      </c>
      <c r="D17" s="2">
        <v>0.43940000000000001</v>
      </c>
      <c r="E17" s="13">
        <v>0.77</v>
      </c>
      <c r="F17" s="2">
        <v>0.29849999999999999</v>
      </c>
      <c r="G17" s="2">
        <v>40</v>
      </c>
      <c r="H17" s="2">
        <v>70</v>
      </c>
      <c r="I17" s="2">
        <v>110</v>
      </c>
      <c r="J17" t="str">
        <f t="shared" si="0"/>
        <v>0.43</v>
      </c>
      <c r="K17" t="str" cm="1">
        <f t="array" ref="K17">_xlfn.IFS(E17&gt;55%,"higher humidity",E17&gt;=35%,"medium humidity",E17&lt;35%,"lower humidity")</f>
        <v>higher humidity</v>
      </c>
      <c r="L17">
        <f t="shared" si="1"/>
        <v>6</v>
      </c>
      <c r="M17" t="str">
        <f t="shared" si="2"/>
        <v>good boking</v>
      </c>
      <c r="P17" s="34">
        <v>40548</v>
      </c>
      <c r="Q17">
        <v>1600</v>
      </c>
    </row>
    <row r="18" spans="1:17" ht="15" thickBot="1" x14ac:dyDescent="0.35">
      <c r="A18" s="2">
        <v>16</v>
      </c>
      <c r="B18" s="2">
        <v>17</v>
      </c>
      <c r="C18" s="4">
        <v>40544</v>
      </c>
      <c r="D18" s="2">
        <v>0.42420000000000002</v>
      </c>
      <c r="E18" s="13">
        <v>0.82</v>
      </c>
      <c r="F18" s="2">
        <v>0.29849999999999999</v>
      </c>
      <c r="G18" s="2">
        <v>41</v>
      </c>
      <c r="H18" s="2">
        <v>52</v>
      </c>
      <c r="I18" s="2">
        <v>93</v>
      </c>
      <c r="J18" t="str">
        <f t="shared" si="0"/>
        <v>0.42</v>
      </c>
      <c r="K18" t="str" cm="1">
        <f t="array" ref="K18">_xlfn.IFS(E18&gt;55%,"higher humidity",E18&gt;=35%,"medium humidity",E18&lt;35%,"lower humidity")</f>
        <v>higher humidity</v>
      </c>
      <c r="L18">
        <f t="shared" si="1"/>
        <v>6</v>
      </c>
      <c r="M18" t="str">
        <f t="shared" si="2"/>
        <v>good boking</v>
      </c>
      <c r="P18" s="34">
        <v>40549</v>
      </c>
      <c r="Q18">
        <v>1606</v>
      </c>
    </row>
    <row r="19" spans="1:17" ht="15" thickBot="1" x14ac:dyDescent="0.35">
      <c r="A19" s="2">
        <v>17</v>
      </c>
      <c r="B19" s="2">
        <v>18</v>
      </c>
      <c r="C19" s="4">
        <v>40544</v>
      </c>
      <c r="D19" s="1" t="s">
        <v>37</v>
      </c>
      <c r="E19" s="13">
        <v>0.82</v>
      </c>
      <c r="F19" s="2">
        <v>0.28360000000000002</v>
      </c>
      <c r="G19" s="2">
        <v>15</v>
      </c>
      <c r="H19" s="2">
        <v>52</v>
      </c>
      <c r="I19" s="2">
        <v>67</v>
      </c>
      <c r="J19" t="str">
        <f t="shared" si="0"/>
        <v xml:space="preserve">N/d </v>
      </c>
      <c r="K19" t="str" cm="1">
        <f t="array" ref="K19">_xlfn.IFS(E19&gt;55%,"higher humidity",E19&gt;=35%,"medium humidity",E19&lt;35%,"lower humidity")</f>
        <v>higher humidity</v>
      </c>
      <c r="L19">
        <f t="shared" si="1"/>
        <v>6</v>
      </c>
      <c r="M19" t="str">
        <f t="shared" si="2"/>
        <v>good boking</v>
      </c>
      <c r="P19" s="34">
        <v>40550</v>
      </c>
      <c r="Q19">
        <v>1510</v>
      </c>
    </row>
    <row r="20" spans="1:17" ht="15" thickBot="1" x14ac:dyDescent="0.35">
      <c r="A20" s="2">
        <v>18</v>
      </c>
      <c r="B20" s="2">
        <v>19</v>
      </c>
      <c r="C20" s="4">
        <v>40544</v>
      </c>
      <c r="D20" s="2">
        <v>0.42420000000000002</v>
      </c>
      <c r="E20" s="13">
        <v>0.88</v>
      </c>
      <c r="F20" s="2">
        <v>0.25369999999999998</v>
      </c>
      <c r="G20" s="2">
        <v>9</v>
      </c>
      <c r="H20" s="2">
        <v>26</v>
      </c>
      <c r="I20" s="2">
        <v>35</v>
      </c>
      <c r="J20" t="str">
        <f t="shared" si="0"/>
        <v>0.42</v>
      </c>
      <c r="K20" t="str" cm="1">
        <f t="array" ref="K20">_xlfn.IFS(E20&gt;55%,"higher humidity",E20&gt;=35%,"medium humidity",E20&lt;35%,"lower humidity")</f>
        <v>higher humidity</v>
      </c>
      <c r="L20">
        <f t="shared" si="1"/>
        <v>6</v>
      </c>
      <c r="M20" t="str">
        <f t="shared" si="2"/>
        <v>Bad booking</v>
      </c>
      <c r="P20" s="34">
        <v>40551</v>
      </c>
      <c r="Q20">
        <v>959</v>
      </c>
    </row>
    <row r="21" spans="1:17" ht="15" thickBot="1" x14ac:dyDescent="0.35">
      <c r="A21" s="2">
        <v>19</v>
      </c>
      <c r="B21" s="2">
        <v>20</v>
      </c>
      <c r="C21" s="4">
        <v>40544</v>
      </c>
      <c r="D21" s="2">
        <v>0.42420000000000002</v>
      </c>
      <c r="E21" s="13">
        <v>0.88</v>
      </c>
      <c r="F21" s="2">
        <v>0.25369999999999998</v>
      </c>
      <c r="G21" s="2">
        <v>6</v>
      </c>
      <c r="H21" s="2">
        <v>31</v>
      </c>
      <c r="I21" s="2">
        <v>37</v>
      </c>
      <c r="J21" t="str">
        <f t="shared" si="0"/>
        <v>0.42</v>
      </c>
      <c r="K21" t="str" cm="1">
        <f t="array" ref="K21">_xlfn.IFS(E21&gt;55%,"higher humidity",E21&gt;=35%,"medium humidity",E21&lt;35%,"lower humidity")</f>
        <v>higher humidity</v>
      </c>
      <c r="L21">
        <f t="shared" si="1"/>
        <v>6</v>
      </c>
      <c r="M21" t="str">
        <f t="shared" si="2"/>
        <v>good boking</v>
      </c>
      <c r="P21" s="34">
        <v>40552</v>
      </c>
      <c r="Q21">
        <v>822</v>
      </c>
    </row>
    <row r="22" spans="1:17" ht="15" thickBot="1" x14ac:dyDescent="0.35">
      <c r="A22" s="2">
        <v>20</v>
      </c>
      <c r="B22" s="2">
        <v>21</v>
      </c>
      <c r="C22" s="4">
        <v>40544</v>
      </c>
      <c r="D22" s="2">
        <v>0.40910000000000002</v>
      </c>
      <c r="E22" s="13">
        <v>0.87</v>
      </c>
      <c r="F22" s="2">
        <v>0.25369999999999998</v>
      </c>
      <c r="G22" s="2">
        <v>11</v>
      </c>
      <c r="H22" s="2">
        <v>25</v>
      </c>
      <c r="I22" s="2">
        <v>36</v>
      </c>
      <c r="J22" t="str">
        <f t="shared" si="0"/>
        <v>0.40</v>
      </c>
      <c r="K22" t="str" cm="1">
        <f t="array" ref="K22">_xlfn.IFS(E22&gt;55%,"higher humidity",E22&gt;=35%,"medium humidity",E22&lt;35%,"lower humidity")</f>
        <v>higher humidity</v>
      </c>
      <c r="L22">
        <f t="shared" si="1"/>
        <v>6</v>
      </c>
      <c r="M22" t="str">
        <f t="shared" si="2"/>
        <v>Bad booking</v>
      </c>
      <c r="P22" s="34">
        <v>40553</v>
      </c>
      <c r="Q22">
        <v>1321</v>
      </c>
    </row>
    <row r="23" spans="1:17" ht="15" thickBot="1" x14ac:dyDescent="0.35">
      <c r="A23" s="2">
        <v>21</v>
      </c>
      <c r="B23" s="2">
        <v>22</v>
      </c>
      <c r="C23" s="4">
        <v>40544</v>
      </c>
      <c r="D23" s="2">
        <v>0.40910000000000002</v>
      </c>
      <c r="E23" s="13">
        <v>0.87</v>
      </c>
      <c r="F23" s="2">
        <v>0.19400000000000001</v>
      </c>
      <c r="G23" s="2">
        <v>3</v>
      </c>
      <c r="H23" s="2">
        <v>31</v>
      </c>
      <c r="I23" s="2">
        <v>34</v>
      </c>
      <c r="J23" t="str">
        <f t="shared" si="0"/>
        <v>0.40</v>
      </c>
      <c r="K23" t="str" cm="1">
        <f t="array" ref="K23">_xlfn.IFS(E23&gt;55%,"higher humidity",E23&gt;=35%,"medium humidity",E23&lt;35%,"lower humidity")</f>
        <v>higher humidity</v>
      </c>
      <c r="L23">
        <f t="shared" si="1"/>
        <v>5</v>
      </c>
      <c r="M23" t="str">
        <f t="shared" si="2"/>
        <v>good boking</v>
      </c>
      <c r="P23" s="34">
        <v>40554</v>
      </c>
      <c r="Q23">
        <v>1263</v>
      </c>
    </row>
    <row r="24" spans="1:17" ht="15" thickBot="1" x14ac:dyDescent="0.35">
      <c r="A24" s="2">
        <v>22</v>
      </c>
      <c r="B24" s="2">
        <v>23</v>
      </c>
      <c r="C24" s="4">
        <v>40544</v>
      </c>
      <c r="D24" s="2">
        <v>0.40910000000000002</v>
      </c>
      <c r="E24" s="13">
        <v>0.94</v>
      </c>
      <c r="F24" s="2">
        <v>0.22389999999999999</v>
      </c>
      <c r="G24" s="2">
        <v>11</v>
      </c>
      <c r="H24" s="2">
        <v>17</v>
      </c>
      <c r="I24" s="2">
        <v>28</v>
      </c>
      <c r="J24" t="str">
        <f t="shared" si="0"/>
        <v>0.40</v>
      </c>
      <c r="K24" t="str" cm="1">
        <f t="array" ref="K24">_xlfn.IFS(E24&gt;55%,"higher humidity",E24&gt;=35%,"medium humidity",E24&lt;35%,"lower humidity")</f>
        <v>higher humidity</v>
      </c>
      <c r="L24">
        <f t="shared" si="1"/>
        <v>6</v>
      </c>
      <c r="M24" t="str">
        <f t="shared" si="2"/>
        <v>Bad booking</v>
      </c>
      <c r="P24" s="34">
        <v>40555</v>
      </c>
      <c r="Q24">
        <v>1162</v>
      </c>
    </row>
    <row r="25" spans="1:17" ht="15" thickBot="1" x14ac:dyDescent="0.35">
      <c r="A25" s="2">
        <v>23</v>
      </c>
      <c r="B25" s="2">
        <v>24</v>
      </c>
      <c r="C25" s="4">
        <v>40544</v>
      </c>
      <c r="D25" s="1" t="s">
        <v>37</v>
      </c>
      <c r="E25" s="13">
        <v>0.88</v>
      </c>
      <c r="F25" s="2">
        <v>0.29849999999999999</v>
      </c>
      <c r="G25" s="2">
        <v>15</v>
      </c>
      <c r="H25" s="2">
        <v>24</v>
      </c>
      <c r="I25" s="2">
        <v>39</v>
      </c>
      <c r="J25" t="str">
        <f t="shared" si="0"/>
        <v xml:space="preserve">N/d </v>
      </c>
      <c r="K25" t="str" cm="1">
        <f t="array" ref="K25">_xlfn.IFS(E25&gt;55%,"higher humidity",E25&gt;=35%,"medium humidity",E25&lt;35%,"lower humidity")</f>
        <v>higher humidity</v>
      </c>
      <c r="L25">
        <f t="shared" si="1"/>
        <v>6</v>
      </c>
      <c r="M25" t="str">
        <f t="shared" si="2"/>
        <v>Bad booking</v>
      </c>
      <c r="P25" s="34">
        <v>40556</v>
      </c>
      <c r="Q25">
        <v>1406</v>
      </c>
    </row>
    <row r="26" spans="1:17" ht="15" thickBot="1" x14ac:dyDescent="0.35">
      <c r="A26" s="2">
        <v>24</v>
      </c>
      <c r="B26" s="2">
        <v>25</v>
      </c>
      <c r="C26" s="4">
        <v>40545</v>
      </c>
      <c r="D26" s="2">
        <v>0.45450000000000002</v>
      </c>
      <c r="E26" s="13">
        <v>0.88</v>
      </c>
      <c r="F26" s="2">
        <v>0.29849999999999999</v>
      </c>
      <c r="G26" s="2">
        <v>4</v>
      </c>
      <c r="H26" s="2">
        <v>13</v>
      </c>
      <c r="I26" s="2">
        <v>17</v>
      </c>
      <c r="J26" t="str">
        <f t="shared" si="0"/>
        <v>0.45</v>
      </c>
      <c r="K26" t="str" cm="1">
        <f t="array" ref="K26">_xlfn.IFS(E26&gt;55%,"higher humidity",E26&gt;=35%,"medium humidity",E26&lt;35%,"lower humidity")</f>
        <v>higher humidity</v>
      </c>
      <c r="L26">
        <f t="shared" si="1"/>
        <v>6</v>
      </c>
      <c r="M26" t="str">
        <f t="shared" si="2"/>
        <v>Bad booking</v>
      </c>
      <c r="P26" s="34">
        <v>40557</v>
      </c>
      <c r="Q26">
        <v>1421</v>
      </c>
    </row>
    <row r="27" spans="1:17" ht="15" thickBot="1" x14ac:dyDescent="0.35">
      <c r="A27" s="2">
        <v>25</v>
      </c>
      <c r="B27" s="2">
        <v>26</v>
      </c>
      <c r="C27" s="4">
        <v>40545</v>
      </c>
      <c r="D27" s="2">
        <v>0.43940000000000001</v>
      </c>
      <c r="E27" s="13">
        <v>0.94</v>
      </c>
      <c r="F27" s="2">
        <v>0.25369999999999998</v>
      </c>
      <c r="G27" s="2">
        <v>1</v>
      </c>
      <c r="H27" s="2">
        <v>16</v>
      </c>
      <c r="I27" s="2">
        <v>17</v>
      </c>
      <c r="J27" t="str">
        <f t="shared" si="0"/>
        <v>0.43</v>
      </c>
      <c r="K27" t="str" cm="1">
        <f t="array" ref="K27">_xlfn.IFS(E27&gt;55%,"higher humidity",E27&gt;=35%,"medium humidity",E27&lt;35%,"lower humidity")</f>
        <v>higher humidity</v>
      </c>
      <c r="L27">
        <f t="shared" si="1"/>
        <v>6</v>
      </c>
      <c r="M27" t="str">
        <f t="shared" si="2"/>
        <v>Bad booking</v>
      </c>
      <c r="P27" s="34">
        <v>40558</v>
      </c>
      <c r="Q27">
        <v>1248</v>
      </c>
    </row>
    <row r="28" spans="1:17" ht="15" thickBot="1" x14ac:dyDescent="0.35">
      <c r="A28" s="2">
        <v>26</v>
      </c>
      <c r="B28" s="2">
        <v>27</v>
      </c>
      <c r="C28" s="4">
        <v>40545</v>
      </c>
      <c r="D28" s="2">
        <v>0.42420000000000002</v>
      </c>
      <c r="E28" s="13">
        <v>1</v>
      </c>
      <c r="F28" s="2">
        <v>0.28360000000000002</v>
      </c>
      <c r="G28" s="2">
        <v>1</v>
      </c>
      <c r="H28" s="2">
        <v>8</v>
      </c>
      <c r="I28" s="2">
        <v>9</v>
      </c>
      <c r="J28" t="str">
        <f t="shared" si="0"/>
        <v>0.42</v>
      </c>
      <c r="K28" t="str" cm="1">
        <f t="array" ref="K28">_xlfn.IFS(E28&gt;55%,"higher humidity",E28&gt;=35%,"medium humidity",E28&lt;35%,"lower humidity")</f>
        <v>higher humidity</v>
      </c>
      <c r="L28">
        <f t="shared" si="1"/>
        <v>6</v>
      </c>
      <c r="M28" t="str">
        <f t="shared" si="2"/>
        <v>Bad booking</v>
      </c>
      <c r="P28" s="34">
        <v>40559</v>
      </c>
      <c r="Q28">
        <v>1204</v>
      </c>
    </row>
    <row r="29" spans="1:17" ht="15" thickBot="1" x14ac:dyDescent="0.35">
      <c r="A29" s="2">
        <v>27</v>
      </c>
      <c r="B29" s="2">
        <v>28</v>
      </c>
      <c r="C29" s="4">
        <v>40545</v>
      </c>
      <c r="D29" s="2">
        <v>0.45450000000000002</v>
      </c>
      <c r="E29" s="13">
        <v>0.94</v>
      </c>
      <c r="F29" s="2">
        <v>0.19400000000000001</v>
      </c>
      <c r="G29" s="2">
        <v>2</v>
      </c>
      <c r="H29" s="2">
        <v>4</v>
      </c>
      <c r="I29" s="2">
        <v>6</v>
      </c>
      <c r="J29" t="str">
        <f t="shared" si="0"/>
        <v>0.45</v>
      </c>
      <c r="K29" t="str" cm="1">
        <f t="array" ref="K29">_xlfn.IFS(E29&gt;55%,"higher humidity",E29&gt;=35%,"medium humidity",E29&lt;35%,"lower humidity")</f>
        <v>higher humidity</v>
      </c>
      <c r="L29">
        <f t="shared" si="1"/>
        <v>5</v>
      </c>
      <c r="M29" t="str">
        <f t="shared" si="2"/>
        <v>Bad booking</v>
      </c>
      <c r="P29" s="34">
        <v>40560</v>
      </c>
      <c r="Q29">
        <v>1000</v>
      </c>
    </row>
    <row r="30" spans="1:17" ht="15" thickBot="1" x14ac:dyDescent="0.35">
      <c r="A30" s="2">
        <v>28</v>
      </c>
      <c r="B30" s="2">
        <v>29</v>
      </c>
      <c r="C30" s="4">
        <v>40545</v>
      </c>
      <c r="D30" s="1" t="s">
        <v>37</v>
      </c>
      <c r="E30" s="13">
        <v>0.94</v>
      </c>
      <c r="F30" s="2">
        <v>0.19400000000000001</v>
      </c>
      <c r="G30" s="2">
        <v>2</v>
      </c>
      <c r="H30" s="2">
        <v>1</v>
      </c>
      <c r="I30" s="2">
        <v>3</v>
      </c>
      <c r="J30" t="str">
        <f t="shared" si="0"/>
        <v xml:space="preserve">N/d </v>
      </c>
      <c r="K30" t="str" cm="1">
        <f t="array" ref="K30">_xlfn.IFS(E30&gt;55%,"higher humidity",E30&gt;=35%,"medium humidity",E30&lt;35%,"lower humidity")</f>
        <v>higher humidity</v>
      </c>
      <c r="L30">
        <f t="shared" si="1"/>
        <v>5</v>
      </c>
      <c r="M30" t="str">
        <f t="shared" si="2"/>
        <v>Bad booking</v>
      </c>
      <c r="P30" s="34">
        <v>40561</v>
      </c>
      <c r="Q30">
        <v>683</v>
      </c>
    </row>
    <row r="31" spans="1:17" ht="15" thickBot="1" x14ac:dyDescent="0.35">
      <c r="A31" s="2">
        <v>29</v>
      </c>
      <c r="B31" s="2">
        <v>30</v>
      </c>
      <c r="C31" s="4">
        <v>40545</v>
      </c>
      <c r="D31" s="2">
        <v>0.42420000000000002</v>
      </c>
      <c r="E31" s="13">
        <v>0.77</v>
      </c>
      <c r="F31" s="2">
        <v>0.29849999999999999</v>
      </c>
      <c r="G31" s="2">
        <v>0</v>
      </c>
      <c r="H31" s="2">
        <v>2</v>
      </c>
      <c r="I31" s="2">
        <v>2</v>
      </c>
      <c r="J31" t="str">
        <f t="shared" si="0"/>
        <v>0.42</v>
      </c>
      <c r="K31" t="str" cm="1">
        <f t="array" ref="K31">_xlfn.IFS(E31&gt;55%,"higher humidity",E31&gt;=35%,"medium humidity",E31&lt;35%,"lower humidity")</f>
        <v>higher humidity</v>
      </c>
      <c r="L31">
        <f t="shared" si="1"/>
        <v>6</v>
      </c>
      <c r="M31" t="str">
        <f t="shared" si="2"/>
        <v>Bad booking</v>
      </c>
      <c r="P31" s="34">
        <v>40562</v>
      </c>
      <c r="Q31">
        <v>1650</v>
      </c>
    </row>
    <row r="32" spans="1:17" ht="15" thickBot="1" x14ac:dyDescent="0.35">
      <c r="A32" s="2">
        <v>30</v>
      </c>
      <c r="B32" s="2">
        <v>31</v>
      </c>
      <c r="C32" s="4">
        <v>40545</v>
      </c>
      <c r="D32" s="2">
        <v>0.40910000000000002</v>
      </c>
      <c r="E32" s="13">
        <v>0.76</v>
      </c>
      <c r="F32" s="2">
        <v>0.19400000000000001</v>
      </c>
      <c r="G32" s="2">
        <v>0</v>
      </c>
      <c r="H32" s="2">
        <v>1</v>
      </c>
      <c r="I32" s="2">
        <v>1</v>
      </c>
      <c r="J32" t="str">
        <f t="shared" si="0"/>
        <v>0.40</v>
      </c>
      <c r="K32" t="str" cm="1">
        <f t="array" ref="K32">_xlfn.IFS(E32&gt;55%,"higher humidity",E32&gt;=35%,"medium humidity",E32&lt;35%,"lower humidity")</f>
        <v>higher humidity</v>
      </c>
      <c r="L32">
        <f t="shared" si="1"/>
        <v>5</v>
      </c>
      <c r="M32" t="str">
        <f t="shared" si="2"/>
        <v>Bad booking</v>
      </c>
      <c r="P32" s="34">
        <v>40563</v>
      </c>
      <c r="Q32">
        <v>1927</v>
      </c>
    </row>
    <row r="33" spans="1:17" ht="15" thickBot="1" x14ac:dyDescent="0.35">
      <c r="A33" s="2">
        <v>31</v>
      </c>
      <c r="B33" s="2">
        <v>32</v>
      </c>
      <c r="C33" s="4">
        <v>40545</v>
      </c>
      <c r="D33" s="2">
        <v>0.40910000000000002</v>
      </c>
      <c r="E33" s="13">
        <v>0.71</v>
      </c>
      <c r="F33" s="2">
        <v>0.22389999999999999</v>
      </c>
      <c r="G33" s="2">
        <v>0</v>
      </c>
      <c r="H33" s="2">
        <v>8</v>
      </c>
      <c r="I33" s="2">
        <v>8</v>
      </c>
      <c r="J33" t="str">
        <f t="shared" si="0"/>
        <v>0.40</v>
      </c>
      <c r="K33" t="str" cm="1">
        <f t="array" ref="K33">_xlfn.IFS(E33&gt;55%,"higher humidity",E33&gt;=35%,"medium humidity",E33&lt;35%,"lower humidity")</f>
        <v>higher humidity</v>
      </c>
      <c r="L33">
        <f t="shared" si="1"/>
        <v>6</v>
      </c>
      <c r="M33" t="str">
        <f t="shared" si="2"/>
        <v>Bad booking</v>
      </c>
      <c r="P33" s="34">
        <v>40564</v>
      </c>
      <c r="Q33">
        <v>1543</v>
      </c>
    </row>
    <row r="34" spans="1:17" ht="15" thickBot="1" x14ac:dyDescent="0.35">
      <c r="A34" s="2">
        <v>32</v>
      </c>
      <c r="B34" s="2">
        <v>33</v>
      </c>
      <c r="C34" s="4">
        <v>40545</v>
      </c>
      <c r="D34" s="1" t="s">
        <v>37</v>
      </c>
      <c r="E34" s="13">
        <v>0.76</v>
      </c>
      <c r="F34" s="2">
        <v>0.22389999999999999</v>
      </c>
      <c r="G34" s="2">
        <v>1</v>
      </c>
      <c r="H34" s="2">
        <v>19</v>
      </c>
      <c r="I34" s="2">
        <v>20</v>
      </c>
      <c r="J34" t="str">
        <f t="shared" si="0"/>
        <v xml:space="preserve">N/d </v>
      </c>
      <c r="K34" t="str" cm="1">
        <f t="array" ref="K34">_xlfn.IFS(E34&gt;55%,"higher humidity",E34&gt;=35%,"medium humidity",E34&lt;35%,"lower humidity")</f>
        <v>higher humidity</v>
      </c>
      <c r="L34">
        <f t="shared" si="1"/>
        <v>6</v>
      </c>
      <c r="M34" t="str">
        <f t="shared" si="2"/>
        <v>Bad booking</v>
      </c>
      <c r="P34" s="34">
        <v>40565</v>
      </c>
      <c r="Q34">
        <v>981</v>
      </c>
    </row>
    <row r="35" spans="1:17" ht="15" thickBot="1" x14ac:dyDescent="0.35">
      <c r="A35" s="2">
        <v>33</v>
      </c>
      <c r="B35" s="2">
        <v>34</v>
      </c>
      <c r="C35" s="4">
        <v>40545</v>
      </c>
      <c r="D35" s="2">
        <v>0.34849999999999998</v>
      </c>
      <c r="E35" s="13">
        <v>0.81</v>
      </c>
      <c r="F35" s="2">
        <v>0.22389999999999999</v>
      </c>
      <c r="G35" s="2">
        <v>7</v>
      </c>
      <c r="H35" s="2">
        <v>46</v>
      </c>
      <c r="I35" s="2">
        <v>53</v>
      </c>
      <c r="J35" t="str">
        <f t="shared" si="0"/>
        <v>0.34</v>
      </c>
      <c r="K35" t="str" cm="1">
        <f t="array" ref="K35">_xlfn.IFS(E35&gt;55%,"higher humidity",E35&gt;=35%,"medium humidity",E35&lt;35%,"lower humidity")</f>
        <v>higher humidity</v>
      </c>
      <c r="L35">
        <f t="shared" si="1"/>
        <v>6</v>
      </c>
      <c r="M35" t="str">
        <f t="shared" si="2"/>
        <v>good boking</v>
      </c>
      <c r="P35" s="34">
        <v>40566</v>
      </c>
      <c r="Q35">
        <v>986</v>
      </c>
    </row>
    <row r="36" spans="1:17" ht="15" thickBot="1" x14ac:dyDescent="0.35">
      <c r="A36" s="2">
        <v>34</v>
      </c>
      <c r="B36" s="2">
        <v>35</v>
      </c>
      <c r="C36" s="4">
        <v>40545</v>
      </c>
      <c r="D36" s="2">
        <v>0.33329999999999999</v>
      </c>
      <c r="E36" s="13">
        <v>0.71</v>
      </c>
      <c r="F36" s="2">
        <v>0.25369999999999998</v>
      </c>
      <c r="G36" s="2">
        <v>16</v>
      </c>
      <c r="H36" s="2">
        <v>54</v>
      </c>
      <c r="I36" s="2">
        <v>70</v>
      </c>
      <c r="J36" t="str">
        <f t="shared" si="0"/>
        <v>0.33</v>
      </c>
      <c r="K36" t="str" cm="1">
        <f t="array" ref="K36">_xlfn.IFS(E36&gt;55%,"higher humidity",E36&gt;=35%,"medium humidity",E36&lt;35%,"lower humidity")</f>
        <v>higher humidity</v>
      </c>
      <c r="L36">
        <f t="shared" si="1"/>
        <v>6</v>
      </c>
      <c r="M36" t="str">
        <f t="shared" si="2"/>
        <v>good boking</v>
      </c>
      <c r="P36" s="34">
        <v>40567</v>
      </c>
      <c r="Q36">
        <v>1416</v>
      </c>
    </row>
    <row r="37" spans="1:17" ht="15" thickBot="1" x14ac:dyDescent="0.35">
      <c r="A37" s="2">
        <v>35</v>
      </c>
      <c r="B37" s="2">
        <v>36</v>
      </c>
      <c r="C37" s="4">
        <v>40545</v>
      </c>
      <c r="D37" s="2">
        <v>0.33329999999999999</v>
      </c>
      <c r="E37" s="13">
        <v>0.66</v>
      </c>
      <c r="F37" s="2">
        <v>0.29849999999999999</v>
      </c>
      <c r="G37" s="2">
        <v>20</v>
      </c>
      <c r="H37" s="2">
        <v>73</v>
      </c>
      <c r="I37" s="2">
        <v>93</v>
      </c>
      <c r="J37" t="str">
        <f t="shared" si="0"/>
        <v>0.33</v>
      </c>
      <c r="K37" t="str" cm="1">
        <f t="array" ref="K37">_xlfn.IFS(E37&gt;55%,"higher humidity",E37&gt;=35%,"medium humidity",E37&lt;35%,"lower humidity")</f>
        <v>higher humidity</v>
      </c>
      <c r="L37">
        <f t="shared" si="1"/>
        <v>6</v>
      </c>
      <c r="M37" t="str">
        <f t="shared" si="2"/>
        <v>good boking</v>
      </c>
      <c r="P37" s="34">
        <v>40568</v>
      </c>
      <c r="Q37">
        <v>1985</v>
      </c>
    </row>
    <row r="38" spans="1:17" ht="15" thickBot="1" x14ac:dyDescent="0.35">
      <c r="A38" s="2">
        <v>36</v>
      </c>
      <c r="B38" s="2">
        <v>37</v>
      </c>
      <c r="C38" s="4">
        <v>40545</v>
      </c>
      <c r="D38" s="2">
        <v>0.34849999999999998</v>
      </c>
      <c r="E38" s="13">
        <v>0.66</v>
      </c>
      <c r="F38" s="2">
        <v>0.1343</v>
      </c>
      <c r="G38" s="2">
        <v>11</v>
      </c>
      <c r="H38" s="2">
        <v>64</v>
      </c>
      <c r="I38" s="2">
        <v>75</v>
      </c>
      <c r="J38" t="str">
        <f t="shared" si="0"/>
        <v>0.34</v>
      </c>
      <c r="K38" t="str" cm="1">
        <f t="array" ref="K38">_xlfn.IFS(E38&gt;55%,"higher humidity",E38&gt;=35%,"medium humidity",E38&lt;35%,"lower humidity")</f>
        <v>higher humidity</v>
      </c>
      <c r="L38">
        <f t="shared" si="1"/>
        <v>6</v>
      </c>
      <c r="M38" t="str">
        <f t="shared" si="2"/>
        <v>good boking</v>
      </c>
      <c r="P38" s="34">
        <v>40569</v>
      </c>
      <c r="Q38">
        <v>506</v>
      </c>
    </row>
    <row r="39" spans="1:17" ht="15" thickBot="1" x14ac:dyDescent="0.35">
      <c r="A39" s="2">
        <v>37</v>
      </c>
      <c r="B39" s="2">
        <v>38</v>
      </c>
      <c r="C39" s="4">
        <v>40545</v>
      </c>
      <c r="D39" s="1" t="s">
        <v>37</v>
      </c>
      <c r="E39" s="13">
        <v>0.76</v>
      </c>
      <c r="F39" s="2">
        <v>0.19400000000000001</v>
      </c>
      <c r="G39" s="2">
        <v>4</v>
      </c>
      <c r="H39" s="2">
        <v>55</v>
      </c>
      <c r="I39" s="2">
        <v>59</v>
      </c>
      <c r="J39" t="str">
        <f t="shared" si="0"/>
        <v xml:space="preserve">N/d </v>
      </c>
      <c r="K39" t="str" cm="1">
        <f t="array" ref="K39">_xlfn.IFS(E39&gt;55%,"higher humidity",E39&gt;=35%,"medium humidity",E39&lt;35%,"lower humidity")</f>
        <v>higher humidity</v>
      </c>
      <c r="L39">
        <f t="shared" si="1"/>
        <v>5</v>
      </c>
      <c r="M39" t="str">
        <f t="shared" si="2"/>
        <v>good boking</v>
      </c>
      <c r="P39" s="34">
        <v>40570</v>
      </c>
      <c r="Q39">
        <v>431</v>
      </c>
    </row>
    <row r="40" spans="1:17" ht="15" thickBot="1" x14ac:dyDescent="0.35">
      <c r="A40" s="2">
        <v>38</v>
      </c>
      <c r="B40" s="2">
        <v>39</v>
      </c>
      <c r="C40" s="4">
        <v>40545</v>
      </c>
      <c r="D40" s="2">
        <v>0.33329999999999999</v>
      </c>
      <c r="E40" s="13">
        <v>0.81</v>
      </c>
      <c r="F40" s="2">
        <v>0.16420000000000001</v>
      </c>
      <c r="G40" s="2">
        <v>19</v>
      </c>
      <c r="H40" s="2">
        <v>55</v>
      </c>
      <c r="I40" s="2">
        <v>74</v>
      </c>
      <c r="J40" t="str">
        <f t="shared" si="0"/>
        <v>0.33</v>
      </c>
      <c r="K40" t="str" cm="1">
        <f t="array" ref="K40">_xlfn.IFS(E40&gt;55%,"higher humidity",E40&gt;=35%,"medium humidity",E40&lt;35%,"lower humidity")</f>
        <v>higher humidity</v>
      </c>
      <c r="L40">
        <f t="shared" si="1"/>
        <v>6</v>
      </c>
      <c r="M40" t="str">
        <f t="shared" si="2"/>
        <v>good boking</v>
      </c>
      <c r="P40" s="34">
        <v>40571</v>
      </c>
      <c r="Q40">
        <v>571</v>
      </c>
    </row>
    <row r="41" spans="1:17" ht="15" thickBot="1" x14ac:dyDescent="0.35">
      <c r="A41" s="2">
        <v>39</v>
      </c>
      <c r="B41" s="2">
        <v>40</v>
      </c>
      <c r="C41" s="4">
        <v>40545</v>
      </c>
      <c r="D41" s="2">
        <v>0.33329999999999999</v>
      </c>
      <c r="E41" s="13">
        <v>0.71</v>
      </c>
      <c r="F41" s="2">
        <v>0.16420000000000001</v>
      </c>
      <c r="G41" s="2">
        <v>9</v>
      </c>
      <c r="H41" s="2">
        <v>67</v>
      </c>
      <c r="I41" s="2">
        <v>76</v>
      </c>
      <c r="J41" t="str">
        <f t="shared" si="0"/>
        <v>0.33</v>
      </c>
      <c r="K41" t="str" cm="1">
        <f t="array" ref="K41">_xlfn.IFS(E41&gt;55%,"higher humidity",E41&gt;=35%,"medium humidity",E41&lt;35%,"lower humidity")</f>
        <v>higher humidity</v>
      </c>
      <c r="L41">
        <f t="shared" si="1"/>
        <v>6</v>
      </c>
      <c r="M41" t="str">
        <f t="shared" si="2"/>
        <v>good boking</v>
      </c>
      <c r="P41" s="34" t="s">
        <v>62</v>
      </c>
      <c r="Q41">
        <v>33898</v>
      </c>
    </row>
    <row r="42" spans="1:17" ht="15" thickBot="1" x14ac:dyDescent="0.35">
      <c r="A42" s="2">
        <v>40</v>
      </c>
      <c r="B42" s="2">
        <v>41</v>
      </c>
      <c r="C42" s="4">
        <v>40545</v>
      </c>
      <c r="D42" s="2">
        <v>0.33329999999999999</v>
      </c>
      <c r="E42" s="13">
        <v>0.56999999999999995</v>
      </c>
      <c r="F42" s="2">
        <v>0.19400000000000001</v>
      </c>
      <c r="G42" s="2">
        <v>7</v>
      </c>
      <c r="H42" s="2">
        <v>58</v>
      </c>
      <c r="I42" s="2">
        <v>65</v>
      </c>
      <c r="J42" t="str">
        <f t="shared" si="0"/>
        <v>0.33</v>
      </c>
      <c r="K42" t="str" cm="1">
        <f t="array" ref="K42">_xlfn.IFS(E42&gt;55%,"higher humidity",E42&gt;=35%,"medium humidity",E42&lt;35%,"lower humidity")</f>
        <v>higher humidity</v>
      </c>
      <c r="L42">
        <f t="shared" si="1"/>
        <v>5</v>
      </c>
      <c r="M42" t="str">
        <f t="shared" si="2"/>
        <v>good boking</v>
      </c>
    </row>
    <row r="43" spans="1:17" ht="15" thickBot="1" x14ac:dyDescent="0.35">
      <c r="A43" s="2">
        <v>41</v>
      </c>
      <c r="B43" s="2">
        <v>42</v>
      </c>
      <c r="C43" s="4">
        <v>40545</v>
      </c>
      <c r="D43" s="2">
        <v>0.33329999999999999</v>
      </c>
      <c r="E43" s="13">
        <v>0.46</v>
      </c>
      <c r="F43" s="2">
        <v>0.32840000000000003</v>
      </c>
      <c r="G43" s="2">
        <v>10</v>
      </c>
      <c r="H43" s="2">
        <v>43</v>
      </c>
      <c r="I43" s="2">
        <v>53</v>
      </c>
      <c r="J43" t="str">
        <f t="shared" si="0"/>
        <v>0.33</v>
      </c>
      <c r="K43" t="str" cm="1">
        <f t="array" ref="K43">_xlfn.IFS(E43&gt;55%,"higher humidity",E43&gt;=35%,"medium humidity",E43&lt;35%,"lower humidity")</f>
        <v>medium humidity</v>
      </c>
      <c r="L43">
        <f t="shared" si="1"/>
        <v>6</v>
      </c>
      <c r="M43" t="str">
        <f t="shared" si="2"/>
        <v>good boking</v>
      </c>
    </row>
    <row r="44" spans="1:17" ht="15" thickBot="1" x14ac:dyDescent="0.35">
      <c r="A44" s="2">
        <v>42</v>
      </c>
      <c r="B44" s="2">
        <v>43</v>
      </c>
      <c r="C44" s="4">
        <v>40545</v>
      </c>
      <c r="D44" s="2">
        <v>0.28789999999999999</v>
      </c>
      <c r="E44" s="13">
        <v>0.42</v>
      </c>
      <c r="F44" s="2">
        <v>0.44779999999999998</v>
      </c>
      <c r="G44" s="2">
        <v>1</v>
      </c>
      <c r="H44" s="2">
        <v>29</v>
      </c>
      <c r="I44" s="2">
        <v>30</v>
      </c>
      <c r="J44" t="str">
        <f t="shared" si="0"/>
        <v>0.28</v>
      </c>
      <c r="K44" t="str" cm="1">
        <f t="array" ref="K44">_xlfn.IFS(E44&gt;55%,"higher humidity",E44&gt;=35%,"medium humidity",E44&lt;35%,"lower humidity")</f>
        <v>medium humidity</v>
      </c>
      <c r="L44">
        <f t="shared" si="1"/>
        <v>6</v>
      </c>
      <c r="M44" t="str">
        <f t="shared" si="2"/>
        <v>Bad booking</v>
      </c>
    </row>
    <row r="45" spans="1:17" ht="15" thickBot="1" x14ac:dyDescent="0.35">
      <c r="A45" s="2">
        <v>43</v>
      </c>
      <c r="B45" s="2">
        <v>44</v>
      </c>
      <c r="C45" s="4">
        <v>40545</v>
      </c>
      <c r="D45" s="1" t="s">
        <v>37</v>
      </c>
      <c r="E45" s="13">
        <v>0.39</v>
      </c>
      <c r="F45" s="2">
        <v>0.35820000000000002</v>
      </c>
      <c r="G45" s="2">
        <v>5</v>
      </c>
      <c r="H45" s="2">
        <v>17</v>
      </c>
      <c r="I45" s="2">
        <v>22</v>
      </c>
      <c r="J45" t="str">
        <f t="shared" si="0"/>
        <v xml:space="preserve">N/d </v>
      </c>
      <c r="K45" t="str" cm="1">
        <f t="array" ref="K45">_xlfn.IFS(E45&gt;55%,"higher humidity",E45&gt;=35%,"medium humidity",E45&lt;35%,"lower humidity")</f>
        <v>medium humidity</v>
      </c>
      <c r="L45">
        <f t="shared" si="1"/>
        <v>6</v>
      </c>
      <c r="M45" t="str">
        <f t="shared" si="2"/>
        <v>Bad booking</v>
      </c>
    </row>
    <row r="46" spans="1:17" ht="15" thickBot="1" x14ac:dyDescent="0.35">
      <c r="A46" s="2">
        <v>44</v>
      </c>
      <c r="B46" s="2">
        <v>45</v>
      </c>
      <c r="C46" s="4">
        <v>40545</v>
      </c>
      <c r="D46" s="2">
        <v>0.2273</v>
      </c>
      <c r="E46" s="13">
        <v>0.44</v>
      </c>
      <c r="F46" s="2">
        <v>0.32840000000000003</v>
      </c>
      <c r="G46" s="2">
        <v>11</v>
      </c>
      <c r="H46" s="2">
        <v>20</v>
      </c>
      <c r="I46" s="2">
        <v>31</v>
      </c>
      <c r="J46" t="str">
        <f t="shared" si="0"/>
        <v>0.22</v>
      </c>
      <c r="K46" t="str" cm="1">
        <f t="array" ref="K46">_xlfn.IFS(E46&gt;55%,"higher humidity",E46&gt;=35%,"medium humidity",E46&lt;35%,"lower humidity")</f>
        <v>medium humidity</v>
      </c>
      <c r="L46">
        <f t="shared" si="1"/>
        <v>6</v>
      </c>
      <c r="M46" t="str">
        <f t="shared" si="2"/>
        <v>Bad booking</v>
      </c>
    </row>
    <row r="47" spans="1:17" ht="15" thickBot="1" x14ac:dyDescent="0.35">
      <c r="A47" s="2">
        <v>45</v>
      </c>
      <c r="B47" s="2">
        <v>46</v>
      </c>
      <c r="C47" s="4">
        <v>40545</v>
      </c>
      <c r="D47" s="2">
        <v>0.21210000000000001</v>
      </c>
      <c r="E47" s="13">
        <v>0.44</v>
      </c>
      <c r="F47" s="2">
        <v>0.29849999999999999</v>
      </c>
      <c r="G47" s="2">
        <v>0</v>
      </c>
      <c r="H47" s="2">
        <v>9</v>
      </c>
      <c r="I47" s="2">
        <v>9</v>
      </c>
      <c r="J47" t="str">
        <f t="shared" si="0"/>
        <v>0.21</v>
      </c>
      <c r="K47" t="str" cm="1">
        <f t="array" ref="K47">_xlfn.IFS(E47&gt;55%,"higher humidity",E47&gt;=35%,"medium humidity",E47&lt;35%,"lower humidity")</f>
        <v>medium humidity</v>
      </c>
      <c r="L47">
        <f t="shared" si="1"/>
        <v>6</v>
      </c>
      <c r="M47" t="str">
        <f t="shared" si="2"/>
        <v>Bad booking</v>
      </c>
    </row>
    <row r="48" spans="1:17" ht="15" thickBot="1" x14ac:dyDescent="0.35">
      <c r="A48" s="2">
        <v>46</v>
      </c>
      <c r="B48" s="2">
        <v>47</v>
      </c>
      <c r="C48" s="4">
        <v>40545</v>
      </c>
      <c r="D48" s="2">
        <v>0.2273</v>
      </c>
      <c r="E48" s="13">
        <v>0.47</v>
      </c>
      <c r="F48" s="2">
        <v>0.16420000000000001</v>
      </c>
      <c r="G48" s="2">
        <v>0</v>
      </c>
      <c r="H48" s="2">
        <v>8</v>
      </c>
      <c r="I48" s="2">
        <v>8</v>
      </c>
      <c r="J48" t="str">
        <f t="shared" si="0"/>
        <v>0.22</v>
      </c>
      <c r="K48" t="str" cm="1">
        <f t="array" ref="K48">_xlfn.IFS(E48&gt;55%,"higher humidity",E48&gt;=35%,"medium humidity",E48&lt;35%,"lower humidity")</f>
        <v>medium humidity</v>
      </c>
      <c r="L48">
        <f t="shared" si="1"/>
        <v>6</v>
      </c>
      <c r="M48" t="str">
        <f t="shared" si="2"/>
        <v>Bad booking</v>
      </c>
    </row>
    <row r="49" spans="1:13" ht="15" thickBot="1" x14ac:dyDescent="0.35">
      <c r="A49" s="2">
        <v>47</v>
      </c>
      <c r="B49" s="2">
        <v>48</v>
      </c>
      <c r="C49" s="4">
        <v>40546</v>
      </c>
      <c r="D49" s="2">
        <v>0.19700000000000001</v>
      </c>
      <c r="E49" s="13">
        <v>0.44</v>
      </c>
      <c r="F49" s="2">
        <v>0.35820000000000002</v>
      </c>
      <c r="G49" s="2">
        <v>0</v>
      </c>
      <c r="H49" s="2">
        <v>5</v>
      </c>
      <c r="I49" s="2">
        <v>5</v>
      </c>
      <c r="J49" t="str">
        <f t="shared" si="0"/>
        <v>0.19</v>
      </c>
      <c r="K49" t="str" cm="1">
        <f t="array" ref="K49">_xlfn.IFS(E49&gt;55%,"higher humidity",E49&gt;=35%,"medium humidity",E49&lt;35%,"lower humidity")</f>
        <v>medium humidity</v>
      </c>
      <c r="L49">
        <f t="shared" si="1"/>
        <v>6</v>
      </c>
      <c r="M49" t="str">
        <f t="shared" si="2"/>
        <v>Bad booking</v>
      </c>
    </row>
    <row r="50" spans="1:13" ht="15" thickBot="1" x14ac:dyDescent="0.35">
      <c r="A50" s="2">
        <v>48</v>
      </c>
      <c r="B50" s="2">
        <v>49</v>
      </c>
      <c r="C50" s="4">
        <v>40546</v>
      </c>
      <c r="D50" s="1" t="s">
        <v>37</v>
      </c>
      <c r="E50" s="13">
        <v>0.44</v>
      </c>
      <c r="F50" s="2">
        <v>0.41789999999999999</v>
      </c>
      <c r="G50" s="2">
        <v>0</v>
      </c>
      <c r="H50" s="2">
        <v>2</v>
      </c>
      <c r="I50" s="2">
        <v>2</v>
      </c>
      <c r="J50" t="str">
        <f t="shared" si="0"/>
        <v xml:space="preserve">N/d </v>
      </c>
      <c r="K50" t="str" cm="1">
        <f t="array" ref="K50">_xlfn.IFS(E50&gt;55%,"higher humidity",E50&gt;=35%,"medium humidity",E50&lt;35%,"lower humidity")</f>
        <v>medium humidity</v>
      </c>
      <c r="L50">
        <f t="shared" si="1"/>
        <v>6</v>
      </c>
      <c r="M50" t="str">
        <f t="shared" si="2"/>
        <v>Bad booking</v>
      </c>
    </row>
    <row r="51" spans="1:13" ht="15" thickBot="1" x14ac:dyDescent="0.35">
      <c r="A51" s="2">
        <v>49</v>
      </c>
      <c r="B51" s="2">
        <v>50</v>
      </c>
      <c r="C51" s="4">
        <v>40546</v>
      </c>
      <c r="D51" s="2">
        <v>0.13639999999999999</v>
      </c>
      <c r="E51" s="13">
        <v>0.47</v>
      </c>
      <c r="F51" s="2">
        <v>0.3881</v>
      </c>
      <c r="G51" s="2">
        <v>0</v>
      </c>
      <c r="H51" s="2">
        <v>1</v>
      </c>
      <c r="I51" s="2">
        <v>1</v>
      </c>
      <c r="J51" t="str">
        <f t="shared" si="0"/>
        <v>0.13</v>
      </c>
      <c r="K51" t="str" cm="1">
        <f t="array" ref="K51">_xlfn.IFS(E51&gt;55%,"higher humidity",E51&gt;=35%,"medium humidity",E51&lt;35%,"lower humidity")</f>
        <v>medium humidity</v>
      </c>
      <c r="L51">
        <f t="shared" si="1"/>
        <v>6</v>
      </c>
      <c r="M51" t="str">
        <f t="shared" si="2"/>
        <v>Bad booking</v>
      </c>
    </row>
    <row r="52" spans="1:13" ht="15" thickBot="1" x14ac:dyDescent="0.35">
      <c r="A52" s="2">
        <v>50</v>
      </c>
      <c r="B52" s="2">
        <v>51</v>
      </c>
      <c r="C52" s="4">
        <v>40546</v>
      </c>
      <c r="D52" s="2">
        <v>0.13639999999999999</v>
      </c>
      <c r="E52" s="13">
        <v>0.47</v>
      </c>
      <c r="F52" s="2">
        <v>0.28360000000000002</v>
      </c>
      <c r="G52" s="2">
        <v>0</v>
      </c>
      <c r="H52" s="2">
        <v>3</v>
      </c>
      <c r="I52" s="2">
        <v>3</v>
      </c>
      <c r="J52" t="str">
        <f t="shared" si="0"/>
        <v>0.13</v>
      </c>
      <c r="K52" t="str" cm="1">
        <f t="array" ref="K52">_xlfn.IFS(E52&gt;55%,"higher humidity",E52&gt;=35%,"medium humidity",E52&lt;35%,"lower humidity")</f>
        <v>medium humidity</v>
      </c>
      <c r="L52">
        <f t="shared" si="1"/>
        <v>6</v>
      </c>
      <c r="M52" t="str">
        <f t="shared" si="2"/>
        <v>Bad booking</v>
      </c>
    </row>
    <row r="53" spans="1:13" ht="15" thickBot="1" x14ac:dyDescent="0.35">
      <c r="A53" s="2">
        <v>51</v>
      </c>
      <c r="B53" s="2">
        <v>52</v>
      </c>
      <c r="C53" s="4">
        <v>40546</v>
      </c>
      <c r="D53" s="2">
        <v>0.1061</v>
      </c>
      <c r="E53" s="13">
        <v>0.5</v>
      </c>
      <c r="F53" s="2">
        <v>0.3881</v>
      </c>
      <c r="G53" s="2">
        <v>0</v>
      </c>
      <c r="H53" s="2">
        <v>30</v>
      </c>
      <c r="I53" s="2">
        <v>30</v>
      </c>
      <c r="J53" t="str">
        <f t="shared" si="0"/>
        <v>0.10</v>
      </c>
      <c r="K53" t="str" cm="1">
        <f t="array" ref="K53">_xlfn.IFS(E53&gt;55%,"higher humidity",E53&gt;=35%,"medium humidity",E53&lt;35%,"lower humidity")</f>
        <v>medium humidity</v>
      </c>
      <c r="L53">
        <f t="shared" si="1"/>
        <v>6</v>
      </c>
      <c r="M53" t="str">
        <f t="shared" si="2"/>
        <v>Bad booking</v>
      </c>
    </row>
    <row r="54" spans="1:13" ht="15" thickBot="1" x14ac:dyDescent="0.35">
      <c r="A54" s="2">
        <v>52</v>
      </c>
      <c r="B54" s="2">
        <v>53</v>
      </c>
      <c r="C54" s="4">
        <v>40546</v>
      </c>
      <c r="D54" s="2">
        <v>0.13639999999999999</v>
      </c>
      <c r="E54" s="13">
        <v>0.5</v>
      </c>
      <c r="F54" s="2">
        <v>0.19400000000000001</v>
      </c>
      <c r="G54" s="2">
        <v>1</v>
      </c>
      <c r="H54" s="2">
        <v>63</v>
      </c>
      <c r="I54" s="2">
        <v>64</v>
      </c>
      <c r="J54" t="str">
        <f t="shared" si="0"/>
        <v>0.13</v>
      </c>
      <c r="K54" t="str" cm="1">
        <f t="array" ref="K54">_xlfn.IFS(E54&gt;55%,"higher humidity",E54&gt;=35%,"medium humidity",E54&lt;35%,"lower humidity")</f>
        <v>medium humidity</v>
      </c>
      <c r="L54">
        <f t="shared" si="1"/>
        <v>5</v>
      </c>
      <c r="M54" t="str">
        <f t="shared" si="2"/>
        <v>good boking</v>
      </c>
    </row>
    <row r="55" spans="1:13" ht="15" thickBot="1" x14ac:dyDescent="0.35">
      <c r="A55" s="2">
        <v>53</v>
      </c>
      <c r="B55" s="2">
        <v>54</v>
      </c>
      <c r="C55" s="4">
        <v>40546</v>
      </c>
      <c r="D55" s="2">
        <v>0.1212</v>
      </c>
      <c r="E55" s="13">
        <v>0.5</v>
      </c>
      <c r="F55" s="2">
        <v>0.28360000000000002</v>
      </c>
      <c r="G55" s="2">
        <v>1</v>
      </c>
      <c r="H55" s="2">
        <v>153</v>
      </c>
      <c r="I55" s="2">
        <v>154</v>
      </c>
      <c r="J55" t="str">
        <f t="shared" si="0"/>
        <v>0.12</v>
      </c>
      <c r="K55" t="str" cm="1">
        <f t="array" ref="K55">_xlfn.IFS(E55&gt;55%,"higher humidity",E55&gt;=35%,"medium humidity",E55&lt;35%,"lower humidity")</f>
        <v>medium humidity</v>
      </c>
      <c r="L55">
        <f t="shared" si="1"/>
        <v>6</v>
      </c>
      <c r="M55" t="str">
        <f t="shared" si="2"/>
        <v>good boking</v>
      </c>
    </row>
    <row r="56" spans="1:13" ht="15" thickBot="1" x14ac:dyDescent="0.35">
      <c r="A56" s="2">
        <v>54</v>
      </c>
      <c r="B56" s="2">
        <v>55</v>
      </c>
      <c r="C56" s="4">
        <v>40546</v>
      </c>
      <c r="D56" s="2">
        <v>0.13639999999999999</v>
      </c>
      <c r="E56" s="13">
        <v>0.43</v>
      </c>
      <c r="F56" s="2">
        <v>0.3881</v>
      </c>
      <c r="G56" s="2">
        <v>7</v>
      </c>
      <c r="H56" s="2">
        <v>81</v>
      </c>
      <c r="I56" s="2">
        <v>88</v>
      </c>
      <c r="J56" t="str">
        <f t="shared" si="0"/>
        <v>0.13</v>
      </c>
      <c r="K56" t="str" cm="1">
        <f t="array" ref="K56">_xlfn.IFS(E56&gt;55%,"higher humidity",E56&gt;=35%,"medium humidity",E56&lt;35%,"lower humidity")</f>
        <v>medium humidity</v>
      </c>
      <c r="L56">
        <f t="shared" si="1"/>
        <v>6</v>
      </c>
      <c r="M56" t="str">
        <f t="shared" si="2"/>
        <v>good boking</v>
      </c>
    </row>
    <row r="57" spans="1:13" ht="15" thickBot="1" x14ac:dyDescent="0.35">
      <c r="A57" s="2">
        <v>55</v>
      </c>
      <c r="B57" s="2">
        <v>56</v>
      </c>
      <c r="C57" s="4">
        <v>40546</v>
      </c>
      <c r="D57" s="2">
        <v>0.16669999999999999</v>
      </c>
      <c r="E57" s="13">
        <v>0.43</v>
      </c>
      <c r="F57" s="2">
        <v>0.25369999999999998</v>
      </c>
      <c r="G57" s="2">
        <v>11</v>
      </c>
      <c r="H57" s="2">
        <v>33</v>
      </c>
      <c r="I57" s="2">
        <v>44</v>
      </c>
      <c r="J57" t="str">
        <f t="shared" si="0"/>
        <v>0.16</v>
      </c>
      <c r="K57" t="str" cm="1">
        <f t="array" ref="K57">_xlfn.IFS(E57&gt;55%,"higher humidity",E57&gt;=35%,"medium humidity",E57&lt;35%,"lower humidity")</f>
        <v>medium humidity</v>
      </c>
      <c r="L57">
        <f t="shared" si="1"/>
        <v>6</v>
      </c>
      <c r="M57" t="str">
        <f t="shared" si="2"/>
        <v>good boking</v>
      </c>
    </row>
    <row r="58" spans="1:13" ht="15" thickBot="1" x14ac:dyDescent="0.35">
      <c r="A58" s="2">
        <v>56</v>
      </c>
      <c r="B58" s="2">
        <v>57</v>
      </c>
      <c r="C58" s="4">
        <v>40546</v>
      </c>
      <c r="D58" s="2">
        <v>0.18179999999999999</v>
      </c>
      <c r="E58" s="13">
        <v>0.4</v>
      </c>
      <c r="F58" s="2">
        <v>0.32840000000000003</v>
      </c>
      <c r="G58" s="2">
        <v>10</v>
      </c>
      <c r="H58" s="2">
        <v>41</v>
      </c>
      <c r="I58" s="2">
        <v>51</v>
      </c>
      <c r="J58" t="str">
        <f t="shared" si="0"/>
        <v>0.18</v>
      </c>
      <c r="K58" t="str" cm="1">
        <f t="array" ref="K58">_xlfn.IFS(E58&gt;55%,"higher humidity",E58&gt;=35%,"medium humidity",E58&lt;35%,"lower humidity")</f>
        <v>medium humidity</v>
      </c>
      <c r="L58">
        <f t="shared" si="1"/>
        <v>6</v>
      </c>
      <c r="M58" t="str">
        <f t="shared" si="2"/>
        <v>good boking</v>
      </c>
    </row>
    <row r="59" spans="1:13" ht="15" thickBot="1" x14ac:dyDescent="0.35">
      <c r="A59" s="2">
        <v>57</v>
      </c>
      <c r="B59" s="2">
        <v>58</v>
      </c>
      <c r="C59" s="4">
        <v>40546</v>
      </c>
      <c r="D59" s="2">
        <v>0.21210000000000001</v>
      </c>
      <c r="E59" s="13">
        <v>0.35</v>
      </c>
      <c r="F59" s="2">
        <v>0.29849999999999999</v>
      </c>
      <c r="G59" s="2">
        <v>13</v>
      </c>
      <c r="H59" s="2">
        <v>48</v>
      </c>
      <c r="I59" s="2">
        <v>61</v>
      </c>
      <c r="J59" t="str">
        <f t="shared" si="0"/>
        <v>0.21</v>
      </c>
      <c r="K59" t="str" cm="1">
        <f t="array" ref="K59">_xlfn.IFS(E59&gt;55%,"higher humidity",E59&gt;=35%,"medium humidity",E59&lt;35%,"lower humidity")</f>
        <v>medium humidity</v>
      </c>
      <c r="L59">
        <f t="shared" si="1"/>
        <v>6</v>
      </c>
      <c r="M59" t="str">
        <f t="shared" si="2"/>
        <v>good boking</v>
      </c>
    </row>
    <row r="60" spans="1:13" ht="15" thickBot="1" x14ac:dyDescent="0.35">
      <c r="A60" s="2">
        <v>58</v>
      </c>
      <c r="B60" s="2">
        <v>59</v>
      </c>
      <c r="C60" s="4">
        <v>40546</v>
      </c>
      <c r="D60" s="1" t="s">
        <v>37</v>
      </c>
      <c r="E60" s="13">
        <v>0.35</v>
      </c>
      <c r="F60" s="2">
        <v>0.28360000000000002</v>
      </c>
      <c r="G60" s="2">
        <v>8</v>
      </c>
      <c r="H60" s="2">
        <v>53</v>
      </c>
      <c r="I60" s="2">
        <v>61</v>
      </c>
      <c r="J60" t="str">
        <f t="shared" si="0"/>
        <v xml:space="preserve">N/d </v>
      </c>
      <c r="K60" t="str" cm="1">
        <f t="array" ref="K60">_xlfn.IFS(E60&gt;55%,"higher humidity",E60&gt;=35%,"medium humidity",E60&lt;35%,"lower humidity")</f>
        <v>medium humidity</v>
      </c>
      <c r="L60">
        <f t="shared" si="1"/>
        <v>6</v>
      </c>
      <c r="M60" t="str">
        <f t="shared" si="2"/>
        <v>good boking</v>
      </c>
    </row>
    <row r="61" spans="1:13" ht="15" thickBot="1" x14ac:dyDescent="0.35">
      <c r="A61" s="2">
        <v>59</v>
      </c>
      <c r="B61" s="2">
        <v>60</v>
      </c>
      <c r="C61" s="4">
        <v>40546</v>
      </c>
      <c r="D61" s="2">
        <v>0.2424</v>
      </c>
      <c r="E61" s="13">
        <v>0.3</v>
      </c>
      <c r="F61" s="2">
        <v>0.28360000000000002</v>
      </c>
      <c r="G61" s="2">
        <v>11</v>
      </c>
      <c r="H61" s="2">
        <v>66</v>
      </c>
      <c r="I61" s="2">
        <v>77</v>
      </c>
      <c r="J61" t="str">
        <f t="shared" si="0"/>
        <v>0.24</v>
      </c>
      <c r="K61" t="str" cm="1">
        <f t="array" ref="K61">_xlfn.IFS(E61&gt;55%,"higher humidity",E61&gt;=35%,"medium humidity",E61&lt;35%,"lower humidity")</f>
        <v>lower humidity</v>
      </c>
      <c r="L61">
        <f t="shared" si="1"/>
        <v>6</v>
      </c>
      <c r="M61" t="str">
        <f t="shared" si="2"/>
        <v>good boking</v>
      </c>
    </row>
    <row r="62" spans="1:13" ht="15" thickBot="1" x14ac:dyDescent="0.35">
      <c r="A62" s="2">
        <v>60</v>
      </c>
      <c r="B62" s="2">
        <v>61</v>
      </c>
      <c r="C62" s="4">
        <v>40546</v>
      </c>
      <c r="D62" s="2">
        <v>0.2424</v>
      </c>
      <c r="E62" s="13">
        <v>0.3</v>
      </c>
      <c r="F62" s="2">
        <v>0.25369999999999998</v>
      </c>
      <c r="G62" s="2">
        <v>14</v>
      </c>
      <c r="H62" s="2">
        <v>58</v>
      </c>
      <c r="I62" s="2">
        <v>72</v>
      </c>
      <c r="J62" t="str">
        <f t="shared" si="0"/>
        <v>0.24</v>
      </c>
      <c r="K62" t="str" cm="1">
        <f t="array" ref="K62">_xlfn.IFS(E62&gt;55%,"higher humidity",E62&gt;=35%,"medium humidity",E62&lt;35%,"lower humidity")</f>
        <v>lower humidity</v>
      </c>
      <c r="L62">
        <f t="shared" si="1"/>
        <v>6</v>
      </c>
      <c r="M62" t="str">
        <f t="shared" si="2"/>
        <v>good boking</v>
      </c>
    </row>
    <row r="63" spans="1:13" ht="15" thickBot="1" x14ac:dyDescent="0.35">
      <c r="A63" s="2">
        <v>61</v>
      </c>
      <c r="B63" s="2">
        <v>62</v>
      </c>
      <c r="C63" s="4">
        <v>40546</v>
      </c>
      <c r="D63" s="2">
        <v>0.2424</v>
      </c>
      <c r="E63" s="13">
        <v>0.3</v>
      </c>
      <c r="F63" s="2">
        <v>0.25369999999999998</v>
      </c>
      <c r="G63" s="2">
        <v>9</v>
      </c>
      <c r="H63" s="2">
        <v>67</v>
      </c>
      <c r="I63" s="2">
        <v>76</v>
      </c>
      <c r="J63" t="str">
        <f t="shared" si="0"/>
        <v>0.24</v>
      </c>
      <c r="K63" t="str" cm="1">
        <f t="array" ref="K63">_xlfn.IFS(E63&gt;55%,"higher humidity",E63&gt;=35%,"medium humidity",E63&lt;35%,"lower humidity")</f>
        <v>lower humidity</v>
      </c>
      <c r="L63">
        <f t="shared" si="1"/>
        <v>6</v>
      </c>
      <c r="M63" t="str">
        <f t="shared" si="2"/>
        <v>good boking</v>
      </c>
    </row>
    <row r="64" spans="1:13" ht="15" thickBot="1" x14ac:dyDescent="0.35">
      <c r="A64" s="2">
        <v>62</v>
      </c>
      <c r="B64" s="2">
        <v>63</v>
      </c>
      <c r="C64" s="4">
        <v>40546</v>
      </c>
      <c r="D64" s="2">
        <v>0.2273</v>
      </c>
      <c r="E64" s="13">
        <v>0.3</v>
      </c>
      <c r="F64" s="2">
        <v>0.22389999999999999</v>
      </c>
      <c r="G64" s="2">
        <v>11</v>
      </c>
      <c r="H64" s="2">
        <v>146</v>
      </c>
      <c r="I64" s="2">
        <v>157</v>
      </c>
      <c r="J64" t="str">
        <f t="shared" si="0"/>
        <v>0.22</v>
      </c>
      <c r="K64" t="str" cm="1">
        <f t="array" ref="K64">_xlfn.IFS(E64&gt;55%,"higher humidity",E64&gt;=35%,"medium humidity",E64&lt;35%,"lower humidity")</f>
        <v>lower humidity</v>
      </c>
      <c r="L64">
        <f t="shared" si="1"/>
        <v>6</v>
      </c>
      <c r="M64" t="str">
        <f t="shared" si="2"/>
        <v>good boking</v>
      </c>
    </row>
    <row r="65" spans="1:13" ht="15" thickBot="1" x14ac:dyDescent="0.35">
      <c r="A65" s="2">
        <v>63</v>
      </c>
      <c r="B65" s="2">
        <v>64</v>
      </c>
      <c r="C65" s="4">
        <v>40546</v>
      </c>
      <c r="D65" s="2">
        <v>0.2576</v>
      </c>
      <c r="E65" s="13">
        <v>0.32</v>
      </c>
      <c r="F65" s="2">
        <v>0.1045</v>
      </c>
      <c r="G65" s="2">
        <v>9</v>
      </c>
      <c r="H65" s="2">
        <v>148</v>
      </c>
      <c r="I65" s="2">
        <v>157</v>
      </c>
      <c r="J65" t="str">
        <f t="shared" si="0"/>
        <v>0.25</v>
      </c>
      <c r="K65" t="str" cm="1">
        <f t="array" ref="K65">_xlfn.IFS(E65&gt;55%,"higher humidity",E65&gt;=35%,"medium humidity",E65&lt;35%,"lower humidity")</f>
        <v>lower humidity</v>
      </c>
      <c r="L65">
        <f t="shared" si="1"/>
        <v>6</v>
      </c>
      <c r="M65" t="str">
        <f t="shared" si="2"/>
        <v>good boking</v>
      </c>
    </row>
    <row r="66" spans="1:13" ht="15" thickBot="1" x14ac:dyDescent="0.35">
      <c r="A66" s="2">
        <v>64</v>
      </c>
      <c r="B66" s="2">
        <v>65</v>
      </c>
      <c r="C66" s="4">
        <v>40546</v>
      </c>
      <c r="D66" s="2">
        <v>0.2576</v>
      </c>
      <c r="E66" s="13">
        <v>0.47</v>
      </c>
      <c r="F66" s="2">
        <v>0</v>
      </c>
      <c r="G66" s="2">
        <v>8</v>
      </c>
      <c r="H66" s="2">
        <v>102</v>
      </c>
      <c r="I66" s="2">
        <v>110</v>
      </c>
      <c r="J66" t="str">
        <f t="shared" si="0"/>
        <v>0.25</v>
      </c>
      <c r="K66" t="str" cm="1">
        <f t="array" ref="K66">_xlfn.IFS(E66&gt;55%,"higher humidity",E66&gt;=35%,"medium humidity",E66&lt;35%,"lower humidity")</f>
        <v>medium humidity</v>
      </c>
      <c r="L66">
        <f t="shared" si="1"/>
        <v>1</v>
      </c>
      <c r="M66" t="str">
        <f t="shared" si="2"/>
        <v>good boking</v>
      </c>
    </row>
    <row r="67" spans="1:13" ht="15" thickBot="1" x14ac:dyDescent="0.35">
      <c r="A67" s="2">
        <v>65</v>
      </c>
      <c r="B67" s="2">
        <v>66</v>
      </c>
      <c r="C67" s="4">
        <v>40546</v>
      </c>
      <c r="D67" s="1" t="s">
        <v>37</v>
      </c>
      <c r="E67" s="13">
        <v>0.47</v>
      </c>
      <c r="F67" s="2">
        <v>0.1045</v>
      </c>
      <c r="G67" s="2">
        <v>3</v>
      </c>
      <c r="H67" s="2">
        <v>49</v>
      </c>
      <c r="I67" s="2">
        <v>52</v>
      </c>
      <c r="J67" t="str">
        <f t="shared" ref="J67:J130" si="4">LEFT(D67,4)</f>
        <v xml:space="preserve">N/d </v>
      </c>
      <c r="K67" t="str" cm="1">
        <f t="array" ref="K67">_xlfn.IFS(E67&gt;55%,"higher humidity",E67&gt;=35%,"medium humidity",E67&lt;35%,"lower humidity")</f>
        <v>medium humidity</v>
      </c>
      <c r="L67">
        <f t="shared" ref="L67:L130" si="5">LEN(F67)</f>
        <v>6</v>
      </c>
      <c r="M67" t="str">
        <f t="shared" ref="M67:M130" si="6">IF(H67&gt;30,"good boking","Bad booking")</f>
        <v>good boking</v>
      </c>
    </row>
    <row r="68" spans="1:13" ht="15" thickBot="1" x14ac:dyDescent="0.35">
      <c r="A68" s="2">
        <v>66</v>
      </c>
      <c r="B68" s="2">
        <v>67</v>
      </c>
      <c r="C68" s="4">
        <v>40546</v>
      </c>
      <c r="D68" s="2">
        <v>0.19700000000000001</v>
      </c>
      <c r="E68" s="13">
        <v>0.64</v>
      </c>
      <c r="F68" s="2">
        <v>0.1343</v>
      </c>
      <c r="G68" s="2">
        <v>3</v>
      </c>
      <c r="H68" s="2">
        <v>49</v>
      </c>
      <c r="I68" s="2">
        <v>52</v>
      </c>
      <c r="J68" t="str">
        <f t="shared" si="4"/>
        <v>0.19</v>
      </c>
      <c r="K68" t="str" cm="1">
        <f t="array" ref="K68">_xlfn.IFS(E68&gt;55%,"higher humidity",E68&gt;=35%,"medium humidity",E68&lt;35%,"lower humidity")</f>
        <v>higher humidity</v>
      </c>
      <c r="L68">
        <f t="shared" si="5"/>
        <v>6</v>
      </c>
      <c r="M68" t="str">
        <f t="shared" si="6"/>
        <v>good boking</v>
      </c>
    </row>
    <row r="69" spans="1:13" ht="15" thickBot="1" x14ac:dyDescent="0.35">
      <c r="A69" s="2">
        <v>67</v>
      </c>
      <c r="B69" s="2">
        <v>68</v>
      </c>
      <c r="C69" s="4">
        <v>40546</v>
      </c>
      <c r="D69" s="2">
        <v>0.1515</v>
      </c>
      <c r="E69" s="13">
        <v>0.69</v>
      </c>
      <c r="F69" s="2">
        <v>0.1343</v>
      </c>
      <c r="G69" s="2">
        <v>0</v>
      </c>
      <c r="H69" s="2">
        <v>20</v>
      </c>
      <c r="I69" s="2">
        <v>20</v>
      </c>
      <c r="J69" t="str">
        <f t="shared" si="4"/>
        <v>0.15</v>
      </c>
      <c r="K69" t="str" cm="1">
        <f t="array" ref="K69">_xlfn.IFS(E69&gt;55%,"higher humidity",E69&gt;=35%,"medium humidity",E69&lt;35%,"lower humidity")</f>
        <v>higher humidity</v>
      </c>
      <c r="L69">
        <f t="shared" si="5"/>
        <v>6</v>
      </c>
      <c r="M69" t="str">
        <f t="shared" si="6"/>
        <v>Bad booking</v>
      </c>
    </row>
    <row r="70" spans="1:13" ht="15" thickBot="1" x14ac:dyDescent="0.35">
      <c r="A70" s="2">
        <v>68</v>
      </c>
      <c r="B70" s="2">
        <v>69</v>
      </c>
      <c r="C70" s="4">
        <v>40546</v>
      </c>
      <c r="D70" s="2">
        <v>0.21210000000000001</v>
      </c>
      <c r="E70" s="13">
        <v>0.55000000000000004</v>
      </c>
      <c r="F70" s="2">
        <v>0.1045</v>
      </c>
      <c r="G70" s="2">
        <v>1</v>
      </c>
      <c r="H70" s="2">
        <v>11</v>
      </c>
      <c r="I70" s="2">
        <v>12</v>
      </c>
      <c r="J70" t="str">
        <f t="shared" si="4"/>
        <v>0.21</v>
      </c>
      <c r="K70" t="str" cm="1">
        <f t="array" ref="K70">_xlfn.IFS(E70&gt;55%,"higher humidity",E70&gt;=35%,"medium humidity",E70&lt;35%,"lower humidity")</f>
        <v>medium humidity</v>
      </c>
      <c r="L70">
        <f t="shared" si="5"/>
        <v>6</v>
      </c>
      <c r="M70" t="str">
        <f t="shared" si="6"/>
        <v>Bad booking</v>
      </c>
    </row>
    <row r="71" spans="1:13" ht="15" thickBot="1" x14ac:dyDescent="0.35">
      <c r="A71" s="2">
        <v>69</v>
      </c>
      <c r="B71" s="2">
        <v>70</v>
      </c>
      <c r="C71" s="4">
        <v>40547</v>
      </c>
      <c r="D71" s="1" t="s">
        <v>37</v>
      </c>
      <c r="E71" s="13">
        <v>0.55000000000000004</v>
      </c>
      <c r="F71" s="2">
        <v>0.1045</v>
      </c>
      <c r="G71" s="2">
        <v>0</v>
      </c>
      <c r="H71" s="2">
        <v>5</v>
      </c>
      <c r="I71" s="2">
        <v>5</v>
      </c>
      <c r="J71" t="str">
        <f t="shared" si="4"/>
        <v xml:space="preserve">N/d </v>
      </c>
      <c r="K71" t="str" cm="1">
        <f t="array" ref="K71">_xlfn.IFS(E71&gt;55%,"higher humidity",E71&gt;=35%,"medium humidity",E71&lt;35%,"lower humidity")</f>
        <v>medium humidity</v>
      </c>
      <c r="L71">
        <f t="shared" si="5"/>
        <v>6</v>
      </c>
      <c r="M71" t="str">
        <f t="shared" si="6"/>
        <v>Bad booking</v>
      </c>
    </row>
    <row r="72" spans="1:13" ht="15" thickBot="1" x14ac:dyDescent="0.35">
      <c r="A72" s="2">
        <v>70</v>
      </c>
      <c r="B72" s="2">
        <v>71</v>
      </c>
      <c r="C72" s="4">
        <v>40547</v>
      </c>
      <c r="D72" s="2">
        <v>0.18179999999999999</v>
      </c>
      <c r="E72" s="13">
        <v>0.59</v>
      </c>
      <c r="F72" s="2">
        <v>0.1045</v>
      </c>
      <c r="G72" s="2">
        <v>0</v>
      </c>
      <c r="H72" s="2">
        <v>2</v>
      </c>
      <c r="I72" s="2">
        <v>2</v>
      </c>
      <c r="J72" t="str">
        <f t="shared" si="4"/>
        <v>0.18</v>
      </c>
      <c r="K72" t="str" cm="1">
        <f t="array" ref="K72">_xlfn.IFS(E72&gt;55%,"higher humidity",E72&gt;=35%,"medium humidity",E72&lt;35%,"lower humidity")</f>
        <v>higher humidity</v>
      </c>
      <c r="L72">
        <f t="shared" si="5"/>
        <v>6</v>
      </c>
      <c r="M72" t="str">
        <f t="shared" si="6"/>
        <v>Bad booking</v>
      </c>
    </row>
    <row r="73" spans="1:13" ht="15" thickBot="1" x14ac:dyDescent="0.35">
      <c r="A73" s="2">
        <v>71</v>
      </c>
      <c r="B73" s="2">
        <v>72</v>
      </c>
      <c r="C73" s="4">
        <v>40547</v>
      </c>
      <c r="D73" s="2">
        <v>0.1515</v>
      </c>
      <c r="E73" s="13">
        <v>0.63</v>
      </c>
      <c r="F73" s="2">
        <v>0.1343</v>
      </c>
      <c r="G73" s="2">
        <v>0</v>
      </c>
      <c r="H73" s="2">
        <v>1</v>
      </c>
      <c r="I73" s="2">
        <v>1</v>
      </c>
      <c r="J73" t="str">
        <f t="shared" si="4"/>
        <v>0.15</v>
      </c>
      <c r="K73" t="str" cm="1">
        <f t="array" ref="K73">_xlfn.IFS(E73&gt;55%,"higher humidity",E73&gt;=35%,"medium humidity",E73&lt;35%,"lower humidity")</f>
        <v>higher humidity</v>
      </c>
      <c r="L73">
        <f t="shared" si="5"/>
        <v>6</v>
      </c>
      <c r="M73" t="str">
        <f t="shared" si="6"/>
        <v>Bad booking</v>
      </c>
    </row>
    <row r="74" spans="1:13" ht="15" thickBot="1" x14ac:dyDescent="0.35">
      <c r="A74" s="2">
        <v>72</v>
      </c>
      <c r="B74" s="2">
        <v>73</v>
      </c>
      <c r="C74" s="4">
        <v>40547</v>
      </c>
      <c r="D74" s="2">
        <v>0.18179999999999999</v>
      </c>
      <c r="E74" s="13">
        <v>0.63</v>
      </c>
      <c r="F74" s="2">
        <v>8.9599999999999999E-2</v>
      </c>
      <c r="G74" s="2">
        <v>0</v>
      </c>
      <c r="H74" s="2">
        <v>2</v>
      </c>
      <c r="I74" s="2">
        <v>2</v>
      </c>
      <c r="J74" t="str">
        <f t="shared" si="4"/>
        <v>0.18</v>
      </c>
      <c r="K74" t="str" cm="1">
        <f t="array" ref="K74">_xlfn.IFS(E74&gt;55%,"higher humidity",E74&gt;=35%,"medium humidity",E74&lt;35%,"lower humidity")</f>
        <v>higher humidity</v>
      </c>
      <c r="L74">
        <f t="shared" si="5"/>
        <v>6</v>
      </c>
      <c r="M74" t="str">
        <f t="shared" si="6"/>
        <v>Bad booking</v>
      </c>
    </row>
    <row r="75" spans="1:13" ht="15" thickBot="1" x14ac:dyDescent="0.35">
      <c r="A75" s="2">
        <v>73</v>
      </c>
      <c r="B75" s="2">
        <v>74</v>
      </c>
      <c r="C75" s="4">
        <v>40547</v>
      </c>
      <c r="D75" s="2">
        <v>0.1515</v>
      </c>
      <c r="E75" s="13">
        <v>0.68</v>
      </c>
      <c r="F75" s="2">
        <v>0.1045</v>
      </c>
      <c r="G75" s="2">
        <v>0</v>
      </c>
      <c r="H75" s="2">
        <v>4</v>
      </c>
      <c r="I75" s="2">
        <v>4</v>
      </c>
      <c r="J75" t="str">
        <f t="shared" si="4"/>
        <v>0.15</v>
      </c>
      <c r="K75" t="str" cm="1">
        <f t="array" ref="K75">_xlfn.IFS(E75&gt;55%,"higher humidity",E75&gt;=35%,"medium humidity",E75&lt;35%,"lower humidity")</f>
        <v>higher humidity</v>
      </c>
      <c r="L75">
        <f t="shared" si="5"/>
        <v>6</v>
      </c>
      <c r="M75" t="str">
        <f t="shared" si="6"/>
        <v>Bad booking</v>
      </c>
    </row>
    <row r="76" spans="1:13" ht="15" thickBot="1" x14ac:dyDescent="0.35">
      <c r="A76" s="2">
        <v>74</v>
      </c>
      <c r="B76" s="2">
        <v>75</v>
      </c>
      <c r="C76" s="4">
        <v>40547</v>
      </c>
      <c r="D76" s="2">
        <v>0.1515</v>
      </c>
      <c r="E76" s="13">
        <v>0.74</v>
      </c>
      <c r="F76" s="2">
        <v>0.1045</v>
      </c>
      <c r="G76" s="2">
        <v>0</v>
      </c>
      <c r="H76" s="2">
        <v>36</v>
      </c>
      <c r="I76" s="2">
        <v>36</v>
      </c>
      <c r="J76" t="str">
        <f t="shared" si="4"/>
        <v>0.15</v>
      </c>
      <c r="K76" t="str" cm="1">
        <f t="array" ref="K76">_xlfn.IFS(E76&gt;55%,"higher humidity",E76&gt;=35%,"medium humidity",E76&lt;35%,"lower humidity")</f>
        <v>higher humidity</v>
      </c>
      <c r="L76">
        <f t="shared" si="5"/>
        <v>6</v>
      </c>
      <c r="M76" t="str">
        <f t="shared" si="6"/>
        <v>good boking</v>
      </c>
    </row>
    <row r="77" spans="1:13" ht="15" thickBot="1" x14ac:dyDescent="0.35">
      <c r="A77" s="2">
        <v>75</v>
      </c>
      <c r="B77" s="2">
        <v>76</v>
      </c>
      <c r="C77" s="4">
        <v>40547</v>
      </c>
      <c r="D77" s="2">
        <v>0.1515</v>
      </c>
      <c r="E77" s="13">
        <v>0.74</v>
      </c>
      <c r="F77" s="2">
        <v>0.1343</v>
      </c>
      <c r="G77" s="2">
        <v>2</v>
      </c>
      <c r="H77" s="2">
        <v>92</v>
      </c>
      <c r="I77" s="2">
        <v>94</v>
      </c>
      <c r="J77" t="str">
        <f t="shared" si="4"/>
        <v>0.15</v>
      </c>
      <c r="K77" t="str" cm="1">
        <f t="array" ref="K77">_xlfn.IFS(E77&gt;55%,"higher humidity",E77&gt;=35%,"medium humidity",E77&lt;35%,"lower humidity")</f>
        <v>higher humidity</v>
      </c>
      <c r="L77">
        <f t="shared" si="5"/>
        <v>6</v>
      </c>
      <c r="M77" t="str">
        <f t="shared" si="6"/>
        <v>good boking</v>
      </c>
    </row>
    <row r="78" spans="1:13" ht="15" thickBot="1" x14ac:dyDescent="0.35">
      <c r="A78" s="2">
        <v>76</v>
      </c>
      <c r="B78" s="2">
        <v>77</v>
      </c>
      <c r="C78" s="4">
        <v>40547</v>
      </c>
      <c r="D78" s="2">
        <v>0.1515</v>
      </c>
      <c r="E78" s="13">
        <v>0.69</v>
      </c>
      <c r="F78" s="2">
        <v>0.16420000000000001</v>
      </c>
      <c r="G78" s="2">
        <v>2</v>
      </c>
      <c r="H78" s="2">
        <v>177</v>
      </c>
      <c r="I78" s="2">
        <v>179</v>
      </c>
      <c r="J78" t="str">
        <f t="shared" si="4"/>
        <v>0.15</v>
      </c>
      <c r="K78" t="str" cm="1">
        <f t="array" ref="K78">_xlfn.IFS(E78&gt;55%,"higher humidity",E78&gt;=35%,"medium humidity",E78&lt;35%,"lower humidity")</f>
        <v>higher humidity</v>
      </c>
      <c r="L78">
        <f t="shared" si="5"/>
        <v>6</v>
      </c>
      <c r="M78" t="str">
        <f t="shared" si="6"/>
        <v>good boking</v>
      </c>
    </row>
    <row r="79" spans="1:13" ht="15" thickBot="1" x14ac:dyDescent="0.35">
      <c r="A79" s="2">
        <v>77</v>
      </c>
      <c r="B79" s="2">
        <v>78</v>
      </c>
      <c r="C79" s="4">
        <v>40547</v>
      </c>
      <c r="D79" s="2">
        <v>0.1515</v>
      </c>
      <c r="E79" s="13">
        <v>0.64</v>
      </c>
      <c r="F79" s="2">
        <v>0.22389999999999999</v>
      </c>
      <c r="G79" s="2">
        <v>2</v>
      </c>
      <c r="H79" s="2">
        <v>98</v>
      </c>
      <c r="I79" s="2">
        <v>100</v>
      </c>
      <c r="J79" t="str">
        <f t="shared" si="4"/>
        <v>0.15</v>
      </c>
      <c r="K79" t="str" cm="1">
        <f t="array" ref="K79">_xlfn.IFS(E79&gt;55%,"higher humidity",E79&gt;=35%,"medium humidity",E79&lt;35%,"lower humidity")</f>
        <v>higher humidity</v>
      </c>
      <c r="L79">
        <f t="shared" si="5"/>
        <v>6</v>
      </c>
      <c r="M79" t="str">
        <f t="shared" si="6"/>
        <v>good boking</v>
      </c>
    </row>
    <row r="80" spans="1:13" ht="15" thickBot="1" x14ac:dyDescent="0.35">
      <c r="A80" s="2">
        <v>78</v>
      </c>
      <c r="B80" s="2">
        <v>79</v>
      </c>
      <c r="C80" s="4">
        <v>40547</v>
      </c>
      <c r="D80" s="2">
        <v>0.13639999999999999</v>
      </c>
      <c r="E80" s="13">
        <v>0.69</v>
      </c>
      <c r="F80" s="2">
        <v>0.32840000000000003</v>
      </c>
      <c r="G80" s="2">
        <v>5</v>
      </c>
      <c r="H80" s="2">
        <v>37</v>
      </c>
      <c r="I80" s="2">
        <v>42</v>
      </c>
      <c r="J80" t="str">
        <f t="shared" si="4"/>
        <v>0.13</v>
      </c>
      <c r="K80" t="str" cm="1">
        <f t="array" ref="K80">_xlfn.IFS(E80&gt;55%,"higher humidity",E80&gt;=35%,"medium humidity",E80&lt;35%,"lower humidity")</f>
        <v>higher humidity</v>
      </c>
      <c r="L80">
        <f t="shared" si="5"/>
        <v>6</v>
      </c>
      <c r="M80" t="str">
        <f t="shared" si="6"/>
        <v>good boking</v>
      </c>
    </row>
    <row r="81" spans="1:13" ht="15" thickBot="1" x14ac:dyDescent="0.35">
      <c r="A81" s="2">
        <v>79</v>
      </c>
      <c r="B81" s="2">
        <v>80</v>
      </c>
      <c r="C81" s="4">
        <v>40547</v>
      </c>
      <c r="D81" s="2">
        <v>0.21210000000000001</v>
      </c>
      <c r="E81" s="13">
        <v>0.51</v>
      </c>
      <c r="F81" s="2">
        <v>0.29849999999999999</v>
      </c>
      <c r="G81" s="2">
        <v>7</v>
      </c>
      <c r="H81" s="2">
        <v>50</v>
      </c>
      <c r="I81" s="2">
        <v>57</v>
      </c>
      <c r="J81" t="str">
        <f t="shared" si="4"/>
        <v>0.21</v>
      </c>
      <c r="K81" t="str" cm="1">
        <f t="array" ref="K81">_xlfn.IFS(E81&gt;55%,"higher humidity",E81&gt;=35%,"medium humidity",E81&lt;35%,"lower humidity")</f>
        <v>medium humidity</v>
      </c>
      <c r="L81">
        <f t="shared" si="5"/>
        <v>6</v>
      </c>
      <c r="M81" t="str">
        <f t="shared" si="6"/>
        <v>good boking</v>
      </c>
    </row>
    <row r="82" spans="1:13" ht="15" thickBot="1" x14ac:dyDescent="0.35">
      <c r="A82" s="2">
        <v>80</v>
      </c>
      <c r="B82" s="2">
        <v>81</v>
      </c>
      <c r="C82" s="4">
        <v>40547</v>
      </c>
      <c r="D82" s="2">
        <v>0.2273</v>
      </c>
      <c r="E82" s="13">
        <v>0.51</v>
      </c>
      <c r="F82" s="2">
        <v>0.16420000000000001</v>
      </c>
      <c r="G82" s="2">
        <v>12</v>
      </c>
      <c r="H82" s="2">
        <v>66</v>
      </c>
      <c r="I82" s="2">
        <v>78</v>
      </c>
      <c r="J82" t="str">
        <f t="shared" si="4"/>
        <v>0.22</v>
      </c>
      <c r="K82" t="str" cm="1">
        <f t="array" ref="K82">_xlfn.IFS(E82&gt;55%,"higher humidity",E82&gt;=35%,"medium humidity",E82&lt;35%,"lower humidity")</f>
        <v>medium humidity</v>
      </c>
      <c r="L82">
        <f t="shared" si="5"/>
        <v>6</v>
      </c>
      <c r="M82" t="str">
        <f t="shared" si="6"/>
        <v>good boking</v>
      </c>
    </row>
    <row r="83" spans="1:13" ht="15" thickBot="1" x14ac:dyDescent="0.35">
      <c r="A83" s="2">
        <v>81</v>
      </c>
      <c r="B83" s="2">
        <v>82</v>
      </c>
      <c r="C83" s="4">
        <v>40547</v>
      </c>
      <c r="D83" s="2">
        <v>0.2273</v>
      </c>
      <c r="E83" s="13">
        <v>0.56000000000000005</v>
      </c>
      <c r="F83" s="2">
        <v>0.19400000000000001</v>
      </c>
      <c r="G83" s="2">
        <v>18</v>
      </c>
      <c r="H83" s="2">
        <v>79</v>
      </c>
      <c r="I83" s="2">
        <v>97</v>
      </c>
      <c r="J83" t="str">
        <f t="shared" si="4"/>
        <v>0.22</v>
      </c>
      <c r="K83" t="str" cm="1">
        <f t="array" ref="K83">_xlfn.IFS(E83&gt;55%,"higher humidity",E83&gt;=35%,"medium humidity",E83&lt;35%,"lower humidity")</f>
        <v>higher humidity</v>
      </c>
      <c r="L83">
        <f t="shared" si="5"/>
        <v>5</v>
      </c>
      <c r="M83" t="str">
        <f t="shared" si="6"/>
        <v>good boking</v>
      </c>
    </row>
    <row r="84" spans="1:13" ht="15" thickBot="1" x14ac:dyDescent="0.35">
      <c r="A84" s="2">
        <v>82</v>
      </c>
      <c r="B84" s="2">
        <v>83</v>
      </c>
      <c r="C84" s="4">
        <v>40547</v>
      </c>
      <c r="D84" s="2">
        <v>0.2576</v>
      </c>
      <c r="E84" s="13">
        <v>0.52</v>
      </c>
      <c r="F84" s="2">
        <v>0.22389999999999999</v>
      </c>
      <c r="G84" s="2">
        <v>9</v>
      </c>
      <c r="H84" s="2">
        <v>54</v>
      </c>
      <c r="I84" s="2">
        <v>63</v>
      </c>
      <c r="J84" t="str">
        <f t="shared" si="4"/>
        <v>0.25</v>
      </c>
      <c r="K84" t="str" cm="1">
        <f t="array" ref="K84">_xlfn.IFS(E84&gt;55%,"higher humidity",E84&gt;=35%,"medium humidity",E84&lt;35%,"lower humidity")</f>
        <v>medium humidity</v>
      </c>
      <c r="L84">
        <f t="shared" si="5"/>
        <v>6</v>
      </c>
      <c r="M84" t="str">
        <f t="shared" si="6"/>
        <v>good boking</v>
      </c>
    </row>
    <row r="85" spans="1:13" ht="15" thickBot="1" x14ac:dyDescent="0.35">
      <c r="A85" s="2">
        <v>83</v>
      </c>
      <c r="B85" s="2">
        <v>84</v>
      </c>
      <c r="C85" s="4">
        <v>40547</v>
      </c>
      <c r="D85" s="2">
        <v>0.2727</v>
      </c>
      <c r="E85" s="13">
        <v>0.52</v>
      </c>
      <c r="F85" s="2">
        <v>0.25369999999999998</v>
      </c>
      <c r="G85" s="2">
        <v>17</v>
      </c>
      <c r="H85" s="2">
        <v>48</v>
      </c>
      <c r="I85" s="2">
        <v>65</v>
      </c>
      <c r="J85" t="str">
        <f t="shared" si="4"/>
        <v>0.27</v>
      </c>
      <c r="K85" t="str" cm="1">
        <f t="array" ref="K85">_xlfn.IFS(E85&gt;55%,"higher humidity",E85&gt;=35%,"medium humidity",E85&lt;35%,"lower humidity")</f>
        <v>medium humidity</v>
      </c>
      <c r="L85">
        <f t="shared" si="5"/>
        <v>6</v>
      </c>
      <c r="M85" t="str">
        <f t="shared" si="6"/>
        <v>good boking</v>
      </c>
    </row>
    <row r="86" spans="1:13" ht="15" thickBot="1" x14ac:dyDescent="0.35">
      <c r="A86" s="2">
        <v>84</v>
      </c>
      <c r="B86" s="2">
        <v>85</v>
      </c>
      <c r="C86" s="4">
        <v>40547</v>
      </c>
      <c r="D86" s="2">
        <v>0.28789999999999999</v>
      </c>
      <c r="E86" s="13">
        <v>0.49</v>
      </c>
      <c r="F86" s="2">
        <v>0.25369999999999998</v>
      </c>
      <c r="G86" s="2">
        <v>15</v>
      </c>
      <c r="H86" s="2">
        <v>68</v>
      </c>
      <c r="I86" s="2">
        <v>83</v>
      </c>
      <c r="J86" t="str">
        <f t="shared" si="4"/>
        <v>0.28</v>
      </c>
      <c r="K86" t="str" cm="1">
        <f t="array" ref="K86">_xlfn.IFS(E86&gt;55%,"higher humidity",E86&gt;=35%,"medium humidity",E86&lt;35%,"lower humidity")</f>
        <v>medium humidity</v>
      </c>
      <c r="L86">
        <f t="shared" si="5"/>
        <v>6</v>
      </c>
      <c r="M86" t="str">
        <f t="shared" si="6"/>
        <v>good boking</v>
      </c>
    </row>
    <row r="87" spans="1:13" ht="15" thickBot="1" x14ac:dyDescent="0.35">
      <c r="A87" s="2">
        <v>85</v>
      </c>
      <c r="B87" s="2">
        <v>86</v>
      </c>
      <c r="C87" s="4">
        <v>40547</v>
      </c>
      <c r="D87" s="2">
        <v>0.2727</v>
      </c>
      <c r="E87" s="13">
        <v>0.48</v>
      </c>
      <c r="F87" s="2">
        <v>0.22389999999999999</v>
      </c>
      <c r="G87" s="2">
        <v>10</v>
      </c>
      <c r="H87" s="2">
        <v>202</v>
      </c>
      <c r="I87" s="2">
        <v>212</v>
      </c>
      <c r="J87" t="str">
        <f t="shared" si="4"/>
        <v>0.27</v>
      </c>
      <c r="K87" t="str" cm="1">
        <f t="array" ref="K87">_xlfn.IFS(E87&gt;55%,"higher humidity",E87&gt;=35%,"medium humidity",E87&lt;35%,"lower humidity")</f>
        <v>medium humidity</v>
      </c>
      <c r="L87">
        <f t="shared" si="5"/>
        <v>6</v>
      </c>
      <c r="M87" t="str">
        <f t="shared" si="6"/>
        <v>good boking</v>
      </c>
    </row>
    <row r="88" spans="1:13" ht="15" thickBot="1" x14ac:dyDescent="0.35">
      <c r="A88" s="2">
        <v>86</v>
      </c>
      <c r="B88" s="2">
        <v>87</v>
      </c>
      <c r="C88" s="4">
        <v>40547</v>
      </c>
      <c r="D88" s="2">
        <v>0.2576</v>
      </c>
      <c r="E88" s="13">
        <v>0.48</v>
      </c>
      <c r="F88" s="2">
        <v>0.19400000000000001</v>
      </c>
      <c r="G88" s="2">
        <v>3</v>
      </c>
      <c r="H88" s="2">
        <v>179</v>
      </c>
      <c r="I88" s="2">
        <v>182</v>
      </c>
      <c r="J88" t="str">
        <f t="shared" si="4"/>
        <v>0.25</v>
      </c>
      <c r="K88" t="str" cm="1">
        <f t="array" ref="K88">_xlfn.IFS(E88&gt;55%,"higher humidity",E88&gt;=35%,"medium humidity",E88&lt;35%,"lower humidity")</f>
        <v>medium humidity</v>
      </c>
      <c r="L88">
        <f t="shared" si="5"/>
        <v>5</v>
      </c>
      <c r="M88" t="str">
        <f t="shared" si="6"/>
        <v>good boking</v>
      </c>
    </row>
    <row r="89" spans="1:13" ht="15" thickBot="1" x14ac:dyDescent="0.35">
      <c r="A89" s="2">
        <v>87</v>
      </c>
      <c r="B89" s="2">
        <v>88</v>
      </c>
      <c r="C89" s="4">
        <v>40547</v>
      </c>
      <c r="D89" s="2">
        <v>0.2576</v>
      </c>
      <c r="E89" s="13">
        <v>0.48</v>
      </c>
      <c r="F89" s="2">
        <v>0.1045</v>
      </c>
      <c r="G89" s="2">
        <v>2</v>
      </c>
      <c r="H89" s="2">
        <v>110</v>
      </c>
      <c r="I89" s="2">
        <v>112</v>
      </c>
      <c r="J89" t="str">
        <f t="shared" si="4"/>
        <v>0.25</v>
      </c>
      <c r="K89" t="str" cm="1">
        <f t="array" ref="K89">_xlfn.IFS(E89&gt;55%,"higher humidity",E89&gt;=35%,"medium humidity",E89&lt;35%,"lower humidity")</f>
        <v>medium humidity</v>
      </c>
      <c r="L89">
        <f t="shared" si="5"/>
        <v>6</v>
      </c>
      <c r="M89" t="str">
        <f t="shared" si="6"/>
        <v>good boking</v>
      </c>
    </row>
    <row r="90" spans="1:13" ht="15" thickBot="1" x14ac:dyDescent="0.35">
      <c r="A90" s="2">
        <v>88</v>
      </c>
      <c r="B90" s="2">
        <v>89</v>
      </c>
      <c r="C90" s="4">
        <v>40547</v>
      </c>
      <c r="D90" s="2">
        <v>0.2576</v>
      </c>
      <c r="E90" s="13">
        <v>0.48</v>
      </c>
      <c r="F90" s="2">
        <v>0.1045</v>
      </c>
      <c r="G90" s="2">
        <v>1</v>
      </c>
      <c r="H90" s="2">
        <v>53</v>
      </c>
      <c r="I90" s="2">
        <v>54</v>
      </c>
      <c r="J90" t="str">
        <f t="shared" si="4"/>
        <v>0.25</v>
      </c>
      <c r="K90" t="str" cm="1">
        <f t="array" ref="K90">_xlfn.IFS(E90&gt;55%,"higher humidity",E90&gt;=35%,"medium humidity",E90&lt;35%,"lower humidity")</f>
        <v>medium humidity</v>
      </c>
      <c r="L90">
        <f t="shared" si="5"/>
        <v>6</v>
      </c>
      <c r="M90" t="str">
        <f t="shared" si="6"/>
        <v>good boking</v>
      </c>
    </row>
    <row r="91" spans="1:13" ht="15" thickBot="1" x14ac:dyDescent="0.35">
      <c r="A91" s="2">
        <v>89</v>
      </c>
      <c r="B91" s="2">
        <v>90</v>
      </c>
      <c r="C91" s="4">
        <v>40547</v>
      </c>
      <c r="D91" s="2">
        <v>0.2727</v>
      </c>
      <c r="E91" s="13">
        <v>0.64</v>
      </c>
      <c r="F91" s="2">
        <v>0</v>
      </c>
      <c r="G91" s="2">
        <v>0</v>
      </c>
      <c r="H91" s="2">
        <v>48</v>
      </c>
      <c r="I91" s="2">
        <v>48</v>
      </c>
      <c r="J91" t="str">
        <f t="shared" si="4"/>
        <v>0.27</v>
      </c>
      <c r="K91" t="str" cm="1">
        <f t="array" ref="K91">_xlfn.IFS(E91&gt;55%,"higher humidity",E91&gt;=35%,"medium humidity",E91&lt;35%,"lower humidity")</f>
        <v>higher humidity</v>
      </c>
      <c r="L91">
        <f t="shared" si="5"/>
        <v>1</v>
      </c>
      <c r="M91" t="str">
        <f t="shared" si="6"/>
        <v>good boking</v>
      </c>
    </row>
    <row r="92" spans="1:13" ht="15" thickBot="1" x14ac:dyDescent="0.35">
      <c r="A92" s="2">
        <v>90</v>
      </c>
      <c r="B92" s="2">
        <v>91</v>
      </c>
      <c r="C92" s="4">
        <v>40547</v>
      </c>
      <c r="D92" s="2">
        <v>0.2576</v>
      </c>
      <c r="E92" s="13">
        <v>0.64</v>
      </c>
      <c r="F92" s="2">
        <v>8.9599999999999999E-2</v>
      </c>
      <c r="G92" s="2">
        <v>1</v>
      </c>
      <c r="H92" s="2">
        <v>34</v>
      </c>
      <c r="I92" s="2">
        <v>35</v>
      </c>
      <c r="J92" t="str">
        <f t="shared" si="4"/>
        <v>0.25</v>
      </c>
      <c r="K92" t="str" cm="1">
        <f t="array" ref="K92">_xlfn.IFS(E92&gt;55%,"higher humidity",E92&gt;=35%,"medium humidity",E92&lt;35%,"lower humidity")</f>
        <v>higher humidity</v>
      </c>
      <c r="L92">
        <f t="shared" si="5"/>
        <v>6</v>
      </c>
      <c r="M92" t="str">
        <f t="shared" si="6"/>
        <v>good boking</v>
      </c>
    </row>
    <row r="93" spans="1:13" ht="15" thickBot="1" x14ac:dyDescent="0.35">
      <c r="A93" s="2">
        <v>91</v>
      </c>
      <c r="B93" s="2">
        <v>92</v>
      </c>
      <c r="C93" s="4">
        <v>40547</v>
      </c>
      <c r="D93" s="2">
        <v>0.2273</v>
      </c>
      <c r="E93" s="13">
        <v>0.69</v>
      </c>
      <c r="F93" s="2">
        <v>8.9599999999999999E-2</v>
      </c>
      <c r="G93" s="2">
        <v>2</v>
      </c>
      <c r="H93" s="2">
        <v>9</v>
      </c>
      <c r="I93" s="2">
        <v>11</v>
      </c>
      <c r="J93" t="str">
        <f t="shared" si="4"/>
        <v>0.22</v>
      </c>
      <c r="K93" t="str" cm="1">
        <f t="array" ref="K93">_xlfn.IFS(E93&gt;55%,"higher humidity",E93&gt;=35%,"medium humidity",E93&lt;35%,"lower humidity")</f>
        <v>higher humidity</v>
      </c>
      <c r="L93">
        <f t="shared" si="5"/>
        <v>6</v>
      </c>
      <c r="M93" t="str">
        <f t="shared" si="6"/>
        <v>Bad booking</v>
      </c>
    </row>
    <row r="94" spans="1:13" ht="15" thickBot="1" x14ac:dyDescent="0.35">
      <c r="A94" s="2">
        <v>92</v>
      </c>
      <c r="B94" s="2">
        <v>93</v>
      </c>
      <c r="C94" s="4">
        <v>40548</v>
      </c>
      <c r="D94" s="2">
        <v>0.2576</v>
      </c>
      <c r="E94" s="13">
        <v>0.64</v>
      </c>
      <c r="F94" s="2">
        <v>0</v>
      </c>
      <c r="G94" s="2">
        <v>0</v>
      </c>
      <c r="H94" s="2">
        <v>6</v>
      </c>
      <c r="I94" s="2">
        <v>6</v>
      </c>
      <c r="J94" t="str">
        <f t="shared" si="4"/>
        <v>0.25</v>
      </c>
      <c r="K94" t="str" cm="1">
        <f t="array" ref="K94">_xlfn.IFS(E94&gt;55%,"higher humidity",E94&gt;=35%,"medium humidity",E94&lt;35%,"lower humidity")</f>
        <v>higher humidity</v>
      </c>
      <c r="L94">
        <f t="shared" si="5"/>
        <v>1</v>
      </c>
      <c r="M94" t="str">
        <f t="shared" si="6"/>
        <v>Bad booking</v>
      </c>
    </row>
    <row r="95" spans="1:13" ht="15" thickBot="1" x14ac:dyDescent="0.35">
      <c r="A95" s="2">
        <v>93</v>
      </c>
      <c r="B95" s="2">
        <v>94</v>
      </c>
      <c r="C95" s="4">
        <v>40548</v>
      </c>
      <c r="D95" s="2">
        <v>0.19700000000000001</v>
      </c>
      <c r="E95" s="13">
        <v>0.74</v>
      </c>
      <c r="F95" s="2">
        <v>8.9599999999999999E-2</v>
      </c>
      <c r="G95" s="2">
        <v>0</v>
      </c>
      <c r="H95" s="2">
        <v>6</v>
      </c>
      <c r="I95" s="2">
        <v>6</v>
      </c>
      <c r="J95" t="str">
        <f t="shared" si="4"/>
        <v>0.19</v>
      </c>
      <c r="K95" t="str" cm="1">
        <f t="array" ref="K95">_xlfn.IFS(E95&gt;55%,"higher humidity",E95&gt;=35%,"medium humidity",E95&lt;35%,"lower humidity")</f>
        <v>higher humidity</v>
      </c>
      <c r="L95">
        <f t="shared" si="5"/>
        <v>6</v>
      </c>
      <c r="M95" t="str">
        <f t="shared" si="6"/>
        <v>Bad booking</v>
      </c>
    </row>
    <row r="96" spans="1:13" ht="15" thickBot="1" x14ac:dyDescent="0.35">
      <c r="A96" s="2">
        <v>94</v>
      </c>
      <c r="B96" s="2">
        <v>95</v>
      </c>
      <c r="C96" s="4">
        <v>40548</v>
      </c>
      <c r="D96" s="2">
        <v>0.19700000000000001</v>
      </c>
      <c r="E96" s="13">
        <v>0.74</v>
      </c>
      <c r="F96" s="2">
        <v>8.9599999999999999E-2</v>
      </c>
      <c r="G96" s="2">
        <v>0</v>
      </c>
      <c r="H96" s="2">
        <v>2</v>
      </c>
      <c r="I96" s="2">
        <v>2</v>
      </c>
      <c r="J96" t="str">
        <f t="shared" si="4"/>
        <v>0.19</v>
      </c>
      <c r="K96" t="str" cm="1">
        <f t="array" ref="K96">_xlfn.IFS(E96&gt;55%,"higher humidity",E96&gt;=35%,"medium humidity",E96&lt;35%,"lower humidity")</f>
        <v>higher humidity</v>
      </c>
      <c r="L96">
        <f t="shared" si="5"/>
        <v>6</v>
      </c>
      <c r="M96" t="str">
        <f t="shared" si="6"/>
        <v>Bad booking</v>
      </c>
    </row>
    <row r="97" spans="1:13" ht="15" thickBot="1" x14ac:dyDescent="0.35">
      <c r="A97" s="2">
        <v>95</v>
      </c>
      <c r="B97" s="2">
        <v>96</v>
      </c>
      <c r="C97" s="4">
        <v>40548</v>
      </c>
      <c r="D97" s="2">
        <v>0.2273</v>
      </c>
      <c r="E97" s="13">
        <v>0.48</v>
      </c>
      <c r="F97" s="2">
        <v>0.22389999999999999</v>
      </c>
      <c r="G97" s="2">
        <v>0</v>
      </c>
      <c r="H97" s="2">
        <v>2</v>
      </c>
      <c r="I97" s="2">
        <v>2</v>
      </c>
      <c r="J97" t="str">
        <f t="shared" si="4"/>
        <v>0.22</v>
      </c>
      <c r="K97" t="str" cm="1">
        <f t="array" ref="K97">_xlfn.IFS(E97&gt;55%,"higher humidity",E97&gt;=35%,"medium humidity",E97&lt;35%,"lower humidity")</f>
        <v>medium humidity</v>
      </c>
      <c r="L97">
        <f t="shared" si="5"/>
        <v>6</v>
      </c>
      <c r="M97" t="str">
        <f t="shared" si="6"/>
        <v>Bad booking</v>
      </c>
    </row>
    <row r="98" spans="1:13" ht="15" thickBot="1" x14ac:dyDescent="0.35">
      <c r="A98" s="2">
        <v>96</v>
      </c>
      <c r="B98" s="2">
        <v>97</v>
      </c>
      <c r="C98" s="4">
        <v>40548</v>
      </c>
      <c r="D98" s="2">
        <v>0.2273</v>
      </c>
      <c r="E98" s="13">
        <v>0.47</v>
      </c>
      <c r="F98" s="2">
        <v>0.16420000000000001</v>
      </c>
      <c r="G98" s="2">
        <v>0</v>
      </c>
      <c r="H98" s="2">
        <v>3</v>
      </c>
      <c r="I98" s="2">
        <v>3</v>
      </c>
      <c r="J98" t="str">
        <f t="shared" si="4"/>
        <v>0.22</v>
      </c>
      <c r="K98" t="str" cm="1">
        <f t="array" ref="K98">_xlfn.IFS(E98&gt;55%,"higher humidity",E98&gt;=35%,"medium humidity",E98&lt;35%,"lower humidity")</f>
        <v>medium humidity</v>
      </c>
      <c r="L98">
        <f t="shared" si="5"/>
        <v>6</v>
      </c>
      <c r="M98" t="str">
        <f t="shared" si="6"/>
        <v>Bad booking</v>
      </c>
    </row>
    <row r="99" spans="1:13" ht="15" thickBot="1" x14ac:dyDescent="0.35">
      <c r="A99" s="2">
        <v>97</v>
      </c>
      <c r="B99" s="2">
        <v>98</v>
      </c>
      <c r="C99" s="4">
        <v>40548</v>
      </c>
      <c r="D99" s="2">
        <v>0.19700000000000001</v>
      </c>
      <c r="E99" s="13">
        <v>0.47</v>
      </c>
      <c r="F99" s="2">
        <v>0.22389999999999999</v>
      </c>
      <c r="G99" s="2">
        <v>0</v>
      </c>
      <c r="H99" s="2">
        <v>33</v>
      </c>
      <c r="I99" s="2">
        <v>33</v>
      </c>
      <c r="J99" t="str">
        <f t="shared" si="4"/>
        <v>0.19</v>
      </c>
      <c r="K99" t="str" cm="1">
        <f t="array" ref="K99">_xlfn.IFS(E99&gt;55%,"higher humidity",E99&gt;=35%,"medium humidity",E99&lt;35%,"lower humidity")</f>
        <v>medium humidity</v>
      </c>
      <c r="L99">
        <f t="shared" si="5"/>
        <v>6</v>
      </c>
      <c r="M99" t="str">
        <f t="shared" si="6"/>
        <v>good boking</v>
      </c>
    </row>
    <row r="100" spans="1:13" ht="15" thickBot="1" x14ac:dyDescent="0.35">
      <c r="A100" s="2">
        <v>98</v>
      </c>
      <c r="B100" s="2">
        <v>99</v>
      </c>
      <c r="C100" s="4">
        <v>40548</v>
      </c>
      <c r="D100" s="2">
        <v>0.18179999999999999</v>
      </c>
      <c r="E100" s="13">
        <v>0.43</v>
      </c>
      <c r="F100" s="2">
        <v>0.19400000000000001</v>
      </c>
      <c r="G100" s="2">
        <v>1</v>
      </c>
      <c r="H100" s="2">
        <v>87</v>
      </c>
      <c r="I100" s="2">
        <v>88</v>
      </c>
      <c r="J100" t="str">
        <f t="shared" si="4"/>
        <v>0.18</v>
      </c>
      <c r="K100" t="str" cm="1">
        <f t="array" ref="K100">_xlfn.IFS(E100&gt;55%,"higher humidity",E100&gt;=35%,"medium humidity",E100&lt;35%,"lower humidity")</f>
        <v>medium humidity</v>
      </c>
      <c r="L100">
        <f t="shared" si="5"/>
        <v>5</v>
      </c>
      <c r="M100" t="str">
        <f t="shared" si="6"/>
        <v>good boking</v>
      </c>
    </row>
    <row r="101" spans="1:13" ht="15" thickBot="1" x14ac:dyDescent="0.35">
      <c r="A101" s="2">
        <v>99</v>
      </c>
      <c r="B101" s="2">
        <v>100</v>
      </c>
      <c r="C101" s="4">
        <v>40548</v>
      </c>
      <c r="D101" s="2">
        <v>0.18179999999999999</v>
      </c>
      <c r="E101" s="13">
        <v>0.4</v>
      </c>
      <c r="F101" s="2">
        <v>0.29849999999999999</v>
      </c>
      <c r="G101" s="2">
        <v>3</v>
      </c>
      <c r="H101" s="2">
        <v>192</v>
      </c>
      <c r="I101" s="2">
        <v>195</v>
      </c>
      <c r="J101" t="str">
        <f t="shared" si="4"/>
        <v>0.18</v>
      </c>
      <c r="K101" t="str" cm="1">
        <f t="array" ref="K101">_xlfn.IFS(E101&gt;55%,"higher humidity",E101&gt;=35%,"medium humidity",E101&lt;35%,"lower humidity")</f>
        <v>medium humidity</v>
      </c>
      <c r="L101">
        <f t="shared" si="5"/>
        <v>6</v>
      </c>
      <c r="M101" t="str">
        <f t="shared" si="6"/>
        <v>good boking</v>
      </c>
    </row>
    <row r="102" spans="1:13" ht="15" thickBot="1" x14ac:dyDescent="0.35">
      <c r="A102" s="2">
        <v>100</v>
      </c>
      <c r="B102" s="2">
        <v>101</v>
      </c>
      <c r="C102" s="4">
        <v>40548</v>
      </c>
      <c r="D102" s="2">
        <v>0.19700000000000001</v>
      </c>
      <c r="E102" s="13">
        <v>0.37</v>
      </c>
      <c r="F102" s="2">
        <v>0.32840000000000003</v>
      </c>
      <c r="G102" s="2">
        <v>6</v>
      </c>
      <c r="H102" s="2">
        <v>109</v>
      </c>
      <c r="I102" s="2">
        <v>115</v>
      </c>
      <c r="J102" t="str">
        <f t="shared" si="4"/>
        <v>0.19</v>
      </c>
      <c r="K102" t="str" cm="1">
        <f t="array" ref="K102">_xlfn.IFS(E102&gt;55%,"higher humidity",E102&gt;=35%,"medium humidity",E102&lt;35%,"lower humidity")</f>
        <v>medium humidity</v>
      </c>
      <c r="L102">
        <f t="shared" si="5"/>
        <v>6</v>
      </c>
      <c r="M102" t="str">
        <f t="shared" si="6"/>
        <v>good boking</v>
      </c>
    </row>
    <row r="103" spans="1:13" ht="15" thickBot="1" x14ac:dyDescent="0.35">
      <c r="A103" s="2">
        <v>101</v>
      </c>
      <c r="B103" s="2">
        <v>102</v>
      </c>
      <c r="C103" s="4">
        <v>40548</v>
      </c>
      <c r="D103" s="2">
        <v>0.19700000000000001</v>
      </c>
      <c r="E103" s="13">
        <v>0.37</v>
      </c>
      <c r="F103" s="2">
        <v>0.32840000000000003</v>
      </c>
      <c r="G103" s="2">
        <v>4</v>
      </c>
      <c r="H103" s="2">
        <v>53</v>
      </c>
      <c r="I103" s="2">
        <v>57</v>
      </c>
      <c r="J103" t="str">
        <f t="shared" si="4"/>
        <v>0.19</v>
      </c>
      <c r="K103" t="str" cm="1">
        <f t="array" ref="K103">_xlfn.IFS(E103&gt;55%,"higher humidity",E103&gt;=35%,"medium humidity",E103&lt;35%,"lower humidity")</f>
        <v>medium humidity</v>
      </c>
      <c r="L103">
        <f t="shared" si="5"/>
        <v>6</v>
      </c>
      <c r="M103" t="str">
        <f t="shared" si="6"/>
        <v>good boking</v>
      </c>
    </row>
    <row r="104" spans="1:13" ht="15" thickBot="1" x14ac:dyDescent="0.35">
      <c r="A104" s="2">
        <v>102</v>
      </c>
      <c r="B104" s="2">
        <v>103</v>
      </c>
      <c r="C104" s="4">
        <v>40548</v>
      </c>
      <c r="D104" s="2">
        <v>0.2273</v>
      </c>
      <c r="E104" s="13">
        <v>0.33</v>
      </c>
      <c r="F104" s="2">
        <v>0.32840000000000003</v>
      </c>
      <c r="G104" s="2">
        <v>12</v>
      </c>
      <c r="H104" s="2">
        <v>34</v>
      </c>
      <c r="I104" s="2">
        <v>46</v>
      </c>
      <c r="J104" t="str">
        <f t="shared" si="4"/>
        <v>0.22</v>
      </c>
      <c r="K104" t="str" cm="1">
        <f t="array" ref="K104">_xlfn.IFS(E104&gt;55%,"higher humidity",E104&gt;=35%,"medium humidity",E104&lt;35%,"lower humidity")</f>
        <v>lower humidity</v>
      </c>
      <c r="L104">
        <f t="shared" si="5"/>
        <v>6</v>
      </c>
      <c r="M104" t="str">
        <f t="shared" si="6"/>
        <v>good boking</v>
      </c>
    </row>
    <row r="105" spans="1:13" ht="15" thickBot="1" x14ac:dyDescent="0.35">
      <c r="A105" s="2">
        <v>103</v>
      </c>
      <c r="B105" s="2">
        <v>104</v>
      </c>
      <c r="C105" s="4">
        <v>40548</v>
      </c>
      <c r="D105" s="2">
        <v>0.2273</v>
      </c>
      <c r="E105" s="13">
        <v>0.33</v>
      </c>
      <c r="F105" s="2">
        <v>0.32840000000000003</v>
      </c>
      <c r="G105" s="2">
        <v>5</v>
      </c>
      <c r="H105" s="2">
        <v>74</v>
      </c>
      <c r="I105" s="2">
        <v>79</v>
      </c>
      <c r="J105" t="str">
        <f t="shared" si="4"/>
        <v>0.22</v>
      </c>
      <c r="K105" t="str" cm="1">
        <f t="array" ref="K105">_xlfn.IFS(E105&gt;55%,"higher humidity",E105&gt;=35%,"medium humidity",E105&lt;35%,"lower humidity")</f>
        <v>lower humidity</v>
      </c>
      <c r="L105">
        <f t="shared" si="5"/>
        <v>6</v>
      </c>
      <c r="M105" t="str">
        <f t="shared" si="6"/>
        <v>good boking</v>
      </c>
    </row>
    <row r="106" spans="1:13" ht="15" thickBot="1" x14ac:dyDescent="0.35">
      <c r="A106" s="2">
        <v>104</v>
      </c>
      <c r="B106" s="2">
        <v>105</v>
      </c>
      <c r="C106" s="4">
        <v>40548</v>
      </c>
      <c r="D106" s="2">
        <v>0.2576</v>
      </c>
      <c r="E106" s="13">
        <v>0.3</v>
      </c>
      <c r="F106" s="2">
        <v>0.29849999999999999</v>
      </c>
      <c r="G106" s="2">
        <v>6</v>
      </c>
      <c r="H106" s="2">
        <v>65</v>
      </c>
      <c r="I106" s="2">
        <v>71</v>
      </c>
      <c r="J106" t="str">
        <f t="shared" si="4"/>
        <v>0.25</v>
      </c>
      <c r="K106" t="str" cm="1">
        <f t="array" ref="K106">_xlfn.IFS(E106&gt;55%,"higher humidity",E106&gt;=35%,"medium humidity",E106&lt;35%,"lower humidity")</f>
        <v>lower humidity</v>
      </c>
      <c r="L106">
        <f t="shared" si="5"/>
        <v>6</v>
      </c>
      <c r="M106" t="str">
        <f t="shared" si="6"/>
        <v>good boking</v>
      </c>
    </row>
    <row r="107" spans="1:13" ht="15" thickBot="1" x14ac:dyDescent="0.35">
      <c r="A107" s="2">
        <v>105</v>
      </c>
      <c r="B107" s="2">
        <v>106</v>
      </c>
      <c r="C107" s="4">
        <v>40548</v>
      </c>
      <c r="D107" s="2">
        <v>0.28789999999999999</v>
      </c>
      <c r="E107" s="13">
        <v>0.28000000000000003</v>
      </c>
      <c r="F107" s="2">
        <v>0.19400000000000001</v>
      </c>
      <c r="G107" s="2">
        <v>10</v>
      </c>
      <c r="H107" s="2">
        <v>52</v>
      </c>
      <c r="I107" s="2">
        <v>62</v>
      </c>
      <c r="J107" t="str">
        <f t="shared" si="4"/>
        <v>0.28</v>
      </c>
      <c r="K107" t="str" cm="1">
        <f t="array" ref="K107">_xlfn.IFS(E107&gt;55%,"higher humidity",E107&gt;=35%,"medium humidity",E107&lt;35%,"lower humidity")</f>
        <v>lower humidity</v>
      </c>
      <c r="L107">
        <f t="shared" si="5"/>
        <v>5</v>
      </c>
      <c r="M107" t="str">
        <f t="shared" si="6"/>
        <v>good boking</v>
      </c>
    </row>
    <row r="108" spans="1:13" ht="15" thickBot="1" x14ac:dyDescent="0.35">
      <c r="A108" s="2">
        <v>106</v>
      </c>
      <c r="B108" s="2">
        <v>107</v>
      </c>
      <c r="C108" s="4">
        <v>40548</v>
      </c>
      <c r="D108" s="2">
        <v>0.28789999999999999</v>
      </c>
      <c r="E108" s="13">
        <v>0.28000000000000003</v>
      </c>
      <c r="F108" s="2">
        <v>0.19400000000000001</v>
      </c>
      <c r="G108" s="2">
        <v>7</v>
      </c>
      <c r="H108" s="2">
        <v>55</v>
      </c>
      <c r="I108" s="2">
        <v>62</v>
      </c>
      <c r="J108" t="str">
        <f t="shared" si="4"/>
        <v>0.28</v>
      </c>
      <c r="K108" t="str" cm="1">
        <f t="array" ref="K108">_xlfn.IFS(E108&gt;55%,"higher humidity",E108&gt;=35%,"medium humidity",E108&lt;35%,"lower humidity")</f>
        <v>lower humidity</v>
      </c>
      <c r="L108">
        <f t="shared" si="5"/>
        <v>5</v>
      </c>
      <c r="M108" t="str">
        <f t="shared" si="6"/>
        <v>good boking</v>
      </c>
    </row>
    <row r="109" spans="1:13" ht="15" thickBot="1" x14ac:dyDescent="0.35">
      <c r="A109" s="2">
        <v>107</v>
      </c>
      <c r="B109" s="2">
        <v>108</v>
      </c>
      <c r="C109" s="4">
        <v>40548</v>
      </c>
      <c r="D109" s="2">
        <v>0.31819999999999998</v>
      </c>
      <c r="E109" s="13">
        <v>0.28000000000000003</v>
      </c>
      <c r="F109" s="2">
        <v>8.9599999999999999E-2</v>
      </c>
      <c r="G109" s="2">
        <v>4</v>
      </c>
      <c r="H109" s="2">
        <v>85</v>
      </c>
      <c r="I109" s="2">
        <v>89</v>
      </c>
      <c r="J109" t="str">
        <f t="shared" si="4"/>
        <v>0.31</v>
      </c>
      <c r="K109" t="str" cm="1">
        <f t="array" ref="K109">_xlfn.IFS(E109&gt;55%,"higher humidity",E109&gt;=35%,"medium humidity",E109&lt;35%,"lower humidity")</f>
        <v>lower humidity</v>
      </c>
      <c r="L109">
        <f t="shared" si="5"/>
        <v>6</v>
      </c>
      <c r="M109" t="str">
        <f t="shared" si="6"/>
        <v>good boking</v>
      </c>
    </row>
    <row r="110" spans="1:13" ht="15" thickBot="1" x14ac:dyDescent="0.35">
      <c r="A110" s="2">
        <v>108</v>
      </c>
      <c r="B110" s="2">
        <v>109</v>
      </c>
      <c r="C110" s="4">
        <v>40548</v>
      </c>
      <c r="D110" s="2">
        <v>0.2273</v>
      </c>
      <c r="E110" s="13">
        <v>0.38</v>
      </c>
      <c r="F110" s="2">
        <v>0.19400000000000001</v>
      </c>
      <c r="G110" s="2">
        <v>4</v>
      </c>
      <c r="H110" s="2">
        <v>186</v>
      </c>
      <c r="I110" s="2">
        <v>190</v>
      </c>
      <c r="J110" t="str">
        <f t="shared" si="4"/>
        <v>0.22</v>
      </c>
      <c r="K110" t="str" cm="1">
        <f t="array" ref="K110">_xlfn.IFS(E110&gt;55%,"higher humidity",E110&gt;=35%,"medium humidity",E110&lt;35%,"lower humidity")</f>
        <v>medium humidity</v>
      </c>
      <c r="L110">
        <f t="shared" si="5"/>
        <v>5</v>
      </c>
      <c r="M110" t="str">
        <f t="shared" si="6"/>
        <v>good boking</v>
      </c>
    </row>
    <row r="111" spans="1:13" ht="15" thickBot="1" x14ac:dyDescent="0.35">
      <c r="A111" s="2">
        <v>109</v>
      </c>
      <c r="B111" s="2">
        <v>110</v>
      </c>
      <c r="C111" s="4">
        <v>40548</v>
      </c>
      <c r="D111" s="2">
        <v>0.2424</v>
      </c>
      <c r="E111" s="13">
        <v>0.38</v>
      </c>
      <c r="F111" s="2">
        <v>0.1343</v>
      </c>
      <c r="G111" s="2">
        <v>3</v>
      </c>
      <c r="H111" s="2">
        <v>166</v>
      </c>
      <c r="I111" s="2">
        <v>169</v>
      </c>
      <c r="J111" t="str">
        <f t="shared" si="4"/>
        <v>0.24</v>
      </c>
      <c r="K111" t="str" cm="1">
        <f t="array" ref="K111">_xlfn.IFS(E111&gt;55%,"higher humidity",E111&gt;=35%,"medium humidity",E111&lt;35%,"lower humidity")</f>
        <v>medium humidity</v>
      </c>
      <c r="L111">
        <f t="shared" si="5"/>
        <v>6</v>
      </c>
      <c r="M111" t="str">
        <f t="shared" si="6"/>
        <v>good boking</v>
      </c>
    </row>
    <row r="112" spans="1:13" ht="15" thickBot="1" x14ac:dyDescent="0.35">
      <c r="A112" s="2">
        <v>110</v>
      </c>
      <c r="B112" s="2">
        <v>111</v>
      </c>
      <c r="C112" s="4">
        <v>40548</v>
      </c>
      <c r="D112" s="2">
        <v>0.2576</v>
      </c>
      <c r="E112" s="13">
        <v>0.38</v>
      </c>
      <c r="F112" s="2">
        <v>0.1045</v>
      </c>
      <c r="G112" s="2">
        <v>5</v>
      </c>
      <c r="H112" s="2">
        <v>127</v>
      </c>
      <c r="I112" s="2">
        <v>132</v>
      </c>
      <c r="J112" t="str">
        <f t="shared" si="4"/>
        <v>0.25</v>
      </c>
      <c r="K112" t="str" cm="1">
        <f t="array" ref="K112">_xlfn.IFS(E112&gt;55%,"higher humidity",E112&gt;=35%,"medium humidity",E112&lt;35%,"lower humidity")</f>
        <v>medium humidity</v>
      </c>
      <c r="L112">
        <f t="shared" si="5"/>
        <v>6</v>
      </c>
      <c r="M112" t="str">
        <f t="shared" si="6"/>
        <v>good boking</v>
      </c>
    </row>
    <row r="113" spans="1:13" ht="15" thickBot="1" x14ac:dyDescent="0.35">
      <c r="A113" s="2">
        <v>111</v>
      </c>
      <c r="B113" s="2">
        <v>112</v>
      </c>
      <c r="C113" s="4">
        <v>40548</v>
      </c>
      <c r="D113" s="2">
        <v>0.2273</v>
      </c>
      <c r="E113" s="13">
        <v>0.47</v>
      </c>
      <c r="F113" s="2">
        <v>0.16420000000000001</v>
      </c>
      <c r="G113" s="2">
        <v>7</v>
      </c>
      <c r="H113" s="2">
        <v>82</v>
      </c>
      <c r="I113" s="2">
        <v>89</v>
      </c>
      <c r="J113" t="str">
        <f t="shared" si="4"/>
        <v>0.22</v>
      </c>
      <c r="K113" t="str" cm="1">
        <f t="array" ref="K113">_xlfn.IFS(E113&gt;55%,"higher humidity",E113&gt;=35%,"medium humidity",E113&lt;35%,"lower humidity")</f>
        <v>medium humidity</v>
      </c>
      <c r="L113">
        <f t="shared" si="5"/>
        <v>6</v>
      </c>
      <c r="M113" t="str">
        <f t="shared" si="6"/>
        <v>good boking</v>
      </c>
    </row>
    <row r="114" spans="1:13" ht="15" thickBot="1" x14ac:dyDescent="0.35">
      <c r="A114" s="2">
        <v>112</v>
      </c>
      <c r="B114" s="2">
        <v>113</v>
      </c>
      <c r="C114" s="4">
        <v>40548</v>
      </c>
      <c r="D114" s="2">
        <v>0.19700000000000001</v>
      </c>
      <c r="E114" s="13">
        <v>0.51</v>
      </c>
      <c r="F114" s="2">
        <v>0.19400000000000001</v>
      </c>
      <c r="G114" s="2">
        <v>3</v>
      </c>
      <c r="H114" s="2">
        <v>40</v>
      </c>
      <c r="I114" s="2">
        <v>43</v>
      </c>
      <c r="J114" t="str">
        <f t="shared" si="4"/>
        <v>0.19</v>
      </c>
      <c r="K114" t="str" cm="1">
        <f t="array" ref="K114">_xlfn.IFS(E114&gt;55%,"higher humidity",E114&gt;=35%,"medium humidity",E114&lt;35%,"lower humidity")</f>
        <v>medium humidity</v>
      </c>
      <c r="L114">
        <f t="shared" si="5"/>
        <v>5</v>
      </c>
      <c r="M114" t="str">
        <f t="shared" si="6"/>
        <v>good boking</v>
      </c>
    </row>
    <row r="115" spans="1:13" ht="15" thickBot="1" x14ac:dyDescent="0.35">
      <c r="A115" s="2">
        <v>113</v>
      </c>
      <c r="B115" s="2">
        <v>114</v>
      </c>
      <c r="C115" s="4">
        <v>40548</v>
      </c>
      <c r="D115" s="2">
        <v>0.19700000000000001</v>
      </c>
      <c r="E115" s="13">
        <v>0.55000000000000004</v>
      </c>
      <c r="F115" s="2">
        <v>0.1343</v>
      </c>
      <c r="G115" s="2">
        <v>1</v>
      </c>
      <c r="H115" s="2">
        <v>41</v>
      </c>
      <c r="I115" s="2">
        <v>42</v>
      </c>
      <c r="J115" t="str">
        <f t="shared" si="4"/>
        <v>0.19</v>
      </c>
      <c r="K115" t="str" cm="1">
        <f t="array" ref="K115">_xlfn.IFS(E115&gt;55%,"higher humidity",E115&gt;=35%,"medium humidity",E115&lt;35%,"lower humidity")</f>
        <v>medium humidity</v>
      </c>
      <c r="L115">
        <f t="shared" si="5"/>
        <v>6</v>
      </c>
      <c r="M115" t="str">
        <f t="shared" si="6"/>
        <v>good boking</v>
      </c>
    </row>
    <row r="116" spans="1:13" ht="15" thickBot="1" x14ac:dyDescent="0.35">
      <c r="A116" s="2">
        <v>114</v>
      </c>
      <c r="B116" s="2">
        <v>115</v>
      </c>
      <c r="C116" s="4">
        <v>40548</v>
      </c>
      <c r="D116" s="2">
        <v>0.2576</v>
      </c>
      <c r="E116" s="13">
        <v>0.47</v>
      </c>
      <c r="F116" s="2">
        <v>0</v>
      </c>
      <c r="G116" s="2">
        <v>1</v>
      </c>
      <c r="H116" s="2">
        <v>18</v>
      </c>
      <c r="I116" s="2">
        <v>19</v>
      </c>
      <c r="J116" t="str">
        <f t="shared" si="4"/>
        <v>0.25</v>
      </c>
      <c r="K116" t="str" cm="1">
        <f t="array" ref="K116">_xlfn.IFS(E116&gt;55%,"higher humidity",E116&gt;=35%,"medium humidity",E116&lt;35%,"lower humidity")</f>
        <v>medium humidity</v>
      </c>
      <c r="L116">
        <f t="shared" si="5"/>
        <v>1</v>
      </c>
      <c r="M116" t="str">
        <f t="shared" si="6"/>
        <v>Bad booking</v>
      </c>
    </row>
    <row r="117" spans="1:13" ht="15" thickBot="1" x14ac:dyDescent="0.35">
      <c r="A117" s="2">
        <v>115</v>
      </c>
      <c r="B117" s="2">
        <v>116</v>
      </c>
      <c r="C117" s="4">
        <v>40549</v>
      </c>
      <c r="D117" s="2">
        <v>0.2424</v>
      </c>
      <c r="E117" s="13">
        <v>0.55000000000000004</v>
      </c>
      <c r="F117" s="2">
        <v>0</v>
      </c>
      <c r="G117" s="2">
        <v>0</v>
      </c>
      <c r="H117" s="2">
        <v>11</v>
      </c>
      <c r="I117" s="2">
        <v>11</v>
      </c>
      <c r="J117" t="str">
        <f t="shared" si="4"/>
        <v>0.24</v>
      </c>
      <c r="K117" t="str" cm="1">
        <f t="array" ref="K117">_xlfn.IFS(E117&gt;55%,"higher humidity",E117&gt;=35%,"medium humidity",E117&lt;35%,"lower humidity")</f>
        <v>medium humidity</v>
      </c>
      <c r="L117">
        <f t="shared" si="5"/>
        <v>1</v>
      </c>
      <c r="M117" t="str">
        <f t="shared" si="6"/>
        <v>Bad booking</v>
      </c>
    </row>
    <row r="118" spans="1:13" ht="15" thickBot="1" x14ac:dyDescent="0.35">
      <c r="A118" s="2">
        <v>116</v>
      </c>
      <c r="B118" s="2">
        <v>117</v>
      </c>
      <c r="C118" s="4">
        <v>40549</v>
      </c>
      <c r="D118" s="2">
        <v>0.2273</v>
      </c>
      <c r="E118" s="13">
        <v>0.64</v>
      </c>
      <c r="F118" s="2">
        <v>0</v>
      </c>
      <c r="G118" s="2">
        <v>0</v>
      </c>
      <c r="H118" s="2">
        <v>4</v>
      </c>
      <c r="I118" s="2">
        <v>4</v>
      </c>
      <c r="J118" t="str">
        <f t="shared" si="4"/>
        <v>0.22</v>
      </c>
      <c r="K118" t="str" cm="1">
        <f t="array" ref="K118">_xlfn.IFS(E118&gt;55%,"higher humidity",E118&gt;=35%,"medium humidity",E118&lt;35%,"lower humidity")</f>
        <v>higher humidity</v>
      </c>
      <c r="L118">
        <f t="shared" si="5"/>
        <v>1</v>
      </c>
      <c r="M118" t="str">
        <f t="shared" si="6"/>
        <v>Bad booking</v>
      </c>
    </row>
    <row r="119" spans="1:13" ht="15" thickBot="1" x14ac:dyDescent="0.35">
      <c r="A119" s="2">
        <v>117</v>
      </c>
      <c r="B119" s="2">
        <v>118</v>
      </c>
      <c r="C119" s="4">
        <v>40549</v>
      </c>
      <c r="D119" s="2">
        <v>0.2273</v>
      </c>
      <c r="E119" s="13">
        <v>0.64</v>
      </c>
      <c r="F119" s="2">
        <v>0</v>
      </c>
      <c r="G119" s="2">
        <v>0</v>
      </c>
      <c r="H119" s="2">
        <v>2</v>
      </c>
      <c r="I119" s="2">
        <v>2</v>
      </c>
      <c r="J119" t="str">
        <f t="shared" si="4"/>
        <v>0.22</v>
      </c>
      <c r="K119" t="str" cm="1">
        <f t="array" ref="K119">_xlfn.IFS(E119&gt;55%,"higher humidity",E119&gt;=35%,"medium humidity",E119&lt;35%,"lower humidity")</f>
        <v>higher humidity</v>
      </c>
      <c r="L119">
        <f t="shared" si="5"/>
        <v>1</v>
      </c>
      <c r="M119" t="str">
        <f t="shared" si="6"/>
        <v>Bad booking</v>
      </c>
    </row>
    <row r="120" spans="1:13" ht="15" thickBot="1" x14ac:dyDescent="0.35">
      <c r="A120" s="2">
        <v>118</v>
      </c>
      <c r="B120" s="2">
        <v>119</v>
      </c>
      <c r="C120" s="4">
        <v>40549</v>
      </c>
      <c r="D120" s="2">
        <v>0.19700000000000001</v>
      </c>
      <c r="E120" s="13">
        <v>0.64</v>
      </c>
      <c r="F120" s="2">
        <v>8.9599999999999999E-2</v>
      </c>
      <c r="G120" s="2">
        <v>0</v>
      </c>
      <c r="H120" s="2">
        <v>1</v>
      </c>
      <c r="I120" s="2">
        <v>1</v>
      </c>
      <c r="J120" t="str">
        <f t="shared" si="4"/>
        <v>0.19</v>
      </c>
      <c r="K120" t="str" cm="1">
        <f t="array" ref="K120">_xlfn.IFS(E120&gt;55%,"higher humidity",E120&gt;=35%,"medium humidity",E120&lt;35%,"lower humidity")</f>
        <v>higher humidity</v>
      </c>
      <c r="L120">
        <f t="shared" si="5"/>
        <v>6</v>
      </c>
      <c r="M120" t="str">
        <f t="shared" si="6"/>
        <v>Bad booking</v>
      </c>
    </row>
    <row r="121" spans="1:13" ht="15" thickBot="1" x14ac:dyDescent="0.35">
      <c r="A121" s="2">
        <v>119</v>
      </c>
      <c r="B121" s="2">
        <v>120</v>
      </c>
      <c r="C121" s="4">
        <v>40549</v>
      </c>
      <c r="D121" s="2">
        <v>0.18179999999999999</v>
      </c>
      <c r="E121" s="13">
        <v>0.69</v>
      </c>
      <c r="F121" s="2">
        <v>8.9599999999999999E-2</v>
      </c>
      <c r="G121" s="2">
        <v>0</v>
      </c>
      <c r="H121" s="2">
        <v>4</v>
      </c>
      <c r="I121" s="2">
        <v>4</v>
      </c>
      <c r="J121" t="str">
        <f t="shared" si="4"/>
        <v>0.18</v>
      </c>
      <c r="K121" t="str" cm="1">
        <f t="array" ref="K121">_xlfn.IFS(E121&gt;55%,"higher humidity",E121&gt;=35%,"medium humidity",E121&lt;35%,"lower humidity")</f>
        <v>higher humidity</v>
      </c>
      <c r="L121">
        <f t="shared" si="5"/>
        <v>6</v>
      </c>
      <c r="M121" t="str">
        <f t="shared" si="6"/>
        <v>Bad booking</v>
      </c>
    </row>
    <row r="122" spans="1:13" ht="15" thickBot="1" x14ac:dyDescent="0.35">
      <c r="A122" s="2">
        <v>120</v>
      </c>
      <c r="B122" s="2">
        <v>121</v>
      </c>
      <c r="C122" s="4">
        <v>40549</v>
      </c>
      <c r="D122" s="2">
        <v>0.16669999999999999</v>
      </c>
      <c r="E122" s="13">
        <v>0.63</v>
      </c>
      <c r="F122" s="2">
        <v>0.1045</v>
      </c>
      <c r="G122" s="2">
        <v>0</v>
      </c>
      <c r="H122" s="2">
        <v>36</v>
      </c>
      <c r="I122" s="2">
        <v>36</v>
      </c>
      <c r="J122" t="str">
        <f t="shared" si="4"/>
        <v>0.16</v>
      </c>
      <c r="K122" t="str" cm="1">
        <f t="array" ref="K122">_xlfn.IFS(E122&gt;55%,"higher humidity",E122&gt;=35%,"medium humidity",E122&lt;35%,"lower humidity")</f>
        <v>higher humidity</v>
      </c>
      <c r="L122">
        <f t="shared" si="5"/>
        <v>6</v>
      </c>
      <c r="M122" t="str">
        <f t="shared" si="6"/>
        <v>good boking</v>
      </c>
    </row>
    <row r="123" spans="1:13" ht="15" thickBot="1" x14ac:dyDescent="0.35">
      <c r="A123" s="2">
        <v>121</v>
      </c>
      <c r="B123" s="2">
        <v>122</v>
      </c>
      <c r="C123" s="4">
        <v>40549</v>
      </c>
      <c r="D123" s="2">
        <v>0.2273</v>
      </c>
      <c r="E123" s="13">
        <v>0.59</v>
      </c>
      <c r="F123" s="2">
        <v>0</v>
      </c>
      <c r="G123" s="2">
        <v>0</v>
      </c>
      <c r="H123" s="2">
        <v>95</v>
      </c>
      <c r="I123" s="2">
        <v>95</v>
      </c>
      <c r="J123" t="str">
        <f t="shared" si="4"/>
        <v>0.22</v>
      </c>
      <c r="K123" t="str" cm="1">
        <f t="array" ref="K123">_xlfn.IFS(E123&gt;55%,"higher humidity",E123&gt;=35%,"medium humidity",E123&lt;35%,"lower humidity")</f>
        <v>higher humidity</v>
      </c>
      <c r="L123">
        <f t="shared" si="5"/>
        <v>1</v>
      </c>
      <c r="M123" t="str">
        <f t="shared" si="6"/>
        <v>good boking</v>
      </c>
    </row>
    <row r="124" spans="1:13" ht="15" thickBot="1" x14ac:dyDescent="0.35">
      <c r="A124" s="2">
        <v>122</v>
      </c>
      <c r="B124" s="2">
        <v>123</v>
      </c>
      <c r="C124" s="4">
        <v>40549</v>
      </c>
      <c r="D124" s="2">
        <v>0.2273</v>
      </c>
      <c r="E124" s="13">
        <v>0.59</v>
      </c>
      <c r="F124" s="2">
        <v>0</v>
      </c>
      <c r="G124" s="2">
        <v>3</v>
      </c>
      <c r="H124" s="2">
        <v>216</v>
      </c>
      <c r="I124" s="2">
        <v>219</v>
      </c>
      <c r="J124" t="str">
        <f t="shared" si="4"/>
        <v>0.22</v>
      </c>
      <c r="K124" t="str" cm="1">
        <f t="array" ref="K124">_xlfn.IFS(E124&gt;55%,"higher humidity",E124&gt;=35%,"medium humidity",E124&lt;35%,"lower humidity")</f>
        <v>higher humidity</v>
      </c>
      <c r="L124">
        <f t="shared" si="5"/>
        <v>1</v>
      </c>
      <c r="M124" t="str">
        <f t="shared" si="6"/>
        <v>good boking</v>
      </c>
    </row>
    <row r="125" spans="1:13" ht="15" thickBot="1" x14ac:dyDescent="0.35">
      <c r="A125" s="2">
        <v>123</v>
      </c>
      <c r="B125" s="2">
        <v>124</v>
      </c>
      <c r="C125" s="4">
        <v>40549</v>
      </c>
      <c r="D125" s="2">
        <v>0.2424</v>
      </c>
      <c r="E125" s="13">
        <v>0.51</v>
      </c>
      <c r="F125" s="2">
        <v>0</v>
      </c>
      <c r="G125" s="2">
        <v>6</v>
      </c>
      <c r="H125" s="2">
        <v>116</v>
      </c>
      <c r="I125" s="2">
        <v>122</v>
      </c>
      <c r="J125" t="str">
        <f t="shared" si="4"/>
        <v>0.24</v>
      </c>
      <c r="K125" t="str" cm="1">
        <f t="array" ref="K125">_xlfn.IFS(E125&gt;55%,"higher humidity",E125&gt;=35%,"medium humidity",E125&lt;35%,"lower humidity")</f>
        <v>medium humidity</v>
      </c>
      <c r="L125">
        <f t="shared" si="5"/>
        <v>1</v>
      </c>
      <c r="M125" t="str">
        <f t="shared" si="6"/>
        <v>good boking</v>
      </c>
    </row>
    <row r="126" spans="1:13" ht="15" thickBot="1" x14ac:dyDescent="0.35">
      <c r="A126" s="2">
        <v>124</v>
      </c>
      <c r="B126" s="2">
        <v>125</v>
      </c>
      <c r="C126" s="4">
        <v>40549</v>
      </c>
      <c r="D126" s="2">
        <v>0.2576</v>
      </c>
      <c r="E126" s="13">
        <v>0.47</v>
      </c>
      <c r="F126" s="2">
        <v>0</v>
      </c>
      <c r="G126" s="2">
        <v>3</v>
      </c>
      <c r="H126" s="2">
        <v>42</v>
      </c>
      <c r="I126" s="2">
        <v>45</v>
      </c>
      <c r="J126" t="str">
        <f t="shared" si="4"/>
        <v>0.25</v>
      </c>
      <c r="K126" t="str" cm="1">
        <f t="array" ref="K126">_xlfn.IFS(E126&gt;55%,"higher humidity",E126&gt;=35%,"medium humidity",E126&lt;35%,"lower humidity")</f>
        <v>medium humidity</v>
      </c>
      <c r="L126">
        <f t="shared" si="5"/>
        <v>1</v>
      </c>
      <c r="M126" t="str">
        <f t="shared" si="6"/>
        <v>good boking</v>
      </c>
    </row>
    <row r="127" spans="1:13" ht="15" thickBot="1" x14ac:dyDescent="0.35">
      <c r="A127" s="2">
        <v>125</v>
      </c>
      <c r="B127" s="2">
        <v>126</v>
      </c>
      <c r="C127" s="4">
        <v>40549</v>
      </c>
      <c r="D127" s="2">
        <v>0.2576</v>
      </c>
      <c r="E127" s="13">
        <v>0.44</v>
      </c>
      <c r="F127" s="2">
        <v>8.9599999999999999E-2</v>
      </c>
      <c r="G127" s="2">
        <v>2</v>
      </c>
      <c r="H127" s="2">
        <v>57</v>
      </c>
      <c r="I127" s="2">
        <v>59</v>
      </c>
      <c r="J127" t="str">
        <f t="shared" si="4"/>
        <v>0.25</v>
      </c>
      <c r="K127" t="str" cm="1">
        <f t="array" ref="K127">_xlfn.IFS(E127&gt;55%,"higher humidity",E127&gt;=35%,"medium humidity",E127&lt;35%,"lower humidity")</f>
        <v>medium humidity</v>
      </c>
      <c r="L127">
        <f t="shared" si="5"/>
        <v>6</v>
      </c>
      <c r="M127" t="str">
        <f t="shared" si="6"/>
        <v>good boking</v>
      </c>
    </row>
    <row r="128" spans="1:13" ht="15" thickBot="1" x14ac:dyDescent="0.35">
      <c r="A128" s="2">
        <v>126</v>
      </c>
      <c r="B128" s="2">
        <v>127</v>
      </c>
      <c r="C128" s="4">
        <v>40549</v>
      </c>
      <c r="D128" s="2">
        <v>0.28789999999999999</v>
      </c>
      <c r="E128" s="13">
        <v>0.35</v>
      </c>
      <c r="F128" s="2">
        <v>0</v>
      </c>
      <c r="G128" s="2">
        <v>6</v>
      </c>
      <c r="H128" s="2">
        <v>78</v>
      </c>
      <c r="I128" s="2">
        <v>84</v>
      </c>
      <c r="J128" t="str">
        <f t="shared" si="4"/>
        <v>0.28</v>
      </c>
      <c r="K128" t="str" cm="1">
        <f t="array" ref="K128">_xlfn.IFS(E128&gt;55%,"higher humidity",E128&gt;=35%,"medium humidity",E128&lt;35%,"lower humidity")</f>
        <v>medium humidity</v>
      </c>
      <c r="L128">
        <f t="shared" si="5"/>
        <v>1</v>
      </c>
      <c r="M128" t="str">
        <f t="shared" si="6"/>
        <v>good boking</v>
      </c>
    </row>
    <row r="129" spans="1:13" ht="15" thickBot="1" x14ac:dyDescent="0.35">
      <c r="A129" s="2">
        <v>127</v>
      </c>
      <c r="B129" s="2">
        <v>128</v>
      </c>
      <c r="C129" s="4">
        <v>40549</v>
      </c>
      <c r="D129" s="2">
        <v>0.2727</v>
      </c>
      <c r="E129" s="13">
        <v>0.35</v>
      </c>
      <c r="F129" s="2">
        <v>0.1045</v>
      </c>
      <c r="G129" s="2">
        <v>12</v>
      </c>
      <c r="H129" s="2">
        <v>55</v>
      </c>
      <c r="I129" s="2">
        <v>67</v>
      </c>
      <c r="J129" t="str">
        <f t="shared" si="4"/>
        <v>0.27</v>
      </c>
      <c r="K129" t="str" cm="1">
        <f t="array" ref="K129">_xlfn.IFS(E129&gt;55%,"higher humidity",E129&gt;=35%,"medium humidity",E129&lt;35%,"lower humidity")</f>
        <v>medium humidity</v>
      </c>
      <c r="L129">
        <f t="shared" si="5"/>
        <v>6</v>
      </c>
      <c r="M129" t="str">
        <f t="shared" si="6"/>
        <v>good boking</v>
      </c>
    </row>
    <row r="130" spans="1:13" ht="15" thickBot="1" x14ac:dyDescent="0.35">
      <c r="A130" s="2">
        <v>128</v>
      </c>
      <c r="B130" s="2">
        <v>129</v>
      </c>
      <c r="C130" s="4">
        <v>40549</v>
      </c>
      <c r="D130" s="2">
        <v>0.2727</v>
      </c>
      <c r="E130" s="13">
        <v>0.36</v>
      </c>
      <c r="F130" s="2">
        <v>0.16420000000000001</v>
      </c>
      <c r="G130" s="2">
        <v>11</v>
      </c>
      <c r="H130" s="2">
        <v>59</v>
      </c>
      <c r="I130" s="2">
        <v>70</v>
      </c>
      <c r="J130" t="str">
        <f t="shared" si="4"/>
        <v>0.27</v>
      </c>
      <c r="K130" t="str" cm="1">
        <f t="array" ref="K130">_xlfn.IFS(E130&gt;55%,"higher humidity",E130&gt;=35%,"medium humidity",E130&lt;35%,"lower humidity")</f>
        <v>medium humidity</v>
      </c>
      <c r="L130">
        <f t="shared" si="5"/>
        <v>6</v>
      </c>
      <c r="M130" t="str">
        <f t="shared" si="6"/>
        <v>good boking</v>
      </c>
    </row>
    <row r="131" spans="1:13" ht="15" thickBot="1" x14ac:dyDescent="0.35">
      <c r="A131" s="2">
        <v>129</v>
      </c>
      <c r="B131" s="2">
        <v>130</v>
      </c>
      <c r="C131" s="4">
        <v>40549</v>
      </c>
      <c r="D131" s="2">
        <v>0.2727</v>
      </c>
      <c r="E131" s="13">
        <v>0.36</v>
      </c>
      <c r="F131" s="2">
        <v>0</v>
      </c>
      <c r="G131" s="2">
        <v>8</v>
      </c>
      <c r="H131" s="2">
        <v>54</v>
      </c>
      <c r="I131" s="2">
        <v>62</v>
      </c>
      <c r="J131" t="str">
        <f t="shared" ref="J131:J194" si="7">LEFT(D131,4)</f>
        <v>0.27</v>
      </c>
      <c r="K131" t="str" cm="1">
        <f t="array" ref="K131">_xlfn.IFS(E131&gt;55%,"higher humidity",E131&gt;=35%,"medium humidity",E131&lt;35%,"lower humidity")</f>
        <v>medium humidity</v>
      </c>
      <c r="L131">
        <f t="shared" ref="L131:L194" si="8">LEN(F131)</f>
        <v>1</v>
      </c>
      <c r="M131" t="str">
        <f t="shared" ref="M131:M194" si="9">IF(H131&gt;30,"good boking","Bad booking")</f>
        <v>good boking</v>
      </c>
    </row>
    <row r="132" spans="1:13" ht="15" thickBot="1" x14ac:dyDescent="0.35">
      <c r="A132" s="2">
        <v>130</v>
      </c>
      <c r="B132" s="2">
        <v>131</v>
      </c>
      <c r="C132" s="4">
        <v>40549</v>
      </c>
      <c r="D132" s="2">
        <v>0.2576</v>
      </c>
      <c r="E132" s="13">
        <v>0.38</v>
      </c>
      <c r="F132" s="2">
        <v>0.16420000000000001</v>
      </c>
      <c r="G132" s="2">
        <v>12</v>
      </c>
      <c r="H132" s="2">
        <v>74</v>
      </c>
      <c r="I132" s="2">
        <v>86</v>
      </c>
      <c r="J132" t="str">
        <f t="shared" si="7"/>
        <v>0.25</v>
      </c>
      <c r="K132" t="str" cm="1">
        <f t="array" ref="K132">_xlfn.IFS(E132&gt;55%,"higher humidity",E132&gt;=35%,"medium humidity",E132&lt;35%,"lower humidity")</f>
        <v>medium humidity</v>
      </c>
      <c r="L132">
        <f t="shared" si="8"/>
        <v>6</v>
      </c>
      <c r="M132" t="str">
        <f t="shared" si="9"/>
        <v>good boking</v>
      </c>
    </row>
    <row r="133" spans="1:13" ht="15" thickBot="1" x14ac:dyDescent="0.35">
      <c r="A133" s="2">
        <v>131</v>
      </c>
      <c r="B133" s="2">
        <v>132</v>
      </c>
      <c r="C133" s="4">
        <v>40549</v>
      </c>
      <c r="D133" s="2">
        <v>0.2273</v>
      </c>
      <c r="E133" s="13">
        <v>0.51</v>
      </c>
      <c r="F133" s="2">
        <v>0.16420000000000001</v>
      </c>
      <c r="G133" s="2">
        <v>9</v>
      </c>
      <c r="H133" s="2">
        <v>163</v>
      </c>
      <c r="I133" s="2">
        <v>172</v>
      </c>
      <c r="J133" t="str">
        <f t="shared" si="7"/>
        <v>0.22</v>
      </c>
      <c r="K133" t="str" cm="1">
        <f t="array" ref="K133">_xlfn.IFS(E133&gt;55%,"higher humidity",E133&gt;=35%,"medium humidity",E133&lt;35%,"lower humidity")</f>
        <v>medium humidity</v>
      </c>
      <c r="L133">
        <f t="shared" si="8"/>
        <v>6</v>
      </c>
      <c r="M133" t="str">
        <f t="shared" si="9"/>
        <v>good boking</v>
      </c>
    </row>
    <row r="134" spans="1:13" ht="15" thickBot="1" x14ac:dyDescent="0.35">
      <c r="A134" s="2">
        <v>132</v>
      </c>
      <c r="B134" s="2">
        <v>133</v>
      </c>
      <c r="C134" s="4">
        <v>40549</v>
      </c>
      <c r="D134" s="2">
        <v>0.2273</v>
      </c>
      <c r="E134" s="13">
        <v>0.51</v>
      </c>
      <c r="F134" s="2">
        <v>0.1343</v>
      </c>
      <c r="G134" s="2">
        <v>5</v>
      </c>
      <c r="H134" s="2">
        <v>158</v>
      </c>
      <c r="I134" s="2">
        <v>163</v>
      </c>
      <c r="J134" t="str">
        <f t="shared" si="7"/>
        <v>0.22</v>
      </c>
      <c r="K134" t="str" cm="1">
        <f t="array" ref="K134">_xlfn.IFS(E134&gt;55%,"higher humidity",E134&gt;=35%,"medium humidity",E134&lt;35%,"lower humidity")</f>
        <v>medium humidity</v>
      </c>
      <c r="L134">
        <f t="shared" si="8"/>
        <v>6</v>
      </c>
      <c r="M134" t="str">
        <f t="shared" si="9"/>
        <v>good boking</v>
      </c>
    </row>
    <row r="135" spans="1:13" ht="15" thickBot="1" x14ac:dyDescent="0.35">
      <c r="A135" s="2">
        <v>133</v>
      </c>
      <c r="B135" s="2">
        <v>134</v>
      </c>
      <c r="C135" s="4">
        <v>40549</v>
      </c>
      <c r="D135" s="2">
        <v>0.2576</v>
      </c>
      <c r="E135" s="13">
        <v>0.55000000000000004</v>
      </c>
      <c r="F135" s="2">
        <v>8.9599999999999999E-2</v>
      </c>
      <c r="G135" s="2">
        <v>3</v>
      </c>
      <c r="H135" s="2">
        <v>109</v>
      </c>
      <c r="I135" s="2">
        <v>112</v>
      </c>
      <c r="J135" t="str">
        <f t="shared" si="7"/>
        <v>0.25</v>
      </c>
      <c r="K135" t="str" cm="1">
        <f t="array" ref="K135">_xlfn.IFS(E135&gt;55%,"higher humidity",E135&gt;=35%,"medium humidity",E135&lt;35%,"lower humidity")</f>
        <v>medium humidity</v>
      </c>
      <c r="L135">
        <f t="shared" si="8"/>
        <v>6</v>
      </c>
      <c r="M135" t="str">
        <f t="shared" si="9"/>
        <v>good boking</v>
      </c>
    </row>
    <row r="136" spans="1:13" ht="15" thickBot="1" x14ac:dyDescent="0.35">
      <c r="A136" s="2">
        <v>134</v>
      </c>
      <c r="B136" s="2">
        <v>135</v>
      </c>
      <c r="C136" s="4">
        <v>40549</v>
      </c>
      <c r="D136" s="2">
        <v>0.21210000000000001</v>
      </c>
      <c r="E136" s="13">
        <v>0.51</v>
      </c>
      <c r="F136" s="2">
        <v>0.16420000000000001</v>
      </c>
      <c r="G136" s="2">
        <v>3</v>
      </c>
      <c r="H136" s="2">
        <v>66</v>
      </c>
      <c r="I136" s="2">
        <v>69</v>
      </c>
      <c r="J136" t="str">
        <f t="shared" si="7"/>
        <v>0.21</v>
      </c>
      <c r="K136" t="str" cm="1">
        <f t="array" ref="K136">_xlfn.IFS(E136&gt;55%,"higher humidity",E136&gt;=35%,"medium humidity",E136&lt;35%,"lower humidity")</f>
        <v>medium humidity</v>
      </c>
      <c r="L136">
        <f t="shared" si="8"/>
        <v>6</v>
      </c>
      <c r="M136" t="str">
        <f t="shared" si="9"/>
        <v>good boking</v>
      </c>
    </row>
    <row r="137" spans="1:13" ht="15" thickBot="1" x14ac:dyDescent="0.35">
      <c r="A137" s="2">
        <v>135</v>
      </c>
      <c r="B137" s="2">
        <v>136</v>
      </c>
      <c r="C137" s="4">
        <v>40549</v>
      </c>
      <c r="D137" s="2">
        <v>0.21210000000000001</v>
      </c>
      <c r="E137" s="13">
        <v>0.55000000000000004</v>
      </c>
      <c r="F137" s="2">
        <v>0.22389999999999999</v>
      </c>
      <c r="G137" s="2">
        <v>0</v>
      </c>
      <c r="H137" s="2">
        <v>48</v>
      </c>
      <c r="I137" s="2">
        <v>48</v>
      </c>
      <c r="J137" t="str">
        <f t="shared" si="7"/>
        <v>0.21</v>
      </c>
      <c r="K137" t="str" cm="1">
        <f t="array" ref="K137">_xlfn.IFS(E137&gt;55%,"higher humidity",E137&gt;=35%,"medium humidity",E137&lt;35%,"lower humidity")</f>
        <v>medium humidity</v>
      </c>
      <c r="L137">
        <f t="shared" si="8"/>
        <v>6</v>
      </c>
      <c r="M137" t="str">
        <f t="shared" si="9"/>
        <v>good boking</v>
      </c>
    </row>
    <row r="138" spans="1:13" ht="15" thickBot="1" x14ac:dyDescent="0.35">
      <c r="A138" s="2">
        <v>136</v>
      </c>
      <c r="B138" s="2">
        <v>137</v>
      </c>
      <c r="C138" s="4">
        <v>40549</v>
      </c>
      <c r="D138" s="2">
        <v>0.21210000000000001</v>
      </c>
      <c r="E138" s="13">
        <v>0.51</v>
      </c>
      <c r="F138" s="2">
        <v>0.28360000000000002</v>
      </c>
      <c r="G138" s="2">
        <v>1</v>
      </c>
      <c r="H138" s="2">
        <v>51</v>
      </c>
      <c r="I138" s="2">
        <v>52</v>
      </c>
      <c r="J138" t="str">
        <f t="shared" si="7"/>
        <v>0.21</v>
      </c>
      <c r="K138" t="str" cm="1">
        <f t="array" ref="K138">_xlfn.IFS(E138&gt;55%,"higher humidity",E138&gt;=35%,"medium humidity",E138&lt;35%,"lower humidity")</f>
        <v>medium humidity</v>
      </c>
      <c r="L138">
        <f t="shared" si="8"/>
        <v>6</v>
      </c>
      <c r="M138" t="str">
        <f t="shared" si="9"/>
        <v>good boking</v>
      </c>
    </row>
    <row r="139" spans="1:13" ht="15" thickBot="1" x14ac:dyDescent="0.35">
      <c r="A139" s="2">
        <v>137</v>
      </c>
      <c r="B139" s="2">
        <v>138</v>
      </c>
      <c r="C139" s="4">
        <v>40549</v>
      </c>
      <c r="D139" s="2">
        <v>0.19700000000000001</v>
      </c>
      <c r="E139" s="13">
        <v>0.59</v>
      </c>
      <c r="F139" s="2">
        <v>0.19400000000000001</v>
      </c>
      <c r="G139" s="2">
        <v>4</v>
      </c>
      <c r="H139" s="2">
        <v>19</v>
      </c>
      <c r="I139" s="2">
        <v>23</v>
      </c>
      <c r="J139" t="str">
        <f t="shared" si="7"/>
        <v>0.19</v>
      </c>
      <c r="K139" t="str" cm="1">
        <f t="array" ref="K139">_xlfn.IFS(E139&gt;55%,"higher humidity",E139&gt;=35%,"medium humidity",E139&lt;35%,"lower humidity")</f>
        <v>higher humidity</v>
      </c>
      <c r="L139">
        <f t="shared" si="8"/>
        <v>5</v>
      </c>
      <c r="M139" t="str">
        <f t="shared" si="9"/>
        <v>Bad booking</v>
      </c>
    </row>
    <row r="140" spans="1:13" ht="15" thickBot="1" x14ac:dyDescent="0.35">
      <c r="A140" s="2">
        <v>138</v>
      </c>
      <c r="B140" s="2">
        <v>139</v>
      </c>
      <c r="C140" s="4">
        <v>40550</v>
      </c>
      <c r="D140" s="2">
        <v>0.19700000000000001</v>
      </c>
      <c r="E140" s="13">
        <v>0.64</v>
      </c>
      <c r="F140" s="2">
        <v>0.19400000000000001</v>
      </c>
      <c r="G140" s="2">
        <v>4</v>
      </c>
      <c r="H140" s="2">
        <v>13</v>
      </c>
      <c r="I140" s="2">
        <v>17</v>
      </c>
      <c r="J140" t="str">
        <f t="shared" si="7"/>
        <v>0.19</v>
      </c>
      <c r="K140" t="str" cm="1">
        <f t="array" ref="K140">_xlfn.IFS(E140&gt;55%,"higher humidity",E140&gt;=35%,"medium humidity",E140&lt;35%,"lower humidity")</f>
        <v>higher humidity</v>
      </c>
      <c r="L140">
        <f t="shared" si="8"/>
        <v>5</v>
      </c>
      <c r="M140" t="str">
        <f t="shared" si="9"/>
        <v>Bad booking</v>
      </c>
    </row>
    <row r="141" spans="1:13" ht="15" thickBot="1" x14ac:dyDescent="0.35">
      <c r="A141" s="2">
        <v>139</v>
      </c>
      <c r="B141" s="2">
        <v>140</v>
      </c>
      <c r="C141" s="4">
        <v>40550</v>
      </c>
      <c r="D141" s="2">
        <v>0.19700000000000001</v>
      </c>
      <c r="E141" s="13">
        <v>0.69</v>
      </c>
      <c r="F141" s="2">
        <v>0.22389999999999999</v>
      </c>
      <c r="G141" s="2">
        <v>2</v>
      </c>
      <c r="H141" s="2">
        <v>5</v>
      </c>
      <c r="I141" s="2">
        <v>7</v>
      </c>
      <c r="J141" t="str">
        <f t="shared" si="7"/>
        <v>0.19</v>
      </c>
      <c r="K141" t="str" cm="1">
        <f t="array" ref="K141">_xlfn.IFS(E141&gt;55%,"higher humidity",E141&gt;=35%,"medium humidity",E141&lt;35%,"lower humidity")</f>
        <v>higher humidity</v>
      </c>
      <c r="L141">
        <f t="shared" si="8"/>
        <v>6</v>
      </c>
      <c r="M141" t="str">
        <f t="shared" si="9"/>
        <v>Bad booking</v>
      </c>
    </row>
    <row r="142" spans="1:13" ht="15" thickBot="1" x14ac:dyDescent="0.35">
      <c r="A142" s="2">
        <v>140</v>
      </c>
      <c r="B142" s="2">
        <v>141</v>
      </c>
      <c r="C142" s="4">
        <v>40550</v>
      </c>
      <c r="D142" s="2">
        <v>0.19700000000000001</v>
      </c>
      <c r="E142" s="13">
        <v>0.69</v>
      </c>
      <c r="F142" s="2">
        <v>0.22389999999999999</v>
      </c>
      <c r="G142" s="2">
        <v>0</v>
      </c>
      <c r="H142" s="2">
        <v>1</v>
      </c>
      <c r="I142" s="2">
        <v>1</v>
      </c>
      <c r="J142" t="str">
        <f t="shared" si="7"/>
        <v>0.19</v>
      </c>
      <c r="K142" t="str" cm="1">
        <f t="array" ref="K142">_xlfn.IFS(E142&gt;55%,"higher humidity",E142&gt;=35%,"medium humidity",E142&lt;35%,"lower humidity")</f>
        <v>higher humidity</v>
      </c>
      <c r="L142">
        <f t="shared" si="8"/>
        <v>6</v>
      </c>
      <c r="M142" t="str">
        <f t="shared" si="9"/>
        <v>Bad booking</v>
      </c>
    </row>
    <row r="143" spans="1:13" ht="15" thickBot="1" x14ac:dyDescent="0.35">
      <c r="A143" s="2">
        <v>141</v>
      </c>
      <c r="B143" s="2">
        <v>142</v>
      </c>
      <c r="C143" s="4">
        <v>40550</v>
      </c>
      <c r="D143" s="2">
        <v>0.21210000000000001</v>
      </c>
      <c r="E143" s="13">
        <v>0.69</v>
      </c>
      <c r="F143" s="2">
        <v>0.1343</v>
      </c>
      <c r="G143" s="2">
        <v>0</v>
      </c>
      <c r="H143" s="2">
        <v>1</v>
      </c>
      <c r="I143" s="2">
        <v>1</v>
      </c>
      <c r="J143" t="str">
        <f t="shared" si="7"/>
        <v>0.21</v>
      </c>
      <c r="K143" t="str" cm="1">
        <f t="array" ref="K143">_xlfn.IFS(E143&gt;55%,"higher humidity",E143&gt;=35%,"medium humidity",E143&lt;35%,"lower humidity")</f>
        <v>higher humidity</v>
      </c>
      <c r="L143">
        <f t="shared" si="8"/>
        <v>6</v>
      </c>
      <c r="M143" t="str">
        <f t="shared" si="9"/>
        <v>Bad booking</v>
      </c>
    </row>
    <row r="144" spans="1:13" ht="15" thickBot="1" x14ac:dyDescent="0.35">
      <c r="A144" s="2">
        <v>142</v>
      </c>
      <c r="B144" s="2">
        <v>143</v>
      </c>
      <c r="C144" s="4">
        <v>40550</v>
      </c>
      <c r="D144" s="2">
        <v>0.2727</v>
      </c>
      <c r="E144" s="13">
        <v>0.55000000000000004</v>
      </c>
      <c r="F144" s="2">
        <v>0</v>
      </c>
      <c r="G144" s="2">
        <v>0</v>
      </c>
      <c r="H144" s="2">
        <v>5</v>
      </c>
      <c r="I144" s="2">
        <v>5</v>
      </c>
      <c r="J144" t="str">
        <f t="shared" si="7"/>
        <v>0.27</v>
      </c>
      <c r="K144" t="str" cm="1">
        <f t="array" ref="K144">_xlfn.IFS(E144&gt;55%,"higher humidity",E144&gt;=35%,"medium humidity",E144&lt;35%,"lower humidity")</f>
        <v>medium humidity</v>
      </c>
      <c r="L144">
        <f t="shared" si="8"/>
        <v>1</v>
      </c>
      <c r="M144" t="str">
        <f t="shared" si="9"/>
        <v>Bad booking</v>
      </c>
    </row>
    <row r="145" spans="1:13" ht="15" thickBot="1" x14ac:dyDescent="0.35">
      <c r="A145" s="2">
        <v>143</v>
      </c>
      <c r="B145" s="2">
        <v>144</v>
      </c>
      <c r="C145" s="4">
        <v>40550</v>
      </c>
      <c r="D145" s="2">
        <v>0.2576</v>
      </c>
      <c r="E145" s="13">
        <v>0.69</v>
      </c>
      <c r="F145" s="2">
        <v>0</v>
      </c>
      <c r="G145" s="2">
        <v>8</v>
      </c>
      <c r="H145" s="2">
        <v>26</v>
      </c>
      <c r="I145" s="2">
        <v>34</v>
      </c>
      <c r="J145" t="str">
        <f t="shared" si="7"/>
        <v>0.25</v>
      </c>
      <c r="K145" t="str" cm="1">
        <f t="array" ref="K145">_xlfn.IFS(E145&gt;55%,"higher humidity",E145&gt;=35%,"medium humidity",E145&lt;35%,"lower humidity")</f>
        <v>higher humidity</v>
      </c>
      <c r="L145">
        <f t="shared" si="8"/>
        <v>1</v>
      </c>
      <c r="M145" t="str">
        <f t="shared" si="9"/>
        <v>Bad booking</v>
      </c>
    </row>
    <row r="146" spans="1:13" ht="15" thickBot="1" x14ac:dyDescent="0.35">
      <c r="A146" s="2">
        <v>144</v>
      </c>
      <c r="B146" s="2">
        <v>145</v>
      </c>
      <c r="C146" s="4">
        <v>40550</v>
      </c>
      <c r="D146" s="2">
        <v>0.21210000000000001</v>
      </c>
      <c r="E146" s="13">
        <v>0.69</v>
      </c>
      <c r="F146" s="2">
        <v>0.1343</v>
      </c>
      <c r="G146" s="2">
        <v>8</v>
      </c>
      <c r="H146" s="2">
        <v>76</v>
      </c>
      <c r="I146" s="2">
        <v>84</v>
      </c>
      <c r="J146" t="str">
        <f t="shared" si="7"/>
        <v>0.21</v>
      </c>
      <c r="K146" t="str" cm="1">
        <f t="array" ref="K146">_xlfn.IFS(E146&gt;55%,"higher humidity",E146&gt;=35%,"medium humidity",E146&lt;35%,"lower humidity")</f>
        <v>higher humidity</v>
      </c>
      <c r="L146">
        <f t="shared" si="8"/>
        <v>6</v>
      </c>
      <c r="M146" t="str">
        <f t="shared" si="9"/>
        <v>good boking</v>
      </c>
    </row>
    <row r="147" spans="1:13" ht="15" thickBot="1" x14ac:dyDescent="0.35">
      <c r="A147" s="2">
        <v>145</v>
      </c>
      <c r="B147" s="2">
        <v>146</v>
      </c>
      <c r="C147" s="4">
        <v>40550</v>
      </c>
      <c r="D147" s="2">
        <v>0.19700000000000001</v>
      </c>
      <c r="E147" s="13">
        <v>0.51</v>
      </c>
      <c r="F147" s="2">
        <v>0.25369999999999998</v>
      </c>
      <c r="G147" s="2">
        <v>20</v>
      </c>
      <c r="H147" s="2">
        <v>190</v>
      </c>
      <c r="I147" s="2">
        <v>210</v>
      </c>
      <c r="J147" t="str">
        <f t="shared" si="7"/>
        <v>0.19</v>
      </c>
      <c r="K147" t="str" cm="1">
        <f t="array" ref="K147">_xlfn.IFS(E147&gt;55%,"higher humidity",E147&gt;=35%,"medium humidity",E147&lt;35%,"lower humidity")</f>
        <v>medium humidity</v>
      </c>
      <c r="L147">
        <f t="shared" si="8"/>
        <v>6</v>
      </c>
      <c r="M147" t="str">
        <f t="shared" si="9"/>
        <v>good boking</v>
      </c>
    </row>
    <row r="148" spans="1:13" ht="15" thickBot="1" x14ac:dyDescent="0.35">
      <c r="A148" s="2">
        <v>146</v>
      </c>
      <c r="B148" s="2">
        <v>147</v>
      </c>
      <c r="C148" s="4">
        <v>40550</v>
      </c>
      <c r="D148" s="2">
        <v>0.18179999999999999</v>
      </c>
      <c r="E148" s="13">
        <v>0.47</v>
      </c>
      <c r="F148" s="2">
        <v>0.29849999999999999</v>
      </c>
      <c r="G148" s="2">
        <v>9</v>
      </c>
      <c r="H148" s="2">
        <v>125</v>
      </c>
      <c r="I148" s="2">
        <v>134</v>
      </c>
      <c r="J148" t="str">
        <f t="shared" si="7"/>
        <v>0.18</v>
      </c>
      <c r="K148" t="str" cm="1">
        <f t="array" ref="K148">_xlfn.IFS(E148&gt;55%,"higher humidity",E148&gt;=35%,"medium humidity",E148&lt;35%,"lower humidity")</f>
        <v>medium humidity</v>
      </c>
      <c r="L148">
        <f t="shared" si="8"/>
        <v>6</v>
      </c>
      <c r="M148" t="str">
        <f t="shared" si="9"/>
        <v>good boking</v>
      </c>
    </row>
    <row r="149" spans="1:13" ht="15" thickBot="1" x14ac:dyDescent="0.35">
      <c r="A149" s="2">
        <v>147</v>
      </c>
      <c r="B149" s="2">
        <v>148</v>
      </c>
      <c r="C149" s="4">
        <v>40550</v>
      </c>
      <c r="D149" s="2">
        <v>0.19700000000000001</v>
      </c>
      <c r="E149" s="13">
        <v>0.37</v>
      </c>
      <c r="F149" s="2">
        <v>0.32840000000000003</v>
      </c>
      <c r="G149" s="2">
        <v>16</v>
      </c>
      <c r="H149" s="2">
        <v>47</v>
      </c>
      <c r="I149" s="2">
        <v>63</v>
      </c>
      <c r="J149" t="str">
        <f t="shared" si="7"/>
        <v>0.19</v>
      </c>
      <c r="K149" t="str" cm="1">
        <f t="array" ref="K149">_xlfn.IFS(E149&gt;55%,"higher humidity",E149&gt;=35%,"medium humidity",E149&lt;35%,"lower humidity")</f>
        <v>medium humidity</v>
      </c>
      <c r="L149">
        <f t="shared" si="8"/>
        <v>6</v>
      </c>
      <c r="M149" t="str">
        <f t="shared" si="9"/>
        <v>good boking</v>
      </c>
    </row>
    <row r="150" spans="1:13" ht="15" thickBot="1" x14ac:dyDescent="0.35">
      <c r="A150" s="2">
        <v>148</v>
      </c>
      <c r="B150" s="2">
        <v>149</v>
      </c>
      <c r="C150" s="4">
        <v>40550</v>
      </c>
      <c r="D150" s="2">
        <v>0.19700000000000001</v>
      </c>
      <c r="E150" s="13">
        <v>0.4</v>
      </c>
      <c r="F150" s="2">
        <v>0.22389999999999999</v>
      </c>
      <c r="G150" s="2">
        <v>19</v>
      </c>
      <c r="H150" s="2">
        <v>48</v>
      </c>
      <c r="I150" s="2">
        <v>67</v>
      </c>
      <c r="J150" t="str">
        <f t="shared" si="7"/>
        <v>0.19</v>
      </c>
      <c r="K150" t="str" cm="1">
        <f t="array" ref="K150">_xlfn.IFS(E150&gt;55%,"higher humidity",E150&gt;=35%,"medium humidity",E150&lt;35%,"lower humidity")</f>
        <v>medium humidity</v>
      </c>
      <c r="L150">
        <f t="shared" si="8"/>
        <v>6</v>
      </c>
      <c r="M150" t="str">
        <f t="shared" si="9"/>
        <v>good boking</v>
      </c>
    </row>
    <row r="151" spans="1:13" ht="15" thickBot="1" x14ac:dyDescent="0.35">
      <c r="A151" s="2">
        <v>149</v>
      </c>
      <c r="B151" s="2">
        <v>150</v>
      </c>
      <c r="C151" s="4">
        <v>40550</v>
      </c>
      <c r="D151" s="2">
        <v>0.19700000000000001</v>
      </c>
      <c r="E151" s="13">
        <v>0.37</v>
      </c>
      <c r="F151" s="2">
        <v>0.25369999999999998</v>
      </c>
      <c r="G151" s="2">
        <v>9</v>
      </c>
      <c r="H151" s="2">
        <v>50</v>
      </c>
      <c r="I151" s="2">
        <v>59</v>
      </c>
      <c r="J151" t="str">
        <f t="shared" si="7"/>
        <v>0.19</v>
      </c>
      <c r="K151" t="str" cm="1">
        <f t="array" ref="K151">_xlfn.IFS(E151&gt;55%,"higher humidity",E151&gt;=35%,"medium humidity",E151&lt;35%,"lower humidity")</f>
        <v>medium humidity</v>
      </c>
      <c r="L151">
        <f t="shared" si="8"/>
        <v>6</v>
      </c>
      <c r="M151" t="str">
        <f t="shared" si="9"/>
        <v>good boking</v>
      </c>
    </row>
    <row r="152" spans="1:13" ht="15" thickBot="1" x14ac:dyDescent="0.35">
      <c r="A152" s="2">
        <v>150</v>
      </c>
      <c r="B152" s="2">
        <v>151</v>
      </c>
      <c r="C152" s="4">
        <v>40550</v>
      </c>
      <c r="D152" s="2">
        <v>0.18179999999999999</v>
      </c>
      <c r="E152" s="13">
        <v>0.37</v>
      </c>
      <c r="F152" s="2">
        <v>0.28360000000000002</v>
      </c>
      <c r="G152" s="2">
        <v>9</v>
      </c>
      <c r="H152" s="2">
        <v>64</v>
      </c>
      <c r="I152" s="2">
        <v>73</v>
      </c>
      <c r="J152" t="str">
        <f t="shared" si="7"/>
        <v>0.18</v>
      </c>
      <c r="K152" t="str" cm="1">
        <f t="array" ref="K152">_xlfn.IFS(E152&gt;55%,"higher humidity",E152&gt;=35%,"medium humidity",E152&lt;35%,"lower humidity")</f>
        <v>medium humidity</v>
      </c>
      <c r="L152">
        <f t="shared" si="8"/>
        <v>6</v>
      </c>
      <c r="M152" t="str">
        <f t="shared" si="9"/>
        <v>good boking</v>
      </c>
    </row>
    <row r="153" spans="1:13" ht="15" thickBot="1" x14ac:dyDescent="0.35">
      <c r="A153" s="2">
        <v>151</v>
      </c>
      <c r="B153" s="2">
        <v>152</v>
      </c>
      <c r="C153" s="4">
        <v>40550</v>
      </c>
      <c r="D153" s="2">
        <v>0.19700000000000001</v>
      </c>
      <c r="E153" s="13">
        <v>0.4</v>
      </c>
      <c r="F153" s="2">
        <v>0.25369999999999998</v>
      </c>
      <c r="G153" s="2">
        <v>7</v>
      </c>
      <c r="H153" s="2">
        <v>43</v>
      </c>
      <c r="I153" s="2">
        <v>50</v>
      </c>
      <c r="J153" t="str">
        <f t="shared" si="7"/>
        <v>0.19</v>
      </c>
      <c r="K153" t="str" cm="1">
        <f t="array" ref="K153">_xlfn.IFS(E153&gt;55%,"higher humidity",E153&gt;=35%,"medium humidity",E153&lt;35%,"lower humidity")</f>
        <v>medium humidity</v>
      </c>
      <c r="L153">
        <f t="shared" si="8"/>
        <v>6</v>
      </c>
      <c r="M153" t="str">
        <f t="shared" si="9"/>
        <v>good boking</v>
      </c>
    </row>
    <row r="154" spans="1:13" ht="15" thickBot="1" x14ac:dyDescent="0.35">
      <c r="A154" s="2">
        <v>152</v>
      </c>
      <c r="B154" s="2">
        <v>153</v>
      </c>
      <c r="C154" s="4">
        <v>40550</v>
      </c>
      <c r="D154" s="2">
        <v>0.21210000000000001</v>
      </c>
      <c r="E154" s="13">
        <v>0.37</v>
      </c>
      <c r="F154" s="2">
        <v>0.16420000000000001</v>
      </c>
      <c r="G154" s="2">
        <v>9</v>
      </c>
      <c r="H154" s="2">
        <v>63</v>
      </c>
      <c r="I154" s="2">
        <v>72</v>
      </c>
      <c r="J154" t="str">
        <f t="shared" si="7"/>
        <v>0.21</v>
      </c>
      <c r="K154" t="str" cm="1">
        <f t="array" ref="K154">_xlfn.IFS(E154&gt;55%,"higher humidity",E154&gt;=35%,"medium humidity",E154&lt;35%,"lower humidity")</f>
        <v>medium humidity</v>
      </c>
      <c r="L154">
        <f t="shared" si="8"/>
        <v>6</v>
      </c>
      <c r="M154" t="str">
        <f t="shared" si="9"/>
        <v>good boking</v>
      </c>
    </row>
    <row r="155" spans="1:13" ht="15" thickBot="1" x14ac:dyDescent="0.35">
      <c r="A155" s="2">
        <v>153</v>
      </c>
      <c r="B155" s="2">
        <v>154</v>
      </c>
      <c r="C155" s="4">
        <v>40550</v>
      </c>
      <c r="D155" s="2">
        <v>0.21210000000000001</v>
      </c>
      <c r="E155" s="13">
        <v>0.37</v>
      </c>
      <c r="F155" s="2">
        <v>0.16420000000000001</v>
      </c>
      <c r="G155" s="2">
        <v>5</v>
      </c>
      <c r="H155" s="2">
        <v>82</v>
      </c>
      <c r="I155" s="2">
        <v>87</v>
      </c>
      <c r="J155" t="str">
        <f t="shared" si="7"/>
        <v>0.21</v>
      </c>
      <c r="K155" t="str" cm="1">
        <f t="array" ref="K155">_xlfn.IFS(E155&gt;55%,"higher humidity",E155&gt;=35%,"medium humidity",E155&lt;35%,"lower humidity")</f>
        <v>medium humidity</v>
      </c>
      <c r="L155">
        <f t="shared" si="8"/>
        <v>6</v>
      </c>
      <c r="M155" t="str">
        <f t="shared" si="9"/>
        <v>good boking</v>
      </c>
    </row>
    <row r="156" spans="1:13" ht="15" thickBot="1" x14ac:dyDescent="0.35">
      <c r="A156" s="2">
        <v>154</v>
      </c>
      <c r="B156" s="2">
        <v>155</v>
      </c>
      <c r="C156" s="4">
        <v>40550</v>
      </c>
      <c r="D156" s="2">
        <v>0.2576</v>
      </c>
      <c r="E156" s="13">
        <v>0.37</v>
      </c>
      <c r="F156" s="2">
        <v>0</v>
      </c>
      <c r="G156" s="2">
        <v>9</v>
      </c>
      <c r="H156" s="2">
        <v>178</v>
      </c>
      <c r="I156" s="2">
        <v>187</v>
      </c>
      <c r="J156" t="str">
        <f t="shared" si="7"/>
        <v>0.25</v>
      </c>
      <c r="K156" t="str" cm="1">
        <f t="array" ref="K156">_xlfn.IFS(E156&gt;55%,"higher humidity",E156&gt;=35%,"medium humidity",E156&lt;35%,"lower humidity")</f>
        <v>medium humidity</v>
      </c>
      <c r="L156">
        <f t="shared" si="8"/>
        <v>1</v>
      </c>
      <c r="M156" t="str">
        <f t="shared" si="9"/>
        <v>good boking</v>
      </c>
    </row>
    <row r="157" spans="1:13" ht="15" thickBot="1" x14ac:dyDescent="0.35">
      <c r="A157" s="2">
        <v>155</v>
      </c>
      <c r="B157" s="2">
        <v>156</v>
      </c>
      <c r="C157" s="4">
        <v>40550</v>
      </c>
      <c r="D157" s="2">
        <v>0.2273</v>
      </c>
      <c r="E157" s="13">
        <v>0.4</v>
      </c>
      <c r="F157" s="2">
        <v>8.9599999999999999E-2</v>
      </c>
      <c r="G157" s="2">
        <v>7</v>
      </c>
      <c r="H157" s="2">
        <v>116</v>
      </c>
      <c r="I157" s="2">
        <v>123</v>
      </c>
      <c r="J157" t="str">
        <f t="shared" si="7"/>
        <v>0.22</v>
      </c>
      <c r="K157" t="str" cm="1">
        <f t="array" ref="K157">_xlfn.IFS(E157&gt;55%,"higher humidity",E157&gt;=35%,"medium humidity",E157&lt;35%,"lower humidity")</f>
        <v>medium humidity</v>
      </c>
      <c r="L157">
        <f t="shared" si="8"/>
        <v>6</v>
      </c>
      <c r="M157" t="str">
        <f t="shared" si="9"/>
        <v>good boking</v>
      </c>
    </row>
    <row r="158" spans="1:13" ht="15" thickBot="1" x14ac:dyDescent="0.35">
      <c r="A158" s="2">
        <v>156</v>
      </c>
      <c r="B158" s="2">
        <v>157</v>
      </c>
      <c r="C158" s="4">
        <v>40550</v>
      </c>
      <c r="D158" s="2">
        <v>0.19700000000000001</v>
      </c>
      <c r="E158" s="13">
        <v>0.55000000000000004</v>
      </c>
      <c r="F158" s="2">
        <v>8.9599999999999999E-2</v>
      </c>
      <c r="G158" s="2">
        <v>3</v>
      </c>
      <c r="H158" s="2">
        <v>92</v>
      </c>
      <c r="I158" s="2">
        <v>95</v>
      </c>
      <c r="J158" t="str">
        <f t="shared" si="7"/>
        <v>0.19</v>
      </c>
      <c r="K158" t="str" cm="1">
        <f t="array" ref="K158">_xlfn.IFS(E158&gt;55%,"higher humidity",E158&gt;=35%,"medium humidity",E158&lt;35%,"lower humidity")</f>
        <v>medium humidity</v>
      </c>
      <c r="L158">
        <f t="shared" si="8"/>
        <v>6</v>
      </c>
      <c r="M158" t="str">
        <f t="shared" si="9"/>
        <v>good boking</v>
      </c>
    </row>
    <row r="159" spans="1:13" ht="15" thickBot="1" x14ac:dyDescent="0.35">
      <c r="A159" s="2">
        <v>157</v>
      </c>
      <c r="B159" s="2">
        <v>158</v>
      </c>
      <c r="C159" s="4">
        <v>40550</v>
      </c>
      <c r="D159" s="2">
        <v>0.21210000000000001</v>
      </c>
      <c r="E159" s="13">
        <v>0.47</v>
      </c>
      <c r="F159" s="2">
        <v>0.1045</v>
      </c>
      <c r="G159" s="2">
        <v>1</v>
      </c>
      <c r="H159" s="2">
        <v>50</v>
      </c>
      <c r="I159" s="2">
        <v>51</v>
      </c>
      <c r="J159" t="str">
        <f t="shared" si="7"/>
        <v>0.21</v>
      </c>
      <c r="K159" t="str" cm="1">
        <f t="array" ref="K159">_xlfn.IFS(E159&gt;55%,"higher humidity",E159&gt;=35%,"medium humidity",E159&lt;35%,"lower humidity")</f>
        <v>medium humidity</v>
      </c>
      <c r="L159">
        <f t="shared" si="8"/>
        <v>6</v>
      </c>
      <c r="M159" t="str">
        <f t="shared" si="9"/>
        <v>good boking</v>
      </c>
    </row>
    <row r="160" spans="1:13" ht="15" thickBot="1" x14ac:dyDescent="0.35">
      <c r="A160" s="2">
        <v>158</v>
      </c>
      <c r="B160" s="2">
        <v>159</v>
      </c>
      <c r="C160" s="4">
        <v>40550</v>
      </c>
      <c r="D160" s="2">
        <v>0.19700000000000001</v>
      </c>
      <c r="E160" s="13">
        <v>0.47</v>
      </c>
      <c r="F160" s="2">
        <v>0.1343</v>
      </c>
      <c r="G160" s="2">
        <v>0</v>
      </c>
      <c r="H160" s="2">
        <v>39</v>
      </c>
      <c r="I160" s="2">
        <v>39</v>
      </c>
      <c r="J160" t="str">
        <f t="shared" si="7"/>
        <v>0.19</v>
      </c>
      <c r="K160" t="str" cm="1">
        <f t="array" ref="K160">_xlfn.IFS(E160&gt;55%,"higher humidity",E160&gt;=35%,"medium humidity",E160&lt;35%,"lower humidity")</f>
        <v>medium humidity</v>
      </c>
      <c r="L160">
        <f t="shared" si="8"/>
        <v>6</v>
      </c>
      <c r="M160" t="str">
        <f t="shared" si="9"/>
        <v>good boking</v>
      </c>
    </row>
    <row r="161" spans="1:13" ht="15" thickBot="1" x14ac:dyDescent="0.35">
      <c r="A161" s="2">
        <v>159</v>
      </c>
      <c r="B161" s="2">
        <v>160</v>
      </c>
      <c r="C161" s="4">
        <v>40550</v>
      </c>
      <c r="D161" s="2">
        <v>0.19700000000000001</v>
      </c>
      <c r="E161" s="13">
        <v>0.43</v>
      </c>
      <c r="F161" s="2">
        <v>0.16420000000000001</v>
      </c>
      <c r="G161" s="2">
        <v>2</v>
      </c>
      <c r="H161" s="2">
        <v>34</v>
      </c>
      <c r="I161" s="2">
        <v>36</v>
      </c>
      <c r="J161" t="str">
        <f t="shared" si="7"/>
        <v>0.19</v>
      </c>
      <c r="K161" t="str" cm="1">
        <f t="array" ref="K161">_xlfn.IFS(E161&gt;55%,"higher humidity",E161&gt;=35%,"medium humidity",E161&lt;35%,"lower humidity")</f>
        <v>medium humidity</v>
      </c>
      <c r="L161">
        <f t="shared" si="8"/>
        <v>6</v>
      </c>
      <c r="M161" t="str">
        <f t="shared" si="9"/>
        <v>good boking</v>
      </c>
    </row>
    <row r="162" spans="1:13" ht="15" thickBot="1" x14ac:dyDescent="0.35">
      <c r="A162" s="2">
        <v>160</v>
      </c>
      <c r="B162" s="2">
        <v>161</v>
      </c>
      <c r="C162" s="4">
        <v>40550</v>
      </c>
      <c r="D162" s="2">
        <v>0.19700000000000001</v>
      </c>
      <c r="E162" s="13">
        <v>0.51</v>
      </c>
      <c r="F162" s="2">
        <v>0.16420000000000001</v>
      </c>
      <c r="G162" s="2">
        <v>1</v>
      </c>
      <c r="H162" s="2">
        <v>14</v>
      </c>
      <c r="I162" s="2">
        <v>15</v>
      </c>
      <c r="J162" t="str">
        <f t="shared" si="7"/>
        <v>0.19</v>
      </c>
      <c r="K162" t="str" cm="1">
        <f t="array" ref="K162">_xlfn.IFS(E162&gt;55%,"higher humidity",E162&gt;=35%,"medium humidity",E162&lt;35%,"lower humidity")</f>
        <v>medium humidity</v>
      </c>
      <c r="L162">
        <f t="shared" si="8"/>
        <v>6</v>
      </c>
      <c r="M162" t="str">
        <f t="shared" si="9"/>
        <v>Bad booking</v>
      </c>
    </row>
    <row r="163" spans="1:13" ht="15" thickBot="1" x14ac:dyDescent="0.35">
      <c r="A163" s="2">
        <v>161</v>
      </c>
      <c r="B163" s="2">
        <v>162</v>
      </c>
      <c r="C163" s="4">
        <v>40551</v>
      </c>
      <c r="D163" s="2">
        <v>0.19700000000000001</v>
      </c>
      <c r="E163" s="13">
        <v>0.51</v>
      </c>
      <c r="F163" s="2">
        <v>0.16420000000000001</v>
      </c>
      <c r="G163" s="2">
        <v>1</v>
      </c>
      <c r="H163" s="2">
        <v>24</v>
      </c>
      <c r="I163" s="2">
        <v>25</v>
      </c>
      <c r="J163" t="str">
        <f t="shared" si="7"/>
        <v>0.19</v>
      </c>
      <c r="K163" t="str" cm="1">
        <f t="array" ref="K163">_xlfn.IFS(E163&gt;55%,"higher humidity",E163&gt;=35%,"medium humidity",E163&lt;35%,"lower humidity")</f>
        <v>medium humidity</v>
      </c>
      <c r="L163">
        <f t="shared" si="8"/>
        <v>6</v>
      </c>
      <c r="M163" t="str">
        <f t="shared" si="9"/>
        <v>Bad booking</v>
      </c>
    </row>
    <row r="164" spans="1:13" ht="15" thickBot="1" x14ac:dyDescent="0.35">
      <c r="A164" s="2">
        <v>162</v>
      </c>
      <c r="B164" s="2">
        <v>163</v>
      </c>
      <c r="C164" s="4">
        <v>40551</v>
      </c>
      <c r="D164" s="2">
        <v>0.21210000000000001</v>
      </c>
      <c r="E164" s="13">
        <v>0.55000000000000004</v>
      </c>
      <c r="F164" s="2">
        <v>8.9599999999999999E-2</v>
      </c>
      <c r="G164" s="2">
        <v>1</v>
      </c>
      <c r="H164" s="2">
        <v>15</v>
      </c>
      <c r="I164" s="2">
        <v>16</v>
      </c>
      <c r="J164" t="str">
        <f t="shared" si="7"/>
        <v>0.21</v>
      </c>
      <c r="K164" t="str" cm="1">
        <f t="array" ref="K164">_xlfn.IFS(E164&gt;55%,"higher humidity",E164&gt;=35%,"medium humidity",E164&lt;35%,"lower humidity")</f>
        <v>medium humidity</v>
      </c>
      <c r="L164">
        <f t="shared" si="8"/>
        <v>6</v>
      </c>
      <c r="M164" t="str">
        <f t="shared" si="9"/>
        <v>Bad booking</v>
      </c>
    </row>
    <row r="165" spans="1:13" ht="15" thickBot="1" x14ac:dyDescent="0.35">
      <c r="A165" s="2">
        <v>163</v>
      </c>
      <c r="B165" s="2">
        <v>164</v>
      </c>
      <c r="C165" s="4">
        <v>40551</v>
      </c>
      <c r="D165" s="2">
        <v>0.2424</v>
      </c>
      <c r="E165" s="13">
        <v>0.55000000000000004</v>
      </c>
      <c r="F165" s="2">
        <v>0</v>
      </c>
      <c r="G165" s="2">
        <v>3</v>
      </c>
      <c r="H165" s="2">
        <v>13</v>
      </c>
      <c r="I165" s="2">
        <v>16</v>
      </c>
      <c r="J165" t="str">
        <f t="shared" si="7"/>
        <v>0.24</v>
      </c>
      <c r="K165" t="str" cm="1">
        <f t="array" ref="K165">_xlfn.IFS(E165&gt;55%,"higher humidity",E165&gt;=35%,"medium humidity",E165&lt;35%,"lower humidity")</f>
        <v>medium humidity</v>
      </c>
      <c r="L165">
        <f t="shared" si="8"/>
        <v>1</v>
      </c>
      <c r="M165" t="str">
        <f t="shared" si="9"/>
        <v>Bad booking</v>
      </c>
    </row>
    <row r="166" spans="1:13" ht="15" thickBot="1" x14ac:dyDescent="0.35">
      <c r="A166" s="2">
        <v>164</v>
      </c>
      <c r="B166" s="2">
        <v>165</v>
      </c>
      <c r="C166" s="4">
        <v>40551</v>
      </c>
      <c r="D166" s="2">
        <v>0.19700000000000001</v>
      </c>
      <c r="E166" s="13">
        <v>0.55000000000000004</v>
      </c>
      <c r="F166" s="2">
        <v>0.16420000000000001</v>
      </c>
      <c r="G166" s="2">
        <v>0</v>
      </c>
      <c r="H166" s="2">
        <v>7</v>
      </c>
      <c r="I166" s="2">
        <v>7</v>
      </c>
      <c r="J166" t="str">
        <f t="shared" si="7"/>
        <v>0.19</v>
      </c>
      <c r="K166" t="str" cm="1">
        <f t="array" ref="K166">_xlfn.IFS(E166&gt;55%,"higher humidity",E166&gt;=35%,"medium humidity",E166&lt;35%,"lower humidity")</f>
        <v>medium humidity</v>
      </c>
      <c r="L166">
        <f t="shared" si="8"/>
        <v>6</v>
      </c>
      <c r="M166" t="str">
        <f t="shared" si="9"/>
        <v>Bad booking</v>
      </c>
    </row>
    <row r="167" spans="1:13" ht="15" thickBot="1" x14ac:dyDescent="0.35">
      <c r="A167" s="2">
        <v>165</v>
      </c>
      <c r="B167" s="2">
        <v>166</v>
      </c>
      <c r="C167" s="4">
        <v>40551</v>
      </c>
      <c r="D167" s="2">
        <v>0.19700000000000001</v>
      </c>
      <c r="E167" s="13">
        <v>0.55000000000000004</v>
      </c>
      <c r="F167" s="2">
        <v>0.16420000000000001</v>
      </c>
      <c r="G167" s="2">
        <v>0</v>
      </c>
      <c r="H167" s="2">
        <v>1</v>
      </c>
      <c r="I167" s="2">
        <v>1</v>
      </c>
      <c r="J167" t="str">
        <f t="shared" si="7"/>
        <v>0.19</v>
      </c>
      <c r="K167" t="str" cm="1">
        <f t="array" ref="K167">_xlfn.IFS(E167&gt;55%,"higher humidity",E167&gt;=35%,"medium humidity",E167&lt;35%,"lower humidity")</f>
        <v>medium humidity</v>
      </c>
      <c r="L167">
        <f t="shared" si="8"/>
        <v>6</v>
      </c>
      <c r="M167" t="str">
        <f t="shared" si="9"/>
        <v>Bad booking</v>
      </c>
    </row>
    <row r="168" spans="1:13" ht="15" thickBot="1" x14ac:dyDescent="0.35">
      <c r="A168" s="2">
        <v>166</v>
      </c>
      <c r="B168" s="2">
        <v>167</v>
      </c>
      <c r="C168" s="4">
        <v>40551</v>
      </c>
      <c r="D168" s="2">
        <v>0.16669999999999999</v>
      </c>
      <c r="E168" s="13">
        <v>0.74</v>
      </c>
      <c r="F168" s="2">
        <v>0.16420000000000001</v>
      </c>
      <c r="G168" s="2">
        <v>0</v>
      </c>
      <c r="H168" s="2">
        <v>5</v>
      </c>
      <c r="I168" s="2">
        <v>5</v>
      </c>
      <c r="J168" t="str">
        <f t="shared" si="7"/>
        <v>0.16</v>
      </c>
      <c r="K168" t="str" cm="1">
        <f t="array" ref="K168">_xlfn.IFS(E168&gt;55%,"higher humidity",E168&gt;=35%,"medium humidity",E168&lt;35%,"lower humidity")</f>
        <v>higher humidity</v>
      </c>
      <c r="L168">
        <f t="shared" si="8"/>
        <v>6</v>
      </c>
      <c r="M168" t="str">
        <f t="shared" si="9"/>
        <v>Bad booking</v>
      </c>
    </row>
    <row r="169" spans="1:13" ht="15" thickBot="1" x14ac:dyDescent="0.35">
      <c r="A169" s="2">
        <v>167</v>
      </c>
      <c r="B169" s="2">
        <v>168</v>
      </c>
      <c r="C169" s="4">
        <v>40551</v>
      </c>
      <c r="D169" s="2">
        <v>0.16669999999999999</v>
      </c>
      <c r="E169" s="13">
        <v>0.74</v>
      </c>
      <c r="F169" s="2">
        <v>0.16420000000000001</v>
      </c>
      <c r="G169" s="2">
        <v>0</v>
      </c>
      <c r="H169" s="2">
        <v>2</v>
      </c>
      <c r="I169" s="2">
        <v>2</v>
      </c>
      <c r="J169" t="str">
        <f t="shared" si="7"/>
        <v>0.16</v>
      </c>
      <c r="K169" t="str" cm="1">
        <f t="array" ref="K169">_xlfn.IFS(E169&gt;55%,"higher humidity",E169&gt;=35%,"medium humidity",E169&lt;35%,"lower humidity")</f>
        <v>higher humidity</v>
      </c>
      <c r="L169">
        <f t="shared" si="8"/>
        <v>6</v>
      </c>
      <c r="M169" t="str">
        <f t="shared" si="9"/>
        <v>Bad booking</v>
      </c>
    </row>
    <row r="170" spans="1:13" ht="15" thickBot="1" x14ac:dyDescent="0.35">
      <c r="A170" s="2">
        <v>168</v>
      </c>
      <c r="B170" s="2">
        <v>169</v>
      </c>
      <c r="C170" s="4">
        <v>40551</v>
      </c>
      <c r="D170" s="2">
        <v>0.18179999999999999</v>
      </c>
      <c r="E170" s="13">
        <v>0.74</v>
      </c>
      <c r="F170" s="2">
        <v>0.1045</v>
      </c>
      <c r="G170" s="2">
        <v>1</v>
      </c>
      <c r="H170" s="2">
        <v>8</v>
      </c>
      <c r="I170" s="2">
        <v>9</v>
      </c>
      <c r="J170" t="str">
        <f t="shared" si="7"/>
        <v>0.18</v>
      </c>
      <c r="K170" t="str" cm="1">
        <f t="array" ref="K170">_xlfn.IFS(E170&gt;55%,"higher humidity",E170&gt;=35%,"medium humidity",E170&lt;35%,"lower humidity")</f>
        <v>higher humidity</v>
      </c>
      <c r="L170">
        <f t="shared" si="8"/>
        <v>6</v>
      </c>
      <c r="M170" t="str">
        <f t="shared" si="9"/>
        <v>Bad booking</v>
      </c>
    </row>
    <row r="171" spans="1:13" ht="15" thickBot="1" x14ac:dyDescent="0.35">
      <c r="A171" s="2">
        <v>169</v>
      </c>
      <c r="B171" s="2">
        <v>170</v>
      </c>
      <c r="C171" s="4">
        <v>40551</v>
      </c>
      <c r="D171" s="2">
        <v>0.18179999999999999</v>
      </c>
      <c r="E171" s="13">
        <v>0.93</v>
      </c>
      <c r="F171" s="2">
        <v>0.1045</v>
      </c>
      <c r="G171" s="2">
        <v>0</v>
      </c>
      <c r="H171" s="2">
        <v>15</v>
      </c>
      <c r="I171" s="2">
        <v>15</v>
      </c>
      <c r="J171" t="str">
        <f t="shared" si="7"/>
        <v>0.18</v>
      </c>
      <c r="K171" t="str" cm="1">
        <f t="array" ref="K171">_xlfn.IFS(E171&gt;55%,"higher humidity",E171&gt;=35%,"medium humidity",E171&lt;35%,"lower humidity")</f>
        <v>higher humidity</v>
      </c>
      <c r="L171">
        <f t="shared" si="8"/>
        <v>6</v>
      </c>
      <c r="M171" t="str">
        <f t="shared" si="9"/>
        <v>Bad booking</v>
      </c>
    </row>
    <row r="172" spans="1:13" ht="15" thickBot="1" x14ac:dyDescent="0.35">
      <c r="A172" s="2">
        <v>170</v>
      </c>
      <c r="B172" s="2">
        <v>171</v>
      </c>
      <c r="C172" s="4">
        <v>40551</v>
      </c>
      <c r="D172" s="2">
        <v>0.18179999999999999</v>
      </c>
      <c r="E172" s="13">
        <v>0.93</v>
      </c>
      <c r="F172" s="2">
        <v>0.1045</v>
      </c>
      <c r="G172" s="2">
        <v>0</v>
      </c>
      <c r="H172" s="2">
        <v>20</v>
      </c>
      <c r="I172" s="2">
        <v>20</v>
      </c>
      <c r="J172" t="str">
        <f t="shared" si="7"/>
        <v>0.18</v>
      </c>
      <c r="K172" t="str" cm="1">
        <f t="array" ref="K172">_xlfn.IFS(E172&gt;55%,"higher humidity",E172&gt;=35%,"medium humidity",E172&lt;35%,"lower humidity")</f>
        <v>higher humidity</v>
      </c>
      <c r="L172">
        <f t="shared" si="8"/>
        <v>6</v>
      </c>
      <c r="M172" t="str">
        <f t="shared" si="9"/>
        <v>Bad booking</v>
      </c>
    </row>
    <row r="173" spans="1:13" ht="15" thickBot="1" x14ac:dyDescent="0.35">
      <c r="A173" s="2">
        <v>171</v>
      </c>
      <c r="B173" s="2">
        <v>172</v>
      </c>
      <c r="C173" s="4">
        <v>40551</v>
      </c>
      <c r="D173" s="2">
        <v>0.19700000000000001</v>
      </c>
      <c r="E173" s="13">
        <v>0.8</v>
      </c>
      <c r="F173" s="2">
        <v>0.16420000000000001</v>
      </c>
      <c r="G173" s="2">
        <v>5</v>
      </c>
      <c r="H173" s="2">
        <v>56</v>
      </c>
      <c r="I173" s="2">
        <v>61</v>
      </c>
      <c r="J173" t="str">
        <f t="shared" si="7"/>
        <v>0.19</v>
      </c>
      <c r="K173" t="str" cm="1">
        <f t="array" ref="K173">_xlfn.IFS(E173&gt;55%,"higher humidity",E173&gt;=35%,"medium humidity",E173&lt;35%,"lower humidity")</f>
        <v>higher humidity</v>
      </c>
      <c r="L173">
        <f t="shared" si="8"/>
        <v>6</v>
      </c>
      <c r="M173" t="str">
        <f t="shared" si="9"/>
        <v>good boking</v>
      </c>
    </row>
    <row r="174" spans="1:13" ht="15" thickBot="1" x14ac:dyDescent="0.35">
      <c r="A174" s="2">
        <v>172</v>
      </c>
      <c r="B174" s="2">
        <v>173</v>
      </c>
      <c r="C174" s="4">
        <v>40551</v>
      </c>
      <c r="D174" s="2">
        <v>0.18179999999999999</v>
      </c>
      <c r="E174" s="13">
        <v>0.69</v>
      </c>
      <c r="F174" s="2">
        <v>0.3881</v>
      </c>
      <c r="G174" s="2">
        <v>2</v>
      </c>
      <c r="H174" s="2">
        <v>60</v>
      </c>
      <c r="I174" s="2">
        <v>62</v>
      </c>
      <c r="J174" t="str">
        <f t="shared" si="7"/>
        <v>0.18</v>
      </c>
      <c r="K174" t="str" cm="1">
        <f t="array" ref="K174">_xlfn.IFS(E174&gt;55%,"higher humidity",E174&gt;=35%,"medium humidity",E174&lt;35%,"lower humidity")</f>
        <v>higher humidity</v>
      </c>
      <c r="L174">
        <f t="shared" si="8"/>
        <v>6</v>
      </c>
      <c r="M174" t="str">
        <f t="shared" si="9"/>
        <v>good boking</v>
      </c>
    </row>
    <row r="175" spans="1:13" ht="15" thickBot="1" x14ac:dyDescent="0.35">
      <c r="A175" s="2">
        <v>173</v>
      </c>
      <c r="B175" s="2">
        <v>174</v>
      </c>
      <c r="C175" s="4">
        <v>40551</v>
      </c>
      <c r="D175" s="2">
        <v>0.18179999999999999</v>
      </c>
      <c r="E175" s="13">
        <v>0.59</v>
      </c>
      <c r="F175" s="2">
        <v>0.35820000000000002</v>
      </c>
      <c r="G175" s="2">
        <v>8</v>
      </c>
      <c r="H175" s="2">
        <v>90</v>
      </c>
      <c r="I175" s="2">
        <v>98</v>
      </c>
      <c r="J175" t="str">
        <f t="shared" si="7"/>
        <v>0.18</v>
      </c>
      <c r="K175" t="str" cm="1">
        <f t="array" ref="K175">_xlfn.IFS(E175&gt;55%,"higher humidity",E175&gt;=35%,"medium humidity",E175&lt;35%,"lower humidity")</f>
        <v>higher humidity</v>
      </c>
      <c r="L175">
        <f t="shared" si="8"/>
        <v>6</v>
      </c>
      <c r="M175" t="str">
        <f t="shared" si="9"/>
        <v>good boking</v>
      </c>
    </row>
    <row r="176" spans="1:13" ht="15" thickBot="1" x14ac:dyDescent="0.35">
      <c r="A176" s="2">
        <v>174</v>
      </c>
      <c r="B176" s="2">
        <v>175</v>
      </c>
      <c r="C176" s="4">
        <v>40551</v>
      </c>
      <c r="D176" s="2">
        <v>0.18179999999999999</v>
      </c>
      <c r="E176" s="13">
        <v>0.44</v>
      </c>
      <c r="F176" s="2">
        <v>0.32840000000000003</v>
      </c>
      <c r="G176" s="2">
        <v>7</v>
      </c>
      <c r="H176" s="2">
        <v>95</v>
      </c>
      <c r="I176" s="2">
        <v>102</v>
      </c>
      <c r="J176" t="str">
        <f t="shared" si="7"/>
        <v>0.18</v>
      </c>
      <c r="K176" t="str" cm="1">
        <f t="array" ref="K176">_xlfn.IFS(E176&gt;55%,"higher humidity",E176&gt;=35%,"medium humidity",E176&lt;35%,"lower humidity")</f>
        <v>medium humidity</v>
      </c>
      <c r="L176">
        <f t="shared" si="8"/>
        <v>6</v>
      </c>
      <c r="M176" t="str">
        <f t="shared" si="9"/>
        <v>good boking</v>
      </c>
    </row>
    <row r="177" spans="1:13" ht="15" thickBot="1" x14ac:dyDescent="0.35">
      <c r="A177" s="2">
        <v>175</v>
      </c>
      <c r="B177" s="2">
        <v>176</v>
      </c>
      <c r="C177" s="4">
        <v>40551</v>
      </c>
      <c r="D177" s="2">
        <v>0.16669999999999999</v>
      </c>
      <c r="E177" s="13">
        <v>0.32</v>
      </c>
      <c r="F177" s="2">
        <v>0.49249999999999999</v>
      </c>
      <c r="G177" s="2">
        <v>12</v>
      </c>
      <c r="H177" s="2">
        <v>83</v>
      </c>
      <c r="I177" s="2">
        <v>95</v>
      </c>
      <c r="J177" t="str">
        <f t="shared" si="7"/>
        <v>0.16</v>
      </c>
      <c r="K177" t="str" cm="1">
        <f t="array" ref="K177">_xlfn.IFS(E177&gt;55%,"higher humidity",E177&gt;=35%,"medium humidity",E177&lt;35%,"lower humidity")</f>
        <v>lower humidity</v>
      </c>
      <c r="L177">
        <f t="shared" si="8"/>
        <v>6</v>
      </c>
      <c r="M177" t="str">
        <f t="shared" si="9"/>
        <v>good boking</v>
      </c>
    </row>
    <row r="178" spans="1:13" ht="15" thickBot="1" x14ac:dyDescent="0.35">
      <c r="A178" s="2">
        <v>176</v>
      </c>
      <c r="B178" s="2">
        <v>177</v>
      </c>
      <c r="C178" s="4">
        <v>40551</v>
      </c>
      <c r="D178" s="2">
        <v>0.16669999999999999</v>
      </c>
      <c r="E178" s="13">
        <v>0.32</v>
      </c>
      <c r="F178" s="2">
        <v>0.44779999999999998</v>
      </c>
      <c r="G178" s="2">
        <v>5</v>
      </c>
      <c r="H178" s="2">
        <v>69</v>
      </c>
      <c r="I178" s="2">
        <v>74</v>
      </c>
      <c r="J178" t="str">
        <f t="shared" si="7"/>
        <v>0.16</v>
      </c>
      <c r="K178" t="str" cm="1">
        <f t="array" ref="K178">_xlfn.IFS(E178&gt;55%,"higher humidity",E178&gt;=35%,"medium humidity",E178&lt;35%,"lower humidity")</f>
        <v>lower humidity</v>
      </c>
      <c r="L178">
        <f t="shared" si="8"/>
        <v>6</v>
      </c>
      <c r="M178" t="str">
        <f t="shared" si="9"/>
        <v>good boking</v>
      </c>
    </row>
    <row r="179" spans="1:13" ht="15" thickBot="1" x14ac:dyDescent="0.35">
      <c r="A179" s="2">
        <v>177</v>
      </c>
      <c r="B179" s="2">
        <v>178</v>
      </c>
      <c r="C179" s="4">
        <v>40551</v>
      </c>
      <c r="D179" s="2">
        <v>0.13639999999999999</v>
      </c>
      <c r="E179" s="13">
        <v>0.28999999999999998</v>
      </c>
      <c r="F179" s="2">
        <v>0.44779999999999998</v>
      </c>
      <c r="G179" s="2">
        <v>8</v>
      </c>
      <c r="H179" s="2">
        <v>68</v>
      </c>
      <c r="I179" s="2">
        <v>76</v>
      </c>
      <c r="J179" t="str">
        <f t="shared" si="7"/>
        <v>0.13</v>
      </c>
      <c r="K179" t="str" cm="1">
        <f t="array" ref="K179">_xlfn.IFS(E179&gt;55%,"higher humidity",E179&gt;=35%,"medium humidity",E179&lt;35%,"lower humidity")</f>
        <v>lower humidity</v>
      </c>
      <c r="L179">
        <f t="shared" si="8"/>
        <v>6</v>
      </c>
      <c r="M179" t="str">
        <f t="shared" si="9"/>
        <v>good boking</v>
      </c>
    </row>
    <row r="180" spans="1:13" ht="15" thickBot="1" x14ac:dyDescent="0.35">
      <c r="A180" s="2">
        <v>178</v>
      </c>
      <c r="B180" s="2">
        <v>179</v>
      </c>
      <c r="C180" s="4">
        <v>40551</v>
      </c>
      <c r="D180" s="2">
        <v>0.1212</v>
      </c>
      <c r="E180" s="13">
        <v>0.37</v>
      </c>
      <c r="F180" s="2">
        <v>0.55220000000000002</v>
      </c>
      <c r="G180" s="2">
        <v>5</v>
      </c>
      <c r="H180" s="2">
        <v>64</v>
      </c>
      <c r="I180" s="2">
        <v>69</v>
      </c>
      <c r="J180" t="str">
        <f t="shared" si="7"/>
        <v>0.12</v>
      </c>
      <c r="K180" t="str" cm="1">
        <f t="array" ref="K180">_xlfn.IFS(E180&gt;55%,"higher humidity",E180&gt;=35%,"medium humidity",E180&lt;35%,"lower humidity")</f>
        <v>medium humidity</v>
      </c>
      <c r="L180">
        <f t="shared" si="8"/>
        <v>6</v>
      </c>
      <c r="M180" t="str">
        <f t="shared" si="9"/>
        <v>good boking</v>
      </c>
    </row>
    <row r="181" spans="1:13" ht="15" thickBot="1" x14ac:dyDescent="0.35">
      <c r="A181" s="2">
        <v>179</v>
      </c>
      <c r="B181" s="2">
        <v>180</v>
      </c>
      <c r="C181" s="4">
        <v>40551</v>
      </c>
      <c r="D181" s="2">
        <v>0.1212</v>
      </c>
      <c r="E181" s="13">
        <v>0.39</v>
      </c>
      <c r="F181" s="2">
        <v>0.29849999999999999</v>
      </c>
      <c r="G181" s="2">
        <v>3</v>
      </c>
      <c r="H181" s="2">
        <v>52</v>
      </c>
      <c r="I181" s="2">
        <v>55</v>
      </c>
      <c r="J181" t="str">
        <f t="shared" si="7"/>
        <v>0.12</v>
      </c>
      <c r="K181" t="str" cm="1">
        <f t="array" ref="K181">_xlfn.IFS(E181&gt;55%,"higher humidity",E181&gt;=35%,"medium humidity",E181&lt;35%,"lower humidity")</f>
        <v>medium humidity</v>
      </c>
      <c r="L181">
        <f t="shared" si="8"/>
        <v>6</v>
      </c>
      <c r="M181" t="str">
        <f t="shared" si="9"/>
        <v>good boking</v>
      </c>
    </row>
    <row r="182" spans="1:13" ht="15" thickBot="1" x14ac:dyDescent="0.35">
      <c r="A182" s="2">
        <v>180</v>
      </c>
      <c r="B182" s="2">
        <v>181</v>
      </c>
      <c r="C182" s="4">
        <v>40551</v>
      </c>
      <c r="D182" s="2">
        <v>0.1212</v>
      </c>
      <c r="E182" s="13">
        <v>0.36</v>
      </c>
      <c r="F182" s="2">
        <v>0.25369999999999998</v>
      </c>
      <c r="G182" s="2">
        <v>4</v>
      </c>
      <c r="H182" s="2">
        <v>26</v>
      </c>
      <c r="I182" s="2">
        <v>30</v>
      </c>
      <c r="J182" t="str">
        <f t="shared" si="7"/>
        <v>0.12</v>
      </c>
      <c r="K182" t="str" cm="1">
        <f t="array" ref="K182">_xlfn.IFS(E182&gt;55%,"higher humidity",E182&gt;=35%,"medium humidity",E182&lt;35%,"lower humidity")</f>
        <v>medium humidity</v>
      </c>
      <c r="L182">
        <f t="shared" si="8"/>
        <v>6</v>
      </c>
      <c r="M182" t="str">
        <f t="shared" si="9"/>
        <v>Bad booking</v>
      </c>
    </row>
    <row r="183" spans="1:13" ht="15" thickBot="1" x14ac:dyDescent="0.35">
      <c r="A183" s="2">
        <v>181</v>
      </c>
      <c r="B183" s="2">
        <v>182</v>
      </c>
      <c r="C183" s="4">
        <v>40551</v>
      </c>
      <c r="D183" s="2">
        <v>0.1212</v>
      </c>
      <c r="E183" s="13">
        <v>0.36</v>
      </c>
      <c r="F183" s="2">
        <v>0.25369999999999998</v>
      </c>
      <c r="G183" s="2">
        <v>0</v>
      </c>
      <c r="H183" s="2">
        <v>28</v>
      </c>
      <c r="I183" s="2">
        <v>28</v>
      </c>
      <c r="J183" t="str">
        <f t="shared" si="7"/>
        <v>0.12</v>
      </c>
      <c r="K183" t="str" cm="1">
        <f t="array" ref="K183">_xlfn.IFS(E183&gt;55%,"higher humidity",E183&gt;=35%,"medium humidity",E183&lt;35%,"lower humidity")</f>
        <v>medium humidity</v>
      </c>
      <c r="L183">
        <f t="shared" si="8"/>
        <v>6</v>
      </c>
      <c r="M183" t="str">
        <f t="shared" si="9"/>
        <v>Bad booking</v>
      </c>
    </row>
    <row r="184" spans="1:13" ht="15" thickBot="1" x14ac:dyDescent="0.35">
      <c r="A184" s="2">
        <v>182</v>
      </c>
      <c r="B184" s="2">
        <v>183</v>
      </c>
      <c r="C184" s="4">
        <v>40551</v>
      </c>
      <c r="D184" s="2">
        <v>0.1061</v>
      </c>
      <c r="E184" s="13">
        <v>0.39</v>
      </c>
      <c r="F184" s="2">
        <v>0.35820000000000002</v>
      </c>
      <c r="G184" s="2">
        <v>2</v>
      </c>
      <c r="H184" s="2">
        <v>35</v>
      </c>
      <c r="I184" s="2">
        <v>37</v>
      </c>
      <c r="J184" t="str">
        <f t="shared" si="7"/>
        <v>0.10</v>
      </c>
      <c r="K184" t="str" cm="1">
        <f t="array" ref="K184">_xlfn.IFS(E184&gt;55%,"higher humidity",E184&gt;=35%,"medium humidity",E184&lt;35%,"lower humidity")</f>
        <v>medium humidity</v>
      </c>
      <c r="L184">
        <f t="shared" si="8"/>
        <v>6</v>
      </c>
      <c r="M184" t="str">
        <f t="shared" si="9"/>
        <v>good boking</v>
      </c>
    </row>
    <row r="185" spans="1:13" ht="15" thickBot="1" x14ac:dyDescent="0.35">
      <c r="A185" s="2">
        <v>183</v>
      </c>
      <c r="B185" s="2">
        <v>184</v>
      </c>
      <c r="C185" s="4">
        <v>40551</v>
      </c>
      <c r="D185" s="2">
        <v>0.1061</v>
      </c>
      <c r="E185" s="13">
        <v>0.36</v>
      </c>
      <c r="F185" s="2">
        <v>0.3881</v>
      </c>
      <c r="G185" s="2">
        <v>1</v>
      </c>
      <c r="H185" s="2">
        <v>33</v>
      </c>
      <c r="I185" s="2">
        <v>34</v>
      </c>
      <c r="J185" t="str">
        <f t="shared" si="7"/>
        <v>0.10</v>
      </c>
      <c r="K185" t="str" cm="1">
        <f t="array" ref="K185">_xlfn.IFS(E185&gt;55%,"higher humidity",E185&gt;=35%,"medium humidity",E185&lt;35%,"lower humidity")</f>
        <v>medium humidity</v>
      </c>
      <c r="L185">
        <f t="shared" si="8"/>
        <v>6</v>
      </c>
      <c r="M185" t="str">
        <f t="shared" si="9"/>
        <v>good boking</v>
      </c>
    </row>
    <row r="186" spans="1:13" ht="15" thickBot="1" x14ac:dyDescent="0.35">
      <c r="A186" s="2">
        <v>184</v>
      </c>
      <c r="B186" s="2">
        <v>185</v>
      </c>
      <c r="C186" s="4">
        <v>40551</v>
      </c>
      <c r="D186" s="2">
        <v>6.0600000000000001E-2</v>
      </c>
      <c r="E186" s="13">
        <v>0.39</v>
      </c>
      <c r="F186" s="2">
        <v>0.44779999999999998</v>
      </c>
      <c r="G186" s="2">
        <v>0</v>
      </c>
      <c r="H186" s="2">
        <v>22</v>
      </c>
      <c r="I186" s="2">
        <v>22</v>
      </c>
      <c r="J186" t="str">
        <f t="shared" si="7"/>
        <v>0.06</v>
      </c>
      <c r="K186" t="str" cm="1">
        <f t="array" ref="K186">_xlfn.IFS(E186&gt;55%,"higher humidity",E186&gt;=35%,"medium humidity",E186&lt;35%,"lower humidity")</f>
        <v>medium humidity</v>
      </c>
      <c r="L186">
        <f t="shared" si="8"/>
        <v>6</v>
      </c>
      <c r="M186" t="str">
        <f t="shared" si="9"/>
        <v>Bad booking</v>
      </c>
    </row>
    <row r="187" spans="1:13" ht="15" thickBot="1" x14ac:dyDescent="0.35">
      <c r="A187" s="2">
        <v>185</v>
      </c>
      <c r="B187" s="2">
        <v>186</v>
      </c>
      <c r="C187" s="4">
        <v>40552</v>
      </c>
      <c r="D187" s="2">
        <v>7.5800000000000006E-2</v>
      </c>
      <c r="E187" s="13">
        <v>0.42</v>
      </c>
      <c r="F187" s="2">
        <v>0.3881</v>
      </c>
      <c r="G187" s="2">
        <v>1</v>
      </c>
      <c r="H187" s="2">
        <v>24</v>
      </c>
      <c r="I187" s="2">
        <v>25</v>
      </c>
      <c r="J187" t="str">
        <f t="shared" si="7"/>
        <v>0.07</v>
      </c>
      <c r="K187" t="str" cm="1">
        <f t="array" ref="K187">_xlfn.IFS(E187&gt;55%,"higher humidity",E187&gt;=35%,"medium humidity",E187&lt;35%,"lower humidity")</f>
        <v>medium humidity</v>
      </c>
      <c r="L187">
        <f t="shared" si="8"/>
        <v>6</v>
      </c>
      <c r="M187" t="str">
        <f t="shared" si="9"/>
        <v>Bad booking</v>
      </c>
    </row>
    <row r="188" spans="1:13" ht="15" thickBot="1" x14ac:dyDescent="0.35">
      <c r="A188" s="2">
        <v>186</v>
      </c>
      <c r="B188" s="2">
        <v>187</v>
      </c>
      <c r="C188" s="4">
        <v>40552</v>
      </c>
      <c r="D188" s="2">
        <v>6.0600000000000001E-2</v>
      </c>
      <c r="E188" s="13">
        <v>0.42</v>
      </c>
      <c r="F188" s="2">
        <v>0.4627</v>
      </c>
      <c r="G188" s="2">
        <v>0</v>
      </c>
      <c r="H188" s="2">
        <v>12</v>
      </c>
      <c r="I188" s="2">
        <v>12</v>
      </c>
      <c r="J188" t="str">
        <f t="shared" si="7"/>
        <v>0.06</v>
      </c>
      <c r="K188" t="str" cm="1">
        <f t="array" ref="K188">_xlfn.IFS(E188&gt;55%,"higher humidity",E188&gt;=35%,"medium humidity",E188&lt;35%,"lower humidity")</f>
        <v>medium humidity</v>
      </c>
      <c r="L188">
        <f t="shared" si="8"/>
        <v>6</v>
      </c>
      <c r="M188" t="str">
        <f t="shared" si="9"/>
        <v>Bad booking</v>
      </c>
    </row>
    <row r="189" spans="1:13" ht="15" thickBot="1" x14ac:dyDescent="0.35">
      <c r="A189" s="2">
        <v>187</v>
      </c>
      <c r="B189" s="2">
        <v>188</v>
      </c>
      <c r="C189" s="4">
        <v>40552</v>
      </c>
      <c r="D189" s="2">
        <v>6.0600000000000001E-2</v>
      </c>
      <c r="E189" s="13">
        <v>0.46</v>
      </c>
      <c r="F189" s="2">
        <v>0.4627</v>
      </c>
      <c r="G189" s="2">
        <v>0</v>
      </c>
      <c r="H189" s="2">
        <v>11</v>
      </c>
      <c r="I189" s="2">
        <v>11</v>
      </c>
      <c r="J189" t="str">
        <f t="shared" si="7"/>
        <v>0.06</v>
      </c>
      <c r="K189" t="str" cm="1">
        <f t="array" ref="K189">_xlfn.IFS(E189&gt;55%,"higher humidity",E189&gt;=35%,"medium humidity",E189&lt;35%,"lower humidity")</f>
        <v>medium humidity</v>
      </c>
      <c r="L189">
        <f t="shared" si="8"/>
        <v>6</v>
      </c>
      <c r="M189" t="str">
        <f t="shared" si="9"/>
        <v>Bad booking</v>
      </c>
    </row>
    <row r="190" spans="1:13" ht="15" thickBot="1" x14ac:dyDescent="0.35">
      <c r="A190" s="2">
        <v>188</v>
      </c>
      <c r="B190" s="2">
        <v>189</v>
      </c>
      <c r="C190" s="4">
        <v>40552</v>
      </c>
      <c r="D190" s="2">
        <v>7.5800000000000006E-2</v>
      </c>
      <c r="E190" s="13">
        <v>0.46</v>
      </c>
      <c r="F190" s="2">
        <v>0.41789999999999999</v>
      </c>
      <c r="G190" s="2">
        <v>0</v>
      </c>
      <c r="H190" s="2">
        <v>4</v>
      </c>
      <c r="I190" s="2">
        <v>4</v>
      </c>
      <c r="J190" t="str">
        <f t="shared" si="7"/>
        <v>0.07</v>
      </c>
      <c r="K190" t="str" cm="1">
        <f t="array" ref="K190">_xlfn.IFS(E190&gt;55%,"higher humidity",E190&gt;=35%,"medium humidity",E190&lt;35%,"lower humidity")</f>
        <v>medium humidity</v>
      </c>
      <c r="L190">
        <f t="shared" si="8"/>
        <v>6</v>
      </c>
      <c r="M190" t="str">
        <f t="shared" si="9"/>
        <v>Bad booking</v>
      </c>
    </row>
    <row r="191" spans="1:13" ht="15" thickBot="1" x14ac:dyDescent="0.35">
      <c r="A191" s="2">
        <v>189</v>
      </c>
      <c r="B191" s="2">
        <v>190</v>
      </c>
      <c r="C191" s="4">
        <v>40552</v>
      </c>
      <c r="D191" s="2">
        <v>9.0899999999999995E-2</v>
      </c>
      <c r="E191" s="13">
        <v>0.53</v>
      </c>
      <c r="F191" s="2">
        <v>0.19400000000000001</v>
      </c>
      <c r="G191" s="2">
        <v>0</v>
      </c>
      <c r="H191" s="2">
        <v>1</v>
      </c>
      <c r="I191" s="2">
        <v>1</v>
      </c>
      <c r="J191" t="str">
        <f t="shared" si="7"/>
        <v>0.09</v>
      </c>
      <c r="K191" t="str" cm="1">
        <f t="array" ref="K191">_xlfn.IFS(E191&gt;55%,"higher humidity",E191&gt;=35%,"medium humidity",E191&lt;35%,"lower humidity")</f>
        <v>medium humidity</v>
      </c>
      <c r="L191">
        <f t="shared" si="8"/>
        <v>5</v>
      </c>
      <c r="M191" t="str">
        <f t="shared" si="9"/>
        <v>Bad booking</v>
      </c>
    </row>
    <row r="192" spans="1:13" ht="15" thickBot="1" x14ac:dyDescent="0.35">
      <c r="A192" s="2">
        <v>190</v>
      </c>
      <c r="B192" s="2">
        <v>191</v>
      </c>
      <c r="C192" s="4">
        <v>40552</v>
      </c>
      <c r="D192" s="2">
        <v>9.0899999999999995E-2</v>
      </c>
      <c r="E192" s="13">
        <v>0.53</v>
      </c>
      <c r="F192" s="2">
        <v>0.19400000000000001</v>
      </c>
      <c r="G192" s="2">
        <v>0</v>
      </c>
      <c r="H192" s="2">
        <v>1</v>
      </c>
      <c r="I192" s="2">
        <v>1</v>
      </c>
      <c r="J192" t="str">
        <f t="shared" si="7"/>
        <v>0.09</v>
      </c>
      <c r="K192" t="str" cm="1">
        <f t="array" ref="K192">_xlfn.IFS(E192&gt;55%,"higher humidity",E192&gt;=35%,"medium humidity",E192&lt;35%,"lower humidity")</f>
        <v>medium humidity</v>
      </c>
      <c r="L192">
        <f t="shared" si="8"/>
        <v>5</v>
      </c>
      <c r="M192" t="str">
        <f t="shared" si="9"/>
        <v>Bad booking</v>
      </c>
    </row>
    <row r="193" spans="1:13" ht="15" thickBot="1" x14ac:dyDescent="0.35">
      <c r="A193" s="2">
        <v>191</v>
      </c>
      <c r="B193" s="2">
        <v>192</v>
      </c>
      <c r="C193" s="4">
        <v>40552</v>
      </c>
      <c r="D193" s="2">
        <v>9.0899999999999995E-2</v>
      </c>
      <c r="E193" s="13">
        <v>0.49</v>
      </c>
      <c r="F193" s="2">
        <v>0.28360000000000002</v>
      </c>
      <c r="G193" s="2">
        <v>0</v>
      </c>
      <c r="H193" s="2">
        <v>1</v>
      </c>
      <c r="I193" s="2">
        <v>1</v>
      </c>
      <c r="J193" t="str">
        <f t="shared" si="7"/>
        <v>0.09</v>
      </c>
      <c r="K193" t="str" cm="1">
        <f t="array" ref="K193">_xlfn.IFS(E193&gt;55%,"higher humidity",E193&gt;=35%,"medium humidity",E193&lt;35%,"lower humidity")</f>
        <v>medium humidity</v>
      </c>
      <c r="L193">
        <f t="shared" si="8"/>
        <v>6</v>
      </c>
      <c r="M193" t="str">
        <f t="shared" si="9"/>
        <v>Bad booking</v>
      </c>
    </row>
    <row r="194" spans="1:13" ht="15" thickBot="1" x14ac:dyDescent="0.35">
      <c r="A194" s="2">
        <v>192</v>
      </c>
      <c r="B194" s="2">
        <v>193</v>
      </c>
      <c r="C194" s="4">
        <v>40552</v>
      </c>
      <c r="D194" s="2">
        <v>9.0899999999999995E-2</v>
      </c>
      <c r="E194" s="13">
        <v>0.53</v>
      </c>
      <c r="F194" s="2">
        <v>0.19400000000000001</v>
      </c>
      <c r="G194" s="2">
        <v>1</v>
      </c>
      <c r="H194" s="2">
        <v>5</v>
      </c>
      <c r="I194" s="2">
        <v>6</v>
      </c>
      <c r="J194" t="str">
        <f t="shared" si="7"/>
        <v>0.09</v>
      </c>
      <c r="K194" t="str" cm="1">
        <f t="array" ref="K194">_xlfn.IFS(E194&gt;55%,"higher humidity",E194&gt;=35%,"medium humidity",E194&lt;35%,"lower humidity")</f>
        <v>medium humidity</v>
      </c>
      <c r="L194">
        <f t="shared" si="8"/>
        <v>5</v>
      </c>
      <c r="M194" t="str">
        <f t="shared" si="9"/>
        <v>Bad booking</v>
      </c>
    </row>
    <row r="195" spans="1:13" ht="15" thickBot="1" x14ac:dyDescent="0.35">
      <c r="A195" s="2">
        <v>193</v>
      </c>
      <c r="B195" s="2">
        <v>194</v>
      </c>
      <c r="C195" s="4">
        <v>40552</v>
      </c>
      <c r="D195" s="2">
        <v>9.0899999999999995E-2</v>
      </c>
      <c r="E195" s="13">
        <v>0.49</v>
      </c>
      <c r="F195" s="2">
        <v>0.28360000000000002</v>
      </c>
      <c r="G195" s="2">
        <v>0</v>
      </c>
      <c r="H195" s="2">
        <v>10</v>
      </c>
      <c r="I195" s="2">
        <v>10</v>
      </c>
      <c r="J195" t="str">
        <f t="shared" ref="J195:J258" si="10">LEFT(D195,4)</f>
        <v>0.09</v>
      </c>
      <c r="K195" t="str" cm="1">
        <f t="array" ref="K195">_xlfn.IFS(E195&gt;55%,"higher humidity",E195&gt;=35%,"medium humidity",E195&lt;35%,"lower humidity")</f>
        <v>medium humidity</v>
      </c>
      <c r="L195">
        <f t="shared" ref="L195:L258" si="11">LEN(F195)</f>
        <v>6</v>
      </c>
      <c r="M195" t="str">
        <f t="shared" ref="M195:M258" si="12">IF(H195&gt;30,"good boking","Bad booking")</f>
        <v>Bad booking</v>
      </c>
    </row>
    <row r="196" spans="1:13" ht="15" thickBot="1" x14ac:dyDescent="0.35">
      <c r="A196" s="2">
        <v>194</v>
      </c>
      <c r="B196" s="2">
        <v>195</v>
      </c>
      <c r="C196" s="4">
        <v>40552</v>
      </c>
      <c r="D196" s="2">
        <v>7.5800000000000006E-2</v>
      </c>
      <c r="E196" s="13">
        <v>0.46</v>
      </c>
      <c r="F196" s="2">
        <v>0.52239999999999998</v>
      </c>
      <c r="G196" s="2">
        <v>0</v>
      </c>
      <c r="H196" s="2">
        <v>19</v>
      </c>
      <c r="I196" s="2">
        <v>19</v>
      </c>
      <c r="J196" t="str">
        <f t="shared" si="10"/>
        <v>0.07</v>
      </c>
      <c r="K196" t="str" cm="1">
        <f t="array" ref="K196">_xlfn.IFS(E196&gt;55%,"higher humidity",E196&gt;=35%,"medium humidity",E196&lt;35%,"lower humidity")</f>
        <v>medium humidity</v>
      </c>
      <c r="L196">
        <f t="shared" si="11"/>
        <v>6</v>
      </c>
      <c r="M196" t="str">
        <f t="shared" si="12"/>
        <v>Bad booking</v>
      </c>
    </row>
    <row r="197" spans="1:13" ht="15" thickBot="1" x14ac:dyDescent="0.35">
      <c r="A197" s="2">
        <v>195</v>
      </c>
      <c r="B197" s="2">
        <v>196</v>
      </c>
      <c r="C197" s="4">
        <v>40552</v>
      </c>
      <c r="D197" s="2">
        <v>0.1061</v>
      </c>
      <c r="E197" s="13">
        <v>0.43</v>
      </c>
      <c r="F197" s="2">
        <v>0.3881</v>
      </c>
      <c r="G197" s="2">
        <v>0</v>
      </c>
      <c r="H197" s="2">
        <v>49</v>
      </c>
      <c r="I197" s="2">
        <v>49</v>
      </c>
      <c r="J197" t="str">
        <f t="shared" si="10"/>
        <v>0.10</v>
      </c>
      <c r="K197" t="str" cm="1">
        <f t="array" ref="K197">_xlfn.IFS(E197&gt;55%,"higher humidity",E197&gt;=35%,"medium humidity",E197&lt;35%,"lower humidity")</f>
        <v>medium humidity</v>
      </c>
      <c r="L197">
        <f t="shared" si="11"/>
        <v>6</v>
      </c>
      <c r="M197" t="str">
        <f t="shared" si="12"/>
        <v>good boking</v>
      </c>
    </row>
    <row r="198" spans="1:13" ht="15" thickBot="1" x14ac:dyDescent="0.35">
      <c r="A198" s="2">
        <v>196</v>
      </c>
      <c r="B198" s="2">
        <v>197</v>
      </c>
      <c r="C198" s="4">
        <v>40552</v>
      </c>
      <c r="D198" s="2">
        <v>0.1212</v>
      </c>
      <c r="E198" s="13">
        <v>0.4</v>
      </c>
      <c r="F198" s="2">
        <v>0.52239999999999998</v>
      </c>
      <c r="G198" s="2">
        <v>2</v>
      </c>
      <c r="H198" s="2">
        <v>47</v>
      </c>
      <c r="I198" s="2">
        <v>49</v>
      </c>
      <c r="J198" t="str">
        <f t="shared" si="10"/>
        <v>0.12</v>
      </c>
      <c r="K198" t="str" cm="1">
        <f t="array" ref="K198">_xlfn.IFS(E198&gt;55%,"higher humidity",E198&gt;=35%,"medium humidity",E198&lt;35%,"lower humidity")</f>
        <v>medium humidity</v>
      </c>
      <c r="L198">
        <f t="shared" si="11"/>
        <v>6</v>
      </c>
      <c r="M198" t="str">
        <f t="shared" si="12"/>
        <v>good boking</v>
      </c>
    </row>
    <row r="199" spans="1:13" ht="15" thickBot="1" x14ac:dyDescent="0.35">
      <c r="A199" s="2">
        <v>197</v>
      </c>
      <c r="B199" s="2">
        <v>198</v>
      </c>
      <c r="C199" s="4">
        <v>40552</v>
      </c>
      <c r="D199" s="2">
        <v>0.13639999999999999</v>
      </c>
      <c r="E199" s="13">
        <v>0.37</v>
      </c>
      <c r="F199" s="2">
        <v>0.44779999999999998</v>
      </c>
      <c r="G199" s="2">
        <v>4</v>
      </c>
      <c r="H199" s="2">
        <v>79</v>
      </c>
      <c r="I199" s="2">
        <v>83</v>
      </c>
      <c r="J199" t="str">
        <f t="shared" si="10"/>
        <v>0.13</v>
      </c>
      <c r="K199" t="str" cm="1">
        <f t="array" ref="K199">_xlfn.IFS(E199&gt;55%,"higher humidity",E199&gt;=35%,"medium humidity",E199&lt;35%,"lower humidity")</f>
        <v>medium humidity</v>
      </c>
      <c r="L199">
        <f t="shared" si="11"/>
        <v>6</v>
      </c>
      <c r="M199" t="str">
        <f t="shared" si="12"/>
        <v>good boking</v>
      </c>
    </row>
    <row r="200" spans="1:13" ht="15" thickBot="1" x14ac:dyDescent="0.35">
      <c r="A200" s="2">
        <v>198</v>
      </c>
      <c r="B200" s="2">
        <v>199</v>
      </c>
      <c r="C200" s="4">
        <v>40552</v>
      </c>
      <c r="D200" s="2">
        <v>0.16669999999999999</v>
      </c>
      <c r="E200" s="13">
        <v>0.34</v>
      </c>
      <c r="F200" s="2">
        <v>0.44779999999999998</v>
      </c>
      <c r="G200" s="2">
        <v>6</v>
      </c>
      <c r="H200" s="2">
        <v>69</v>
      </c>
      <c r="I200" s="2">
        <v>75</v>
      </c>
      <c r="J200" t="str">
        <f t="shared" si="10"/>
        <v>0.16</v>
      </c>
      <c r="K200" t="str" cm="1">
        <f t="array" ref="K200">_xlfn.IFS(E200&gt;55%,"higher humidity",E200&gt;=35%,"medium humidity",E200&lt;35%,"lower humidity")</f>
        <v>lower humidity</v>
      </c>
      <c r="L200">
        <f t="shared" si="11"/>
        <v>6</v>
      </c>
      <c r="M200" t="str">
        <f t="shared" si="12"/>
        <v>good boking</v>
      </c>
    </row>
    <row r="201" spans="1:13" ht="15" thickBot="1" x14ac:dyDescent="0.35">
      <c r="A201" s="2">
        <v>199</v>
      </c>
      <c r="B201" s="2">
        <v>200</v>
      </c>
      <c r="C201" s="4">
        <v>40552</v>
      </c>
      <c r="D201" s="2">
        <v>0.18179999999999999</v>
      </c>
      <c r="E201" s="13">
        <v>0.32</v>
      </c>
      <c r="F201" s="2">
        <v>0.4627</v>
      </c>
      <c r="G201" s="2">
        <v>8</v>
      </c>
      <c r="H201" s="2">
        <v>64</v>
      </c>
      <c r="I201" s="2">
        <v>72</v>
      </c>
      <c r="J201" t="str">
        <f t="shared" si="10"/>
        <v>0.18</v>
      </c>
      <c r="K201" t="str" cm="1">
        <f t="array" ref="K201">_xlfn.IFS(E201&gt;55%,"higher humidity",E201&gt;=35%,"medium humidity",E201&lt;35%,"lower humidity")</f>
        <v>lower humidity</v>
      </c>
      <c r="L201">
        <f t="shared" si="11"/>
        <v>6</v>
      </c>
      <c r="M201" t="str">
        <f t="shared" si="12"/>
        <v>good boking</v>
      </c>
    </row>
    <row r="202" spans="1:13" ht="15" thickBot="1" x14ac:dyDescent="0.35">
      <c r="A202" s="2">
        <v>200</v>
      </c>
      <c r="B202" s="2">
        <v>201</v>
      </c>
      <c r="C202" s="4">
        <v>40552</v>
      </c>
      <c r="D202" s="2">
        <v>0.19700000000000001</v>
      </c>
      <c r="E202" s="13">
        <v>0.35</v>
      </c>
      <c r="F202" s="2">
        <v>0.35820000000000002</v>
      </c>
      <c r="G202" s="2">
        <v>5</v>
      </c>
      <c r="H202" s="2">
        <v>77</v>
      </c>
      <c r="I202" s="2">
        <v>82</v>
      </c>
      <c r="J202" t="str">
        <f t="shared" si="10"/>
        <v>0.19</v>
      </c>
      <c r="K202" t="str" cm="1">
        <f t="array" ref="K202">_xlfn.IFS(E202&gt;55%,"higher humidity",E202&gt;=35%,"medium humidity",E202&lt;35%,"lower humidity")</f>
        <v>medium humidity</v>
      </c>
      <c r="L202">
        <f t="shared" si="11"/>
        <v>6</v>
      </c>
      <c r="M202" t="str">
        <f t="shared" si="12"/>
        <v>good boking</v>
      </c>
    </row>
    <row r="203" spans="1:13" ht="15" thickBot="1" x14ac:dyDescent="0.35">
      <c r="A203" s="2">
        <v>201</v>
      </c>
      <c r="B203" s="2">
        <v>202</v>
      </c>
      <c r="C203" s="4">
        <v>40552</v>
      </c>
      <c r="D203" s="2">
        <v>0.16669999999999999</v>
      </c>
      <c r="E203" s="13">
        <v>0.34</v>
      </c>
      <c r="F203" s="2">
        <v>0.44779999999999998</v>
      </c>
      <c r="G203" s="2">
        <v>13</v>
      </c>
      <c r="H203" s="2">
        <v>79</v>
      </c>
      <c r="I203" s="2">
        <v>92</v>
      </c>
      <c r="J203" t="str">
        <f t="shared" si="10"/>
        <v>0.16</v>
      </c>
      <c r="K203" t="str" cm="1">
        <f t="array" ref="K203">_xlfn.IFS(E203&gt;55%,"higher humidity",E203&gt;=35%,"medium humidity",E203&lt;35%,"lower humidity")</f>
        <v>lower humidity</v>
      </c>
      <c r="L203">
        <f t="shared" si="11"/>
        <v>6</v>
      </c>
      <c r="M203" t="str">
        <f t="shared" si="12"/>
        <v>good boking</v>
      </c>
    </row>
    <row r="204" spans="1:13" ht="15" thickBot="1" x14ac:dyDescent="0.35">
      <c r="A204" s="2">
        <v>202</v>
      </c>
      <c r="B204" s="2">
        <v>203</v>
      </c>
      <c r="C204" s="4">
        <v>40552</v>
      </c>
      <c r="D204" s="2">
        <v>0.1515</v>
      </c>
      <c r="E204" s="13">
        <v>0.37</v>
      </c>
      <c r="F204" s="2">
        <v>0.3881</v>
      </c>
      <c r="G204" s="2">
        <v>3</v>
      </c>
      <c r="H204" s="2">
        <v>59</v>
      </c>
      <c r="I204" s="2">
        <v>62</v>
      </c>
      <c r="J204" t="str">
        <f t="shared" si="10"/>
        <v>0.15</v>
      </c>
      <c r="K204" t="str" cm="1">
        <f t="array" ref="K204">_xlfn.IFS(E204&gt;55%,"higher humidity",E204&gt;=35%,"medium humidity",E204&lt;35%,"lower humidity")</f>
        <v>medium humidity</v>
      </c>
      <c r="L204">
        <f t="shared" si="11"/>
        <v>6</v>
      </c>
      <c r="M204" t="str">
        <f t="shared" si="12"/>
        <v>good boking</v>
      </c>
    </row>
    <row r="205" spans="1:13" ht="15" thickBot="1" x14ac:dyDescent="0.35">
      <c r="A205" s="2">
        <v>203</v>
      </c>
      <c r="B205" s="2">
        <v>204</v>
      </c>
      <c r="C205" s="4">
        <v>40552</v>
      </c>
      <c r="D205" s="2">
        <v>0.13639999999999999</v>
      </c>
      <c r="E205" s="13">
        <v>0.4</v>
      </c>
      <c r="F205" s="2">
        <v>0.32840000000000003</v>
      </c>
      <c r="G205" s="2">
        <v>4</v>
      </c>
      <c r="H205" s="2">
        <v>44</v>
      </c>
      <c r="I205" s="2">
        <v>48</v>
      </c>
      <c r="J205" t="str">
        <f t="shared" si="10"/>
        <v>0.13</v>
      </c>
      <c r="K205" t="str" cm="1">
        <f t="array" ref="K205">_xlfn.IFS(E205&gt;55%,"higher humidity",E205&gt;=35%,"medium humidity",E205&lt;35%,"lower humidity")</f>
        <v>medium humidity</v>
      </c>
      <c r="L205">
        <f t="shared" si="11"/>
        <v>6</v>
      </c>
      <c r="M205" t="str">
        <f t="shared" si="12"/>
        <v>good boking</v>
      </c>
    </row>
    <row r="206" spans="1:13" ht="15" thickBot="1" x14ac:dyDescent="0.35">
      <c r="A206" s="2">
        <v>204</v>
      </c>
      <c r="B206" s="2">
        <v>205</v>
      </c>
      <c r="C206" s="4">
        <v>40552</v>
      </c>
      <c r="D206" s="2">
        <v>0.13639999999999999</v>
      </c>
      <c r="E206" s="13">
        <v>0.43</v>
      </c>
      <c r="F206" s="2">
        <v>0.32840000000000003</v>
      </c>
      <c r="G206" s="2">
        <v>1</v>
      </c>
      <c r="H206" s="2">
        <v>40</v>
      </c>
      <c r="I206" s="2">
        <v>41</v>
      </c>
      <c r="J206" t="str">
        <f t="shared" si="10"/>
        <v>0.13</v>
      </c>
      <c r="K206" t="str" cm="1">
        <f t="array" ref="K206">_xlfn.IFS(E206&gt;55%,"higher humidity",E206&gt;=35%,"medium humidity",E206&lt;35%,"lower humidity")</f>
        <v>medium humidity</v>
      </c>
      <c r="L206">
        <f t="shared" si="11"/>
        <v>6</v>
      </c>
      <c r="M206" t="str">
        <f t="shared" si="12"/>
        <v>good boking</v>
      </c>
    </row>
    <row r="207" spans="1:13" ht="15" thickBot="1" x14ac:dyDescent="0.35">
      <c r="A207" s="2">
        <v>205</v>
      </c>
      <c r="B207" s="2">
        <v>206</v>
      </c>
      <c r="C207" s="4">
        <v>40552</v>
      </c>
      <c r="D207" s="2">
        <v>0.1212</v>
      </c>
      <c r="E207" s="13">
        <v>0.46</v>
      </c>
      <c r="F207" s="2">
        <v>0.25369999999999998</v>
      </c>
      <c r="G207" s="2">
        <v>0</v>
      </c>
      <c r="H207" s="2">
        <v>38</v>
      </c>
      <c r="I207" s="2">
        <v>38</v>
      </c>
      <c r="J207" t="str">
        <f t="shared" si="10"/>
        <v>0.12</v>
      </c>
      <c r="K207" t="str" cm="1">
        <f t="array" ref="K207">_xlfn.IFS(E207&gt;55%,"higher humidity",E207&gt;=35%,"medium humidity",E207&lt;35%,"lower humidity")</f>
        <v>medium humidity</v>
      </c>
      <c r="L207">
        <f t="shared" si="11"/>
        <v>6</v>
      </c>
      <c r="M207" t="str">
        <f t="shared" si="12"/>
        <v>good boking</v>
      </c>
    </row>
    <row r="208" spans="1:13" ht="15" thickBot="1" x14ac:dyDescent="0.35">
      <c r="A208" s="2">
        <v>206</v>
      </c>
      <c r="B208" s="2">
        <v>207</v>
      </c>
      <c r="C208" s="4">
        <v>40552</v>
      </c>
      <c r="D208" s="2">
        <v>0.1061</v>
      </c>
      <c r="E208" s="13">
        <v>0.46</v>
      </c>
      <c r="F208" s="2">
        <v>0.41789999999999999</v>
      </c>
      <c r="G208" s="2">
        <v>1</v>
      </c>
      <c r="H208" s="2">
        <v>19</v>
      </c>
      <c r="I208" s="2">
        <v>20</v>
      </c>
      <c r="J208" t="str">
        <f t="shared" si="10"/>
        <v>0.10</v>
      </c>
      <c r="K208" t="str" cm="1">
        <f t="array" ref="K208">_xlfn.IFS(E208&gt;55%,"higher humidity",E208&gt;=35%,"medium humidity",E208&lt;35%,"lower humidity")</f>
        <v>medium humidity</v>
      </c>
      <c r="L208">
        <f t="shared" si="11"/>
        <v>6</v>
      </c>
      <c r="M208" t="str">
        <f t="shared" si="12"/>
        <v>Bad booking</v>
      </c>
    </row>
    <row r="209" spans="1:13" ht="15" thickBot="1" x14ac:dyDescent="0.35">
      <c r="A209" s="2">
        <v>207</v>
      </c>
      <c r="B209" s="2">
        <v>208</v>
      </c>
      <c r="C209" s="4">
        <v>40552</v>
      </c>
      <c r="D209" s="2">
        <v>0.1212</v>
      </c>
      <c r="E209" s="13">
        <v>0.46</v>
      </c>
      <c r="F209" s="2">
        <v>0.29849999999999999</v>
      </c>
      <c r="G209" s="2">
        <v>5</v>
      </c>
      <c r="H209" s="2">
        <v>10</v>
      </c>
      <c r="I209" s="2">
        <v>15</v>
      </c>
      <c r="J209" t="str">
        <f t="shared" si="10"/>
        <v>0.12</v>
      </c>
      <c r="K209" t="str" cm="1">
        <f t="array" ref="K209">_xlfn.IFS(E209&gt;55%,"higher humidity",E209&gt;=35%,"medium humidity",E209&lt;35%,"lower humidity")</f>
        <v>medium humidity</v>
      </c>
      <c r="L209">
        <f t="shared" si="11"/>
        <v>6</v>
      </c>
      <c r="M209" t="str">
        <f t="shared" si="12"/>
        <v>Bad booking</v>
      </c>
    </row>
    <row r="210" spans="1:13" ht="15" thickBot="1" x14ac:dyDescent="0.35">
      <c r="A210" s="2">
        <v>208</v>
      </c>
      <c r="B210" s="2">
        <v>209</v>
      </c>
      <c r="C210" s="4">
        <v>40552</v>
      </c>
      <c r="D210" s="2">
        <v>0.13639999999999999</v>
      </c>
      <c r="E210" s="13">
        <v>0.5</v>
      </c>
      <c r="F210" s="2">
        <v>0.19400000000000001</v>
      </c>
      <c r="G210" s="2">
        <v>0</v>
      </c>
      <c r="H210" s="2">
        <v>6</v>
      </c>
      <c r="I210" s="2">
        <v>6</v>
      </c>
      <c r="J210" t="str">
        <f t="shared" si="10"/>
        <v>0.13</v>
      </c>
      <c r="K210" t="str" cm="1">
        <f t="array" ref="K210">_xlfn.IFS(E210&gt;55%,"higher humidity",E210&gt;=35%,"medium humidity",E210&lt;35%,"lower humidity")</f>
        <v>medium humidity</v>
      </c>
      <c r="L210">
        <f t="shared" si="11"/>
        <v>5</v>
      </c>
      <c r="M210" t="str">
        <f t="shared" si="12"/>
        <v>Bad booking</v>
      </c>
    </row>
    <row r="211" spans="1:13" ht="15" thickBot="1" x14ac:dyDescent="0.35">
      <c r="A211" s="2">
        <v>209</v>
      </c>
      <c r="B211" s="2">
        <v>210</v>
      </c>
      <c r="C211" s="4">
        <v>40553</v>
      </c>
      <c r="D211" s="2">
        <v>0.1212</v>
      </c>
      <c r="E211" s="13">
        <v>0.5</v>
      </c>
      <c r="F211" s="2">
        <v>0.28360000000000002</v>
      </c>
      <c r="G211" s="2">
        <v>2</v>
      </c>
      <c r="H211" s="2">
        <v>3</v>
      </c>
      <c r="I211" s="2">
        <v>5</v>
      </c>
      <c r="J211" t="str">
        <f t="shared" si="10"/>
        <v>0.12</v>
      </c>
      <c r="K211" t="str" cm="1">
        <f t="array" ref="K211">_xlfn.IFS(E211&gt;55%,"higher humidity",E211&gt;=35%,"medium humidity",E211&lt;35%,"lower humidity")</f>
        <v>medium humidity</v>
      </c>
      <c r="L211">
        <f t="shared" si="11"/>
        <v>6</v>
      </c>
      <c r="M211" t="str">
        <f t="shared" si="12"/>
        <v>Bad booking</v>
      </c>
    </row>
    <row r="212" spans="1:13" ht="15" thickBot="1" x14ac:dyDescent="0.35">
      <c r="A212" s="2">
        <v>210</v>
      </c>
      <c r="B212" s="2">
        <v>211</v>
      </c>
      <c r="C212" s="4">
        <v>40553</v>
      </c>
      <c r="D212" s="2">
        <v>0.1212</v>
      </c>
      <c r="E212" s="13">
        <v>0.5</v>
      </c>
      <c r="F212" s="2">
        <v>0.28360000000000002</v>
      </c>
      <c r="G212" s="2">
        <v>1</v>
      </c>
      <c r="H212" s="2">
        <v>0</v>
      </c>
      <c r="I212" s="2">
        <v>1</v>
      </c>
      <c r="J212" t="str">
        <f t="shared" si="10"/>
        <v>0.12</v>
      </c>
      <c r="K212" t="str" cm="1">
        <f t="array" ref="K212">_xlfn.IFS(E212&gt;55%,"higher humidity",E212&gt;=35%,"medium humidity",E212&lt;35%,"lower humidity")</f>
        <v>medium humidity</v>
      </c>
      <c r="L212">
        <f t="shared" si="11"/>
        <v>6</v>
      </c>
      <c r="M212" t="str">
        <f t="shared" si="12"/>
        <v>Bad booking</v>
      </c>
    </row>
    <row r="213" spans="1:13" ht="15" thickBot="1" x14ac:dyDescent="0.35">
      <c r="A213" s="2">
        <v>211</v>
      </c>
      <c r="B213" s="2">
        <v>212</v>
      </c>
      <c r="C213" s="4">
        <v>40553</v>
      </c>
      <c r="D213" s="2">
        <v>0.1212</v>
      </c>
      <c r="E213" s="13">
        <v>0.5</v>
      </c>
      <c r="F213" s="2">
        <v>0.22389999999999999</v>
      </c>
      <c r="G213" s="2">
        <v>0</v>
      </c>
      <c r="H213" s="2">
        <v>3</v>
      </c>
      <c r="I213" s="2">
        <v>3</v>
      </c>
      <c r="J213" t="str">
        <f t="shared" si="10"/>
        <v>0.12</v>
      </c>
      <c r="K213" t="str" cm="1">
        <f t="array" ref="K213">_xlfn.IFS(E213&gt;55%,"higher humidity",E213&gt;=35%,"medium humidity",E213&lt;35%,"lower humidity")</f>
        <v>medium humidity</v>
      </c>
      <c r="L213">
        <f t="shared" si="11"/>
        <v>6</v>
      </c>
      <c r="M213" t="str">
        <f t="shared" si="12"/>
        <v>Bad booking</v>
      </c>
    </row>
    <row r="214" spans="1:13" ht="15" thickBot="1" x14ac:dyDescent="0.35">
      <c r="A214" s="2">
        <v>212</v>
      </c>
      <c r="B214" s="2">
        <v>213</v>
      </c>
      <c r="C214" s="4">
        <v>40553</v>
      </c>
      <c r="D214" s="2">
        <v>0.1212</v>
      </c>
      <c r="E214" s="13">
        <v>0.5</v>
      </c>
      <c r="F214" s="2">
        <v>0.22389999999999999</v>
      </c>
      <c r="G214" s="2">
        <v>0</v>
      </c>
      <c r="H214" s="2">
        <v>1</v>
      </c>
      <c r="I214" s="2">
        <v>1</v>
      </c>
      <c r="J214" t="str">
        <f t="shared" si="10"/>
        <v>0.12</v>
      </c>
      <c r="K214" t="str" cm="1">
        <f t="array" ref="K214">_xlfn.IFS(E214&gt;55%,"higher humidity",E214&gt;=35%,"medium humidity",E214&lt;35%,"lower humidity")</f>
        <v>medium humidity</v>
      </c>
      <c r="L214">
        <f t="shared" si="11"/>
        <v>6</v>
      </c>
      <c r="M214" t="str">
        <f t="shared" si="12"/>
        <v>Bad booking</v>
      </c>
    </row>
    <row r="215" spans="1:13" ht="15" thickBot="1" x14ac:dyDescent="0.35">
      <c r="A215" s="2">
        <v>213</v>
      </c>
      <c r="B215" s="2">
        <v>214</v>
      </c>
      <c r="C215" s="4">
        <v>40553</v>
      </c>
      <c r="D215" s="2">
        <v>0.1212</v>
      </c>
      <c r="E215" s="13">
        <v>0.54</v>
      </c>
      <c r="F215" s="2">
        <v>0.1343</v>
      </c>
      <c r="G215" s="2">
        <v>1</v>
      </c>
      <c r="H215" s="2">
        <v>2</v>
      </c>
      <c r="I215" s="2">
        <v>3</v>
      </c>
      <c r="J215" t="str">
        <f t="shared" si="10"/>
        <v>0.12</v>
      </c>
      <c r="K215" t="str" cm="1">
        <f t="array" ref="K215">_xlfn.IFS(E215&gt;55%,"higher humidity",E215&gt;=35%,"medium humidity",E215&lt;35%,"lower humidity")</f>
        <v>medium humidity</v>
      </c>
      <c r="L215">
        <f t="shared" si="11"/>
        <v>6</v>
      </c>
      <c r="M215" t="str">
        <f t="shared" si="12"/>
        <v>Bad booking</v>
      </c>
    </row>
    <row r="216" spans="1:13" ht="15" thickBot="1" x14ac:dyDescent="0.35">
      <c r="A216" s="2">
        <v>214</v>
      </c>
      <c r="B216" s="2">
        <v>215</v>
      </c>
      <c r="C216" s="4">
        <v>40553</v>
      </c>
      <c r="D216" s="2">
        <v>0.1061</v>
      </c>
      <c r="E216" s="13">
        <v>0.54</v>
      </c>
      <c r="F216" s="2">
        <v>0.25369999999999998</v>
      </c>
      <c r="G216" s="2">
        <v>0</v>
      </c>
      <c r="H216" s="2">
        <v>3</v>
      </c>
      <c r="I216" s="2">
        <v>3</v>
      </c>
      <c r="J216" t="str">
        <f t="shared" si="10"/>
        <v>0.10</v>
      </c>
      <c r="K216" t="str" cm="1">
        <f t="array" ref="K216">_xlfn.IFS(E216&gt;55%,"higher humidity",E216&gt;=35%,"medium humidity",E216&lt;35%,"lower humidity")</f>
        <v>medium humidity</v>
      </c>
      <c r="L216">
        <f t="shared" si="11"/>
        <v>6</v>
      </c>
      <c r="M216" t="str">
        <f t="shared" si="12"/>
        <v>Bad booking</v>
      </c>
    </row>
    <row r="217" spans="1:13" ht="15" thickBot="1" x14ac:dyDescent="0.35">
      <c r="A217" s="2">
        <v>215</v>
      </c>
      <c r="B217" s="2">
        <v>216</v>
      </c>
      <c r="C217" s="4">
        <v>40553</v>
      </c>
      <c r="D217" s="2">
        <v>0.1212</v>
      </c>
      <c r="E217" s="13">
        <v>0.5</v>
      </c>
      <c r="F217" s="2">
        <v>0.28360000000000002</v>
      </c>
      <c r="G217" s="2">
        <v>0</v>
      </c>
      <c r="H217" s="2">
        <v>31</v>
      </c>
      <c r="I217" s="2">
        <v>31</v>
      </c>
      <c r="J217" t="str">
        <f t="shared" si="10"/>
        <v>0.12</v>
      </c>
      <c r="K217" t="str" cm="1">
        <f t="array" ref="K217">_xlfn.IFS(E217&gt;55%,"higher humidity",E217&gt;=35%,"medium humidity",E217&lt;35%,"lower humidity")</f>
        <v>medium humidity</v>
      </c>
      <c r="L217">
        <f t="shared" si="11"/>
        <v>6</v>
      </c>
      <c r="M217" t="str">
        <f t="shared" si="12"/>
        <v>good boking</v>
      </c>
    </row>
    <row r="218" spans="1:13" ht="15" thickBot="1" x14ac:dyDescent="0.35">
      <c r="A218" s="2">
        <v>216</v>
      </c>
      <c r="B218" s="2">
        <v>217</v>
      </c>
      <c r="C218" s="4">
        <v>40553</v>
      </c>
      <c r="D218" s="2">
        <v>0.1212</v>
      </c>
      <c r="E218" s="13">
        <v>0.5</v>
      </c>
      <c r="F218" s="2">
        <v>0.22389999999999999</v>
      </c>
      <c r="G218" s="2">
        <v>2</v>
      </c>
      <c r="H218" s="2">
        <v>75</v>
      </c>
      <c r="I218" s="2">
        <v>77</v>
      </c>
      <c r="J218" t="str">
        <f t="shared" si="10"/>
        <v>0.12</v>
      </c>
      <c r="K218" t="str" cm="1">
        <f t="array" ref="K218">_xlfn.IFS(E218&gt;55%,"higher humidity",E218&gt;=35%,"medium humidity",E218&lt;35%,"lower humidity")</f>
        <v>medium humidity</v>
      </c>
      <c r="L218">
        <f t="shared" si="11"/>
        <v>6</v>
      </c>
      <c r="M218" t="str">
        <f t="shared" si="12"/>
        <v>good boking</v>
      </c>
    </row>
    <row r="219" spans="1:13" ht="15" thickBot="1" x14ac:dyDescent="0.35">
      <c r="A219" s="2">
        <v>217</v>
      </c>
      <c r="B219" s="2">
        <v>218</v>
      </c>
      <c r="C219" s="4">
        <v>40553</v>
      </c>
      <c r="D219" s="2">
        <v>0.1212</v>
      </c>
      <c r="E219" s="13">
        <v>0.5</v>
      </c>
      <c r="F219" s="2">
        <v>0.28360000000000002</v>
      </c>
      <c r="G219" s="2">
        <v>4</v>
      </c>
      <c r="H219" s="2">
        <v>184</v>
      </c>
      <c r="I219" s="2">
        <v>188</v>
      </c>
      <c r="J219" t="str">
        <f t="shared" si="10"/>
        <v>0.12</v>
      </c>
      <c r="K219" t="str" cm="1">
        <f t="array" ref="K219">_xlfn.IFS(E219&gt;55%,"higher humidity",E219&gt;=35%,"medium humidity",E219&lt;35%,"lower humidity")</f>
        <v>medium humidity</v>
      </c>
      <c r="L219">
        <f t="shared" si="11"/>
        <v>6</v>
      </c>
      <c r="M219" t="str">
        <f t="shared" si="12"/>
        <v>good boking</v>
      </c>
    </row>
    <row r="220" spans="1:13" ht="15" thickBot="1" x14ac:dyDescent="0.35">
      <c r="A220" s="2">
        <v>218</v>
      </c>
      <c r="B220" s="2">
        <v>219</v>
      </c>
      <c r="C220" s="4">
        <v>40553</v>
      </c>
      <c r="D220" s="2">
        <v>0.1212</v>
      </c>
      <c r="E220" s="13">
        <v>0.5</v>
      </c>
      <c r="F220" s="2">
        <v>0.25369999999999998</v>
      </c>
      <c r="G220" s="2">
        <v>2</v>
      </c>
      <c r="H220" s="2">
        <v>92</v>
      </c>
      <c r="I220" s="2">
        <v>94</v>
      </c>
      <c r="J220" t="str">
        <f t="shared" si="10"/>
        <v>0.12</v>
      </c>
      <c r="K220" t="str" cm="1">
        <f t="array" ref="K220">_xlfn.IFS(E220&gt;55%,"higher humidity",E220&gt;=35%,"medium humidity",E220&lt;35%,"lower humidity")</f>
        <v>medium humidity</v>
      </c>
      <c r="L220">
        <f t="shared" si="11"/>
        <v>6</v>
      </c>
      <c r="M220" t="str">
        <f t="shared" si="12"/>
        <v>good boking</v>
      </c>
    </row>
    <row r="221" spans="1:13" ht="15" thickBot="1" x14ac:dyDescent="0.35">
      <c r="A221" s="2">
        <v>219</v>
      </c>
      <c r="B221" s="2">
        <v>220</v>
      </c>
      <c r="C221" s="4">
        <v>40553</v>
      </c>
      <c r="D221" s="2">
        <v>0.1212</v>
      </c>
      <c r="E221" s="13">
        <v>0.5</v>
      </c>
      <c r="F221" s="2">
        <v>0.29849999999999999</v>
      </c>
      <c r="G221" s="2">
        <v>0</v>
      </c>
      <c r="H221" s="2">
        <v>31</v>
      </c>
      <c r="I221" s="2">
        <v>31</v>
      </c>
      <c r="J221" t="str">
        <f t="shared" si="10"/>
        <v>0.12</v>
      </c>
      <c r="K221" t="str" cm="1">
        <f t="array" ref="K221">_xlfn.IFS(E221&gt;55%,"higher humidity",E221&gt;=35%,"medium humidity",E221&lt;35%,"lower humidity")</f>
        <v>medium humidity</v>
      </c>
      <c r="L221">
        <f t="shared" si="11"/>
        <v>6</v>
      </c>
      <c r="M221" t="str">
        <f t="shared" si="12"/>
        <v>good boking</v>
      </c>
    </row>
    <row r="222" spans="1:13" ht="15" thickBot="1" x14ac:dyDescent="0.35">
      <c r="A222" s="2">
        <v>220</v>
      </c>
      <c r="B222" s="2">
        <v>221</v>
      </c>
      <c r="C222" s="4">
        <v>40553</v>
      </c>
      <c r="D222" s="2">
        <v>0.13639999999999999</v>
      </c>
      <c r="E222" s="13">
        <v>0.47</v>
      </c>
      <c r="F222" s="2">
        <v>0.28360000000000002</v>
      </c>
      <c r="G222" s="2">
        <v>2</v>
      </c>
      <c r="H222" s="2">
        <v>28</v>
      </c>
      <c r="I222" s="2">
        <v>30</v>
      </c>
      <c r="J222" t="str">
        <f t="shared" si="10"/>
        <v>0.13</v>
      </c>
      <c r="K222" t="str" cm="1">
        <f t="array" ref="K222">_xlfn.IFS(E222&gt;55%,"higher humidity",E222&gt;=35%,"medium humidity",E222&lt;35%,"lower humidity")</f>
        <v>medium humidity</v>
      </c>
      <c r="L222">
        <f t="shared" si="11"/>
        <v>6</v>
      </c>
      <c r="M222" t="str">
        <f t="shared" si="12"/>
        <v>Bad booking</v>
      </c>
    </row>
    <row r="223" spans="1:13" ht="15" thickBot="1" x14ac:dyDescent="0.35">
      <c r="A223" s="2">
        <v>221</v>
      </c>
      <c r="B223" s="2">
        <v>222</v>
      </c>
      <c r="C223" s="4">
        <v>40553</v>
      </c>
      <c r="D223" s="2">
        <v>0.18179999999999999</v>
      </c>
      <c r="E223" s="13">
        <v>0.4</v>
      </c>
      <c r="F223" s="2">
        <v>0.28360000000000002</v>
      </c>
      <c r="G223" s="2">
        <v>5</v>
      </c>
      <c r="H223" s="2">
        <v>47</v>
      </c>
      <c r="I223" s="2">
        <v>52</v>
      </c>
      <c r="J223" t="str">
        <f t="shared" si="10"/>
        <v>0.18</v>
      </c>
      <c r="K223" t="str" cm="1">
        <f t="array" ref="K223">_xlfn.IFS(E223&gt;55%,"higher humidity",E223&gt;=35%,"medium humidity",E223&lt;35%,"lower humidity")</f>
        <v>medium humidity</v>
      </c>
      <c r="L223">
        <f t="shared" si="11"/>
        <v>6</v>
      </c>
      <c r="M223" t="str">
        <f t="shared" si="12"/>
        <v>good boking</v>
      </c>
    </row>
    <row r="224" spans="1:13" ht="15" thickBot="1" x14ac:dyDescent="0.35">
      <c r="A224" s="2">
        <v>222</v>
      </c>
      <c r="B224" s="2">
        <v>223</v>
      </c>
      <c r="C224" s="4">
        <v>40553</v>
      </c>
      <c r="D224" s="2">
        <v>0.18179999999999999</v>
      </c>
      <c r="E224" s="13">
        <v>0.4</v>
      </c>
      <c r="F224" s="2">
        <v>0.28360000000000002</v>
      </c>
      <c r="G224" s="2">
        <v>4</v>
      </c>
      <c r="H224" s="2">
        <v>50</v>
      </c>
      <c r="I224" s="2">
        <v>54</v>
      </c>
      <c r="J224" t="str">
        <f t="shared" si="10"/>
        <v>0.18</v>
      </c>
      <c r="K224" t="str" cm="1">
        <f t="array" ref="K224">_xlfn.IFS(E224&gt;55%,"higher humidity",E224&gt;=35%,"medium humidity",E224&lt;35%,"lower humidity")</f>
        <v>medium humidity</v>
      </c>
      <c r="L224">
        <f t="shared" si="11"/>
        <v>6</v>
      </c>
      <c r="M224" t="str">
        <f t="shared" si="12"/>
        <v>good boking</v>
      </c>
    </row>
    <row r="225" spans="1:13" ht="15" thickBot="1" x14ac:dyDescent="0.35">
      <c r="A225" s="2">
        <v>223</v>
      </c>
      <c r="B225" s="2">
        <v>224</v>
      </c>
      <c r="C225" s="4">
        <v>40553</v>
      </c>
      <c r="D225" s="2">
        <v>0.19700000000000001</v>
      </c>
      <c r="E225" s="13">
        <v>0.4</v>
      </c>
      <c r="F225" s="2">
        <v>0.22389999999999999</v>
      </c>
      <c r="G225" s="2">
        <v>0</v>
      </c>
      <c r="H225" s="2">
        <v>47</v>
      </c>
      <c r="I225" s="2">
        <v>47</v>
      </c>
      <c r="J225" t="str">
        <f t="shared" si="10"/>
        <v>0.19</v>
      </c>
      <c r="K225" t="str" cm="1">
        <f t="array" ref="K225">_xlfn.IFS(E225&gt;55%,"higher humidity",E225&gt;=35%,"medium humidity",E225&lt;35%,"lower humidity")</f>
        <v>medium humidity</v>
      </c>
      <c r="L225">
        <f t="shared" si="11"/>
        <v>6</v>
      </c>
      <c r="M225" t="str">
        <f t="shared" si="12"/>
        <v>good boking</v>
      </c>
    </row>
    <row r="226" spans="1:13" ht="15" thickBot="1" x14ac:dyDescent="0.35">
      <c r="A226" s="2">
        <v>224</v>
      </c>
      <c r="B226" s="2">
        <v>225</v>
      </c>
      <c r="C226" s="4">
        <v>40553</v>
      </c>
      <c r="D226" s="2">
        <v>0.19700000000000001</v>
      </c>
      <c r="E226" s="13">
        <v>0.4</v>
      </c>
      <c r="F226" s="2">
        <v>0.22389999999999999</v>
      </c>
      <c r="G226" s="2">
        <v>2</v>
      </c>
      <c r="H226" s="2">
        <v>43</v>
      </c>
      <c r="I226" s="2">
        <v>45</v>
      </c>
      <c r="J226" t="str">
        <f t="shared" si="10"/>
        <v>0.19</v>
      </c>
      <c r="K226" t="str" cm="1">
        <f t="array" ref="K226">_xlfn.IFS(E226&gt;55%,"higher humidity",E226&gt;=35%,"medium humidity",E226&lt;35%,"lower humidity")</f>
        <v>medium humidity</v>
      </c>
      <c r="L226">
        <f t="shared" si="11"/>
        <v>6</v>
      </c>
      <c r="M226" t="str">
        <f t="shared" si="12"/>
        <v>good boking</v>
      </c>
    </row>
    <row r="227" spans="1:13" ht="15" thickBot="1" x14ac:dyDescent="0.35">
      <c r="A227" s="2">
        <v>225</v>
      </c>
      <c r="B227" s="2">
        <v>226</v>
      </c>
      <c r="C227" s="4">
        <v>40553</v>
      </c>
      <c r="D227" s="2">
        <v>0.21210000000000001</v>
      </c>
      <c r="E227" s="13">
        <v>0.4</v>
      </c>
      <c r="F227" s="2">
        <v>0.1343</v>
      </c>
      <c r="G227" s="2">
        <v>4</v>
      </c>
      <c r="H227" s="2">
        <v>70</v>
      </c>
      <c r="I227" s="2">
        <v>74</v>
      </c>
      <c r="J227" t="str">
        <f t="shared" si="10"/>
        <v>0.21</v>
      </c>
      <c r="K227" t="str" cm="1">
        <f t="array" ref="K227">_xlfn.IFS(E227&gt;55%,"higher humidity",E227&gt;=35%,"medium humidity",E227&lt;35%,"lower humidity")</f>
        <v>medium humidity</v>
      </c>
      <c r="L227">
        <f t="shared" si="11"/>
        <v>6</v>
      </c>
      <c r="M227" t="str">
        <f t="shared" si="12"/>
        <v>good boking</v>
      </c>
    </row>
    <row r="228" spans="1:13" ht="15" thickBot="1" x14ac:dyDescent="0.35">
      <c r="A228" s="2">
        <v>226</v>
      </c>
      <c r="B228" s="2">
        <v>227</v>
      </c>
      <c r="C228" s="4">
        <v>40553</v>
      </c>
      <c r="D228" s="2">
        <v>0.2273</v>
      </c>
      <c r="E228" s="13">
        <v>0.4</v>
      </c>
      <c r="F228" s="2">
        <v>0.1045</v>
      </c>
      <c r="G228" s="2">
        <v>4</v>
      </c>
      <c r="H228" s="2">
        <v>174</v>
      </c>
      <c r="I228" s="2">
        <v>178</v>
      </c>
      <c r="J228" t="str">
        <f t="shared" si="10"/>
        <v>0.22</v>
      </c>
      <c r="K228" t="str" cm="1">
        <f t="array" ref="K228">_xlfn.IFS(E228&gt;55%,"higher humidity",E228&gt;=35%,"medium humidity",E228&lt;35%,"lower humidity")</f>
        <v>medium humidity</v>
      </c>
      <c r="L228">
        <f t="shared" si="11"/>
        <v>6</v>
      </c>
      <c r="M228" t="str">
        <f t="shared" si="12"/>
        <v>good boking</v>
      </c>
    </row>
    <row r="229" spans="1:13" ht="15" thickBot="1" x14ac:dyDescent="0.35">
      <c r="A229" s="2">
        <v>227</v>
      </c>
      <c r="B229" s="2">
        <v>228</v>
      </c>
      <c r="C229" s="4">
        <v>40553</v>
      </c>
      <c r="D229" s="2">
        <v>0.19700000000000001</v>
      </c>
      <c r="E229" s="13">
        <v>0.4</v>
      </c>
      <c r="F229" s="2">
        <v>0.22389999999999999</v>
      </c>
      <c r="G229" s="2">
        <v>1</v>
      </c>
      <c r="H229" s="2">
        <v>154</v>
      </c>
      <c r="I229" s="2">
        <v>155</v>
      </c>
      <c r="J229" t="str">
        <f t="shared" si="10"/>
        <v>0.19</v>
      </c>
      <c r="K229" t="str" cm="1">
        <f t="array" ref="K229">_xlfn.IFS(E229&gt;55%,"higher humidity",E229&gt;=35%,"medium humidity",E229&lt;35%,"lower humidity")</f>
        <v>medium humidity</v>
      </c>
      <c r="L229">
        <f t="shared" si="11"/>
        <v>6</v>
      </c>
      <c r="M229" t="str">
        <f t="shared" si="12"/>
        <v>good boking</v>
      </c>
    </row>
    <row r="230" spans="1:13" ht="15" thickBot="1" x14ac:dyDescent="0.35">
      <c r="A230" s="2">
        <v>228</v>
      </c>
      <c r="B230" s="2">
        <v>229</v>
      </c>
      <c r="C230" s="4">
        <v>40553</v>
      </c>
      <c r="D230" s="2">
        <v>0.16669999999999999</v>
      </c>
      <c r="E230" s="13">
        <v>0.47</v>
      </c>
      <c r="F230" s="2">
        <v>0.16420000000000001</v>
      </c>
      <c r="G230" s="2">
        <v>3</v>
      </c>
      <c r="H230" s="2">
        <v>92</v>
      </c>
      <c r="I230" s="2">
        <v>95</v>
      </c>
      <c r="J230" t="str">
        <f t="shared" si="10"/>
        <v>0.16</v>
      </c>
      <c r="K230" t="str" cm="1">
        <f t="array" ref="K230">_xlfn.IFS(E230&gt;55%,"higher humidity",E230&gt;=35%,"medium humidity",E230&lt;35%,"lower humidity")</f>
        <v>medium humidity</v>
      </c>
      <c r="L230">
        <f t="shared" si="11"/>
        <v>6</v>
      </c>
      <c r="M230" t="str">
        <f t="shared" si="12"/>
        <v>good boking</v>
      </c>
    </row>
    <row r="231" spans="1:13" ht="15" thickBot="1" x14ac:dyDescent="0.35">
      <c r="A231" s="2">
        <v>229</v>
      </c>
      <c r="B231" s="2">
        <v>230</v>
      </c>
      <c r="C231" s="4">
        <v>40553</v>
      </c>
      <c r="D231" s="2">
        <v>0.16669999999999999</v>
      </c>
      <c r="E231" s="13">
        <v>0.5</v>
      </c>
      <c r="F231" s="2">
        <v>0.16420000000000001</v>
      </c>
      <c r="G231" s="2">
        <v>1</v>
      </c>
      <c r="H231" s="2">
        <v>73</v>
      </c>
      <c r="I231" s="2">
        <v>74</v>
      </c>
      <c r="J231" t="str">
        <f t="shared" si="10"/>
        <v>0.16</v>
      </c>
      <c r="K231" t="str" cm="1">
        <f t="array" ref="K231">_xlfn.IFS(E231&gt;55%,"higher humidity",E231&gt;=35%,"medium humidity",E231&lt;35%,"lower humidity")</f>
        <v>medium humidity</v>
      </c>
      <c r="L231">
        <f t="shared" si="11"/>
        <v>6</v>
      </c>
      <c r="M231" t="str">
        <f t="shared" si="12"/>
        <v>good boking</v>
      </c>
    </row>
    <row r="232" spans="1:13" ht="15" thickBot="1" x14ac:dyDescent="0.35">
      <c r="A232" s="2">
        <v>230</v>
      </c>
      <c r="B232" s="2">
        <v>231</v>
      </c>
      <c r="C232" s="4">
        <v>40553</v>
      </c>
      <c r="D232" s="2">
        <v>0.13639999999999999</v>
      </c>
      <c r="E232" s="13">
        <v>0.59</v>
      </c>
      <c r="F232" s="2">
        <v>0.19400000000000001</v>
      </c>
      <c r="G232" s="2">
        <v>1</v>
      </c>
      <c r="H232" s="2">
        <v>37</v>
      </c>
      <c r="I232" s="2">
        <v>38</v>
      </c>
      <c r="J232" t="str">
        <f t="shared" si="10"/>
        <v>0.13</v>
      </c>
      <c r="K232" t="str" cm="1">
        <f t="array" ref="K232">_xlfn.IFS(E232&gt;55%,"higher humidity",E232&gt;=35%,"medium humidity",E232&lt;35%,"lower humidity")</f>
        <v>higher humidity</v>
      </c>
      <c r="L232">
        <f t="shared" si="11"/>
        <v>5</v>
      </c>
      <c r="M232" t="str">
        <f t="shared" si="12"/>
        <v>good boking</v>
      </c>
    </row>
    <row r="233" spans="1:13" ht="15" thickBot="1" x14ac:dyDescent="0.35">
      <c r="A233" s="2">
        <v>231</v>
      </c>
      <c r="B233" s="2">
        <v>232</v>
      </c>
      <c r="C233" s="4">
        <v>40553</v>
      </c>
      <c r="D233" s="2">
        <v>0.1515</v>
      </c>
      <c r="E233" s="13">
        <v>0.59</v>
      </c>
      <c r="F233" s="2">
        <v>0.16420000000000001</v>
      </c>
      <c r="G233" s="2">
        <v>2</v>
      </c>
      <c r="H233" s="2">
        <v>22</v>
      </c>
      <c r="I233" s="2">
        <v>24</v>
      </c>
      <c r="J233" t="str">
        <f t="shared" si="10"/>
        <v>0.15</v>
      </c>
      <c r="K233" t="str" cm="1">
        <f t="array" ref="K233">_xlfn.IFS(E233&gt;55%,"higher humidity",E233&gt;=35%,"medium humidity",E233&lt;35%,"lower humidity")</f>
        <v>higher humidity</v>
      </c>
      <c r="L233">
        <f t="shared" si="11"/>
        <v>6</v>
      </c>
      <c r="M233" t="str">
        <f t="shared" si="12"/>
        <v>Bad booking</v>
      </c>
    </row>
    <row r="234" spans="1:13" ht="15" thickBot="1" x14ac:dyDescent="0.35">
      <c r="A234" s="2">
        <v>232</v>
      </c>
      <c r="B234" s="2">
        <v>233</v>
      </c>
      <c r="C234" s="4">
        <v>40553</v>
      </c>
      <c r="D234" s="2">
        <v>0.1515</v>
      </c>
      <c r="E234" s="13">
        <v>0.59</v>
      </c>
      <c r="F234" s="2">
        <v>0.16420000000000001</v>
      </c>
      <c r="G234" s="2">
        <v>0</v>
      </c>
      <c r="H234" s="2">
        <v>18</v>
      </c>
      <c r="I234" s="2">
        <v>18</v>
      </c>
      <c r="J234" t="str">
        <f t="shared" si="10"/>
        <v>0.15</v>
      </c>
      <c r="K234" t="str" cm="1">
        <f t="array" ref="K234">_xlfn.IFS(E234&gt;55%,"higher humidity",E234&gt;=35%,"medium humidity",E234&lt;35%,"lower humidity")</f>
        <v>higher humidity</v>
      </c>
      <c r="L234">
        <f t="shared" si="11"/>
        <v>6</v>
      </c>
      <c r="M234" t="str">
        <f t="shared" si="12"/>
        <v>Bad booking</v>
      </c>
    </row>
    <row r="235" spans="1:13" ht="15" thickBot="1" x14ac:dyDescent="0.35">
      <c r="A235" s="2">
        <v>233</v>
      </c>
      <c r="B235" s="2">
        <v>234</v>
      </c>
      <c r="C235" s="4">
        <v>40554</v>
      </c>
      <c r="D235" s="2">
        <v>0.16669999999999999</v>
      </c>
      <c r="E235" s="13">
        <v>0.59</v>
      </c>
      <c r="F235" s="2">
        <v>0.1045</v>
      </c>
      <c r="G235" s="2">
        <v>2</v>
      </c>
      <c r="H235" s="2">
        <v>10</v>
      </c>
      <c r="I235" s="2">
        <v>12</v>
      </c>
      <c r="J235" t="str">
        <f t="shared" si="10"/>
        <v>0.16</v>
      </c>
      <c r="K235" t="str" cm="1">
        <f t="array" ref="K235">_xlfn.IFS(E235&gt;55%,"higher humidity",E235&gt;=35%,"medium humidity",E235&lt;35%,"lower humidity")</f>
        <v>higher humidity</v>
      </c>
      <c r="L235">
        <f t="shared" si="11"/>
        <v>6</v>
      </c>
      <c r="M235" t="str">
        <f t="shared" si="12"/>
        <v>Bad booking</v>
      </c>
    </row>
    <row r="236" spans="1:13" ht="15" thickBot="1" x14ac:dyDescent="0.35">
      <c r="A236" s="2">
        <v>234</v>
      </c>
      <c r="B236" s="2">
        <v>235</v>
      </c>
      <c r="C236" s="4">
        <v>40554</v>
      </c>
      <c r="D236" s="2">
        <v>0.1515</v>
      </c>
      <c r="E236" s="13">
        <v>0.59</v>
      </c>
      <c r="F236" s="2">
        <v>0.16420000000000001</v>
      </c>
      <c r="G236" s="2">
        <v>0</v>
      </c>
      <c r="H236" s="2">
        <v>3</v>
      </c>
      <c r="I236" s="2">
        <v>3</v>
      </c>
      <c r="J236" t="str">
        <f t="shared" si="10"/>
        <v>0.15</v>
      </c>
      <c r="K236" t="str" cm="1">
        <f t="array" ref="K236">_xlfn.IFS(E236&gt;55%,"higher humidity",E236&gt;=35%,"medium humidity",E236&lt;35%,"lower humidity")</f>
        <v>higher humidity</v>
      </c>
      <c r="L236">
        <f t="shared" si="11"/>
        <v>6</v>
      </c>
      <c r="M236" t="str">
        <f t="shared" si="12"/>
        <v>Bad booking</v>
      </c>
    </row>
    <row r="237" spans="1:13" ht="15" thickBot="1" x14ac:dyDescent="0.35">
      <c r="A237" s="2">
        <v>235</v>
      </c>
      <c r="B237" s="2">
        <v>236</v>
      </c>
      <c r="C237" s="4">
        <v>40554</v>
      </c>
      <c r="D237" s="2">
        <v>0.1515</v>
      </c>
      <c r="E237" s="13">
        <v>0.55000000000000004</v>
      </c>
      <c r="F237" s="2">
        <v>0.19400000000000001</v>
      </c>
      <c r="G237" s="2">
        <v>0</v>
      </c>
      <c r="H237" s="2">
        <v>3</v>
      </c>
      <c r="I237" s="2">
        <v>3</v>
      </c>
      <c r="J237" t="str">
        <f t="shared" si="10"/>
        <v>0.15</v>
      </c>
      <c r="K237" t="str" cm="1">
        <f t="array" ref="K237">_xlfn.IFS(E237&gt;55%,"higher humidity",E237&gt;=35%,"medium humidity",E237&lt;35%,"lower humidity")</f>
        <v>medium humidity</v>
      </c>
      <c r="L237">
        <f t="shared" si="11"/>
        <v>5</v>
      </c>
      <c r="M237" t="str">
        <f t="shared" si="12"/>
        <v>Bad booking</v>
      </c>
    </row>
    <row r="238" spans="1:13" ht="15" thickBot="1" x14ac:dyDescent="0.35">
      <c r="A238" s="2">
        <v>236</v>
      </c>
      <c r="B238" s="2">
        <v>237</v>
      </c>
      <c r="C238" s="4">
        <v>40554</v>
      </c>
      <c r="D238" s="2">
        <v>0.18179999999999999</v>
      </c>
      <c r="E238" s="13">
        <v>0.55000000000000004</v>
      </c>
      <c r="F238" s="2">
        <v>0.1343</v>
      </c>
      <c r="G238" s="2">
        <v>0</v>
      </c>
      <c r="H238" s="2">
        <v>6</v>
      </c>
      <c r="I238" s="2">
        <v>6</v>
      </c>
      <c r="J238" t="str">
        <f t="shared" si="10"/>
        <v>0.18</v>
      </c>
      <c r="K238" t="str" cm="1">
        <f t="array" ref="K238">_xlfn.IFS(E238&gt;55%,"higher humidity",E238&gt;=35%,"medium humidity",E238&lt;35%,"lower humidity")</f>
        <v>medium humidity</v>
      </c>
      <c r="L238">
        <f t="shared" si="11"/>
        <v>6</v>
      </c>
      <c r="M238" t="str">
        <f t="shared" si="12"/>
        <v>Bad booking</v>
      </c>
    </row>
    <row r="239" spans="1:13" ht="15" thickBot="1" x14ac:dyDescent="0.35">
      <c r="A239" s="2">
        <v>237</v>
      </c>
      <c r="B239" s="2">
        <v>238</v>
      </c>
      <c r="C239" s="4">
        <v>40554</v>
      </c>
      <c r="D239" s="2">
        <v>0.18179999999999999</v>
      </c>
      <c r="E239" s="13">
        <v>0.55000000000000004</v>
      </c>
      <c r="F239" s="2">
        <v>0.1343</v>
      </c>
      <c r="G239" s="2">
        <v>0</v>
      </c>
      <c r="H239" s="2">
        <v>27</v>
      </c>
      <c r="I239" s="2">
        <v>27</v>
      </c>
      <c r="J239" t="str">
        <f t="shared" si="10"/>
        <v>0.18</v>
      </c>
      <c r="K239" t="str" cm="1">
        <f t="array" ref="K239">_xlfn.IFS(E239&gt;55%,"higher humidity",E239&gt;=35%,"medium humidity",E239&lt;35%,"lower humidity")</f>
        <v>medium humidity</v>
      </c>
      <c r="L239">
        <f t="shared" si="11"/>
        <v>6</v>
      </c>
      <c r="M239" t="str">
        <f t="shared" si="12"/>
        <v>Bad booking</v>
      </c>
    </row>
    <row r="240" spans="1:13" ht="15" thickBot="1" x14ac:dyDescent="0.35">
      <c r="A240" s="2">
        <v>238</v>
      </c>
      <c r="B240" s="2">
        <v>239</v>
      </c>
      <c r="C240" s="4">
        <v>40554</v>
      </c>
      <c r="D240" s="2">
        <v>0.2273</v>
      </c>
      <c r="E240" s="13">
        <v>0.55000000000000004</v>
      </c>
      <c r="F240" s="2">
        <v>0</v>
      </c>
      <c r="G240" s="2">
        <v>2</v>
      </c>
      <c r="H240" s="2">
        <v>97</v>
      </c>
      <c r="I240" s="2">
        <v>99</v>
      </c>
      <c r="J240" t="str">
        <f t="shared" si="10"/>
        <v>0.22</v>
      </c>
      <c r="K240" t="str" cm="1">
        <f t="array" ref="K240">_xlfn.IFS(E240&gt;55%,"higher humidity",E240&gt;=35%,"medium humidity",E240&lt;35%,"lower humidity")</f>
        <v>medium humidity</v>
      </c>
      <c r="L240">
        <f t="shared" si="11"/>
        <v>1</v>
      </c>
      <c r="M240" t="str">
        <f t="shared" si="12"/>
        <v>good boking</v>
      </c>
    </row>
    <row r="241" spans="1:13" ht="15" thickBot="1" x14ac:dyDescent="0.35">
      <c r="A241" s="2">
        <v>239</v>
      </c>
      <c r="B241" s="2">
        <v>240</v>
      </c>
      <c r="C241" s="4">
        <v>40554</v>
      </c>
      <c r="D241" s="2">
        <v>0.21210000000000001</v>
      </c>
      <c r="E241" s="13">
        <v>0.51</v>
      </c>
      <c r="F241" s="2">
        <v>8.9599999999999999E-2</v>
      </c>
      <c r="G241" s="2">
        <v>3</v>
      </c>
      <c r="H241" s="2">
        <v>214</v>
      </c>
      <c r="I241" s="2">
        <v>217</v>
      </c>
      <c r="J241" t="str">
        <f t="shared" si="10"/>
        <v>0.21</v>
      </c>
      <c r="K241" t="str" cm="1">
        <f t="array" ref="K241">_xlfn.IFS(E241&gt;55%,"higher humidity",E241&gt;=35%,"medium humidity",E241&lt;35%,"lower humidity")</f>
        <v>medium humidity</v>
      </c>
      <c r="L241">
        <f t="shared" si="11"/>
        <v>6</v>
      </c>
      <c r="M241" t="str">
        <f t="shared" si="12"/>
        <v>good boking</v>
      </c>
    </row>
    <row r="242" spans="1:13" ht="15" thickBot="1" x14ac:dyDescent="0.35">
      <c r="A242" s="2">
        <v>240</v>
      </c>
      <c r="B242" s="2">
        <v>241</v>
      </c>
      <c r="C242" s="4">
        <v>40554</v>
      </c>
      <c r="D242" s="2">
        <v>0.19700000000000001</v>
      </c>
      <c r="E242" s="13">
        <v>0.51</v>
      </c>
      <c r="F242" s="2">
        <v>0.16420000000000001</v>
      </c>
      <c r="G242" s="2">
        <v>3</v>
      </c>
      <c r="H242" s="2">
        <v>127</v>
      </c>
      <c r="I242" s="2">
        <v>130</v>
      </c>
      <c r="J242" t="str">
        <f t="shared" si="10"/>
        <v>0.19</v>
      </c>
      <c r="K242" t="str" cm="1">
        <f t="array" ref="K242">_xlfn.IFS(E242&gt;55%,"higher humidity",E242&gt;=35%,"medium humidity",E242&lt;35%,"lower humidity")</f>
        <v>medium humidity</v>
      </c>
      <c r="L242">
        <f t="shared" si="11"/>
        <v>6</v>
      </c>
      <c r="M242" t="str">
        <f t="shared" si="12"/>
        <v>good boking</v>
      </c>
    </row>
    <row r="243" spans="1:13" ht="15" thickBot="1" x14ac:dyDescent="0.35">
      <c r="A243" s="2">
        <v>241</v>
      </c>
      <c r="B243" s="2">
        <v>242</v>
      </c>
      <c r="C243" s="4">
        <v>40554</v>
      </c>
      <c r="D243" s="2">
        <v>0.21210000000000001</v>
      </c>
      <c r="E243" s="13">
        <v>0.51</v>
      </c>
      <c r="F243" s="2">
        <v>0.16420000000000001</v>
      </c>
      <c r="G243" s="2">
        <v>3</v>
      </c>
      <c r="H243" s="2">
        <v>51</v>
      </c>
      <c r="I243" s="2">
        <v>54</v>
      </c>
      <c r="J243" t="str">
        <f t="shared" si="10"/>
        <v>0.21</v>
      </c>
      <c r="K243" t="str" cm="1">
        <f t="array" ref="K243">_xlfn.IFS(E243&gt;55%,"higher humidity",E243&gt;=35%,"medium humidity",E243&lt;35%,"lower humidity")</f>
        <v>medium humidity</v>
      </c>
      <c r="L243">
        <f t="shared" si="11"/>
        <v>6</v>
      </c>
      <c r="M243" t="str">
        <f t="shared" si="12"/>
        <v>good boking</v>
      </c>
    </row>
    <row r="244" spans="1:13" ht="15" thickBot="1" x14ac:dyDescent="0.35">
      <c r="A244" s="2">
        <v>242</v>
      </c>
      <c r="B244" s="2">
        <v>243</v>
      </c>
      <c r="C244" s="4">
        <v>40554</v>
      </c>
      <c r="D244" s="2">
        <v>0.21210000000000001</v>
      </c>
      <c r="E244" s="13">
        <v>0.47</v>
      </c>
      <c r="F244" s="2">
        <v>0.1343</v>
      </c>
      <c r="G244" s="2">
        <v>4</v>
      </c>
      <c r="H244" s="2">
        <v>31</v>
      </c>
      <c r="I244" s="2">
        <v>35</v>
      </c>
      <c r="J244" t="str">
        <f t="shared" si="10"/>
        <v>0.21</v>
      </c>
      <c r="K244" t="str" cm="1">
        <f t="array" ref="K244">_xlfn.IFS(E244&gt;55%,"higher humidity",E244&gt;=35%,"medium humidity",E244&lt;35%,"lower humidity")</f>
        <v>medium humidity</v>
      </c>
      <c r="L244">
        <f t="shared" si="11"/>
        <v>6</v>
      </c>
      <c r="M244" t="str">
        <f t="shared" si="12"/>
        <v>good boking</v>
      </c>
    </row>
    <row r="245" spans="1:13" ht="15" thickBot="1" x14ac:dyDescent="0.35">
      <c r="A245" s="2">
        <v>243</v>
      </c>
      <c r="B245" s="2">
        <v>244</v>
      </c>
      <c r="C245" s="4">
        <v>40554</v>
      </c>
      <c r="D245" s="2">
        <v>0.2273</v>
      </c>
      <c r="E245" s="13">
        <v>0.51</v>
      </c>
      <c r="F245" s="2">
        <v>0.1045</v>
      </c>
      <c r="G245" s="2">
        <v>2</v>
      </c>
      <c r="H245" s="2">
        <v>55</v>
      </c>
      <c r="I245" s="2">
        <v>57</v>
      </c>
      <c r="J245" t="str">
        <f t="shared" si="10"/>
        <v>0.22</v>
      </c>
      <c r="K245" t="str" cm="1">
        <f t="array" ref="K245">_xlfn.IFS(E245&gt;55%,"higher humidity",E245&gt;=35%,"medium humidity",E245&lt;35%,"lower humidity")</f>
        <v>medium humidity</v>
      </c>
      <c r="L245">
        <f t="shared" si="11"/>
        <v>6</v>
      </c>
      <c r="M245" t="str">
        <f t="shared" si="12"/>
        <v>good boking</v>
      </c>
    </row>
    <row r="246" spans="1:13" ht="15" thickBot="1" x14ac:dyDescent="0.35">
      <c r="A246" s="2">
        <v>244</v>
      </c>
      <c r="B246" s="2">
        <v>245</v>
      </c>
      <c r="C246" s="4">
        <v>40554</v>
      </c>
      <c r="D246" s="2">
        <v>0.2273</v>
      </c>
      <c r="E246" s="13">
        <v>0.59</v>
      </c>
      <c r="F246" s="2">
        <v>8.9599999999999999E-2</v>
      </c>
      <c r="G246" s="2">
        <v>6</v>
      </c>
      <c r="H246" s="2">
        <v>46</v>
      </c>
      <c r="I246" s="2">
        <v>52</v>
      </c>
      <c r="J246" t="str">
        <f t="shared" si="10"/>
        <v>0.22</v>
      </c>
      <c r="K246" t="str" cm="1">
        <f t="array" ref="K246">_xlfn.IFS(E246&gt;55%,"higher humidity",E246&gt;=35%,"medium humidity",E246&lt;35%,"lower humidity")</f>
        <v>higher humidity</v>
      </c>
      <c r="L246">
        <f t="shared" si="11"/>
        <v>6</v>
      </c>
      <c r="M246" t="str">
        <f t="shared" si="12"/>
        <v>good boking</v>
      </c>
    </row>
    <row r="247" spans="1:13" ht="15" thickBot="1" x14ac:dyDescent="0.35">
      <c r="A247" s="2">
        <v>245</v>
      </c>
      <c r="B247" s="2">
        <v>246</v>
      </c>
      <c r="C247" s="4">
        <v>40554</v>
      </c>
      <c r="D247" s="2">
        <v>0.2273</v>
      </c>
      <c r="E247" s="13">
        <v>0.59</v>
      </c>
      <c r="F247" s="2">
        <v>8.9599999999999999E-2</v>
      </c>
      <c r="G247" s="2">
        <v>3</v>
      </c>
      <c r="H247" s="2">
        <v>60</v>
      </c>
      <c r="I247" s="2">
        <v>63</v>
      </c>
      <c r="J247" t="str">
        <f t="shared" si="10"/>
        <v>0.22</v>
      </c>
      <c r="K247" t="str" cm="1">
        <f t="array" ref="K247">_xlfn.IFS(E247&gt;55%,"higher humidity",E247&gt;=35%,"medium humidity",E247&lt;35%,"lower humidity")</f>
        <v>higher humidity</v>
      </c>
      <c r="L247">
        <f t="shared" si="11"/>
        <v>6</v>
      </c>
      <c r="M247" t="str">
        <f t="shared" si="12"/>
        <v>good boking</v>
      </c>
    </row>
    <row r="248" spans="1:13" ht="15" thickBot="1" x14ac:dyDescent="0.35">
      <c r="A248" s="2">
        <v>246</v>
      </c>
      <c r="B248" s="2">
        <v>247</v>
      </c>
      <c r="C248" s="4">
        <v>40554</v>
      </c>
      <c r="D248" s="2">
        <v>0.19700000000000001</v>
      </c>
      <c r="E248" s="13">
        <v>0.8</v>
      </c>
      <c r="F248" s="2">
        <v>8.9599999999999999E-2</v>
      </c>
      <c r="G248" s="2">
        <v>2</v>
      </c>
      <c r="H248" s="2">
        <v>45</v>
      </c>
      <c r="I248" s="2">
        <v>47</v>
      </c>
      <c r="J248" t="str">
        <f t="shared" si="10"/>
        <v>0.19</v>
      </c>
      <c r="K248" t="str" cm="1">
        <f t="array" ref="K248">_xlfn.IFS(E248&gt;55%,"higher humidity",E248&gt;=35%,"medium humidity",E248&lt;35%,"lower humidity")</f>
        <v>higher humidity</v>
      </c>
      <c r="L248">
        <f t="shared" si="11"/>
        <v>6</v>
      </c>
      <c r="M248" t="str">
        <f t="shared" si="12"/>
        <v>good boking</v>
      </c>
    </row>
    <row r="249" spans="1:13" ht="15" thickBot="1" x14ac:dyDescent="0.35">
      <c r="A249" s="2">
        <v>247</v>
      </c>
      <c r="B249" s="2">
        <v>248</v>
      </c>
      <c r="C249" s="4">
        <v>40554</v>
      </c>
      <c r="D249" s="2">
        <v>0.1515</v>
      </c>
      <c r="E249" s="13">
        <v>0.86</v>
      </c>
      <c r="F249" s="2">
        <v>0.22389999999999999</v>
      </c>
      <c r="G249" s="2">
        <v>4</v>
      </c>
      <c r="H249" s="2">
        <v>72</v>
      </c>
      <c r="I249" s="2">
        <v>76</v>
      </c>
      <c r="J249" t="str">
        <f t="shared" si="10"/>
        <v>0.15</v>
      </c>
      <c r="K249" t="str" cm="1">
        <f t="array" ref="K249">_xlfn.IFS(E249&gt;55%,"higher humidity",E249&gt;=35%,"medium humidity",E249&lt;35%,"lower humidity")</f>
        <v>higher humidity</v>
      </c>
      <c r="L249">
        <f t="shared" si="11"/>
        <v>6</v>
      </c>
      <c r="M249" t="str">
        <f t="shared" si="12"/>
        <v>good boking</v>
      </c>
    </row>
    <row r="250" spans="1:13" ht="15" thickBot="1" x14ac:dyDescent="0.35">
      <c r="A250" s="2">
        <v>248</v>
      </c>
      <c r="B250" s="2">
        <v>249</v>
      </c>
      <c r="C250" s="4">
        <v>40554</v>
      </c>
      <c r="D250" s="2">
        <v>0.1515</v>
      </c>
      <c r="E250" s="13">
        <v>0.86</v>
      </c>
      <c r="F250" s="2">
        <v>0.22389999999999999</v>
      </c>
      <c r="G250" s="2">
        <v>6</v>
      </c>
      <c r="H250" s="2">
        <v>130</v>
      </c>
      <c r="I250" s="2">
        <v>136</v>
      </c>
      <c r="J250" t="str">
        <f t="shared" si="10"/>
        <v>0.15</v>
      </c>
      <c r="K250" t="str" cm="1">
        <f t="array" ref="K250">_xlfn.IFS(E250&gt;55%,"higher humidity",E250&gt;=35%,"medium humidity",E250&lt;35%,"lower humidity")</f>
        <v>higher humidity</v>
      </c>
      <c r="L250">
        <f t="shared" si="11"/>
        <v>6</v>
      </c>
      <c r="M250" t="str">
        <f t="shared" si="12"/>
        <v>good boking</v>
      </c>
    </row>
    <row r="251" spans="1:13" ht="15" thickBot="1" x14ac:dyDescent="0.35">
      <c r="A251" s="2">
        <v>249</v>
      </c>
      <c r="B251" s="2">
        <v>250</v>
      </c>
      <c r="C251" s="4">
        <v>40554</v>
      </c>
      <c r="D251" s="2">
        <v>0.18179999999999999</v>
      </c>
      <c r="E251" s="13">
        <v>0.93</v>
      </c>
      <c r="F251" s="2">
        <v>0.1045</v>
      </c>
      <c r="G251" s="2">
        <v>1</v>
      </c>
      <c r="H251" s="2">
        <v>94</v>
      </c>
      <c r="I251" s="2">
        <v>95</v>
      </c>
      <c r="J251" t="str">
        <f t="shared" si="10"/>
        <v>0.18</v>
      </c>
      <c r="K251" t="str" cm="1">
        <f t="array" ref="K251">_xlfn.IFS(E251&gt;55%,"higher humidity",E251&gt;=35%,"medium humidity",E251&lt;35%,"lower humidity")</f>
        <v>higher humidity</v>
      </c>
      <c r="L251">
        <f t="shared" si="11"/>
        <v>6</v>
      </c>
      <c r="M251" t="str">
        <f t="shared" si="12"/>
        <v>good boking</v>
      </c>
    </row>
    <row r="252" spans="1:13" ht="15" thickBot="1" x14ac:dyDescent="0.35">
      <c r="A252" s="2">
        <v>250</v>
      </c>
      <c r="B252" s="2">
        <v>251</v>
      </c>
      <c r="C252" s="4">
        <v>40554</v>
      </c>
      <c r="D252" s="2">
        <v>0.2273</v>
      </c>
      <c r="E252" s="13">
        <v>0.93</v>
      </c>
      <c r="F252" s="2">
        <v>0</v>
      </c>
      <c r="G252" s="2">
        <v>0</v>
      </c>
      <c r="H252" s="2">
        <v>51</v>
      </c>
      <c r="I252" s="2">
        <v>51</v>
      </c>
      <c r="J252" t="str">
        <f t="shared" si="10"/>
        <v>0.22</v>
      </c>
      <c r="K252" t="str" cm="1">
        <f t="array" ref="K252">_xlfn.IFS(E252&gt;55%,"higher humidity",E252&gt;=35%,"medium humidity",E252&lt;35%,"lower humidity")</f>
        <v>higher humidity</v>
      </c>
      <c r="L252">
        <f t="shared" si="11"/>
        <v>1</v>
      </c>
      <c r="M252" t="str">
        <f t="shared" si="12"/>
        <v>good boking</v>
      </c>
    </row>
    <row r="253" spans="1:13" ht="15" thickBot="1" x14ac:dyDescent="0.35">
      <c r="A253" s="2">
        <v>251</v>
      </c>
      <c r="B253" s="2">
        <v>252</v>
      </c>
      <c r="C253" s="4">
        <v>40554</v>
      </c>
      <c r="D253" s="2">
        <v>0.1515</v>
      </c>
      <c r="E253" s="13">
        <v>0.93</v>
      </c>
      <c r="F253" s="2">
        <v>0.19400000000000001</v>
      </c>
      <c r="G253" s="2">
        <v>0</v>
      </c>
      <c r="H253" s="2">
        <v>32</v>
      </c>
      <c r="I253" s="2">
        <v>32</v>
      </c>
      <c r="J253" t="str">
        <f t="shared" si="10"/>
        <v>0.15</v>
      </c>
      <c r="K253" t="str" cm="1">
        <f t="array" ref="K253">_xlfn.IFS(E253&gt;55%,"higher humidity",E253&gt;=35%,"medium humidity",E253&lt;35%,"lower humidity")</f>
        <v>higher humidity</v>
      </c>
      <c r="L253">
        <f t="shared" si="11"/>
        <v>5</v>
      </c>
      <c r="M253" t="str">
        <f t="shared" si="12"/>
        <v>good boking</v>
      </c>
    </row>
    <row r="254" spans="1:13" ht="15" thickBot="1" x14ac:dyDescent="0.35">
      <c r="A254" s="2">
        <v>252</v>
      </c>
      <c r="B254" s="2">
        <v>253</v>
      </c>
      <c r="C254" s="4">
        <v>40554</v>
      </c>
      <c r="D254" s="2">
        <v>0.19700000000000001</v>
      </c>
      <c r="E254" s="13">
        <v>0.86</v>
      </c>
      <c r="F254" s="2">
        <v>8.9599999999999999E-2</v>
      </c>
      <c r="G254" s="2">
        <v>0</v>
      </c>
      <c r="H254" s="2">
        <v>20</v>
      </c>
      <c r="I254" s="2">
        <v>20</v>
      </c>
      <c r="J254" t="str">
        <f t="shared" si="10"/>
        <v>0.19</v>
      </c>
      <c r="K254" t="str" cm="1">
        <f t="array" ref="K254">_xlfn.IFS(E254&gt;55%,"higher humidity",E254&gt;=35%,"medium humidity",E254&lt;35%,"lower humidity")</f>
        <v>higher humidity</v>
      </c>
      <c r="L254">
        <f t="shared" si="11"/>
        <v>6</v>
      </c>
      <c r="M254" t="str">
        <f t="shared" si="12"/>
        <v>Bad booking</v>
      </c>
    </row>
    <row r="255" spans="1:13" ht="15" thickBot="1" x14ac:dyDescent="0.35">
      <c r="A255" s="2">
        <v>253</v>
      </c>
      <c r="B255" s="2">
        <v>254</v>
      </c>
      <c r="C255" s="4">
        <v>40554</v>
      </c>
      <c r="D255" s="2">
        <v>0.18179999999999999</v>
      </c>
      <c r="E255" s="13">
        <v>0.93</v>
      </c>
      <c r="F255" s="2">
        <v>0.1045</v>
      </c>
      <c r="G255" s="2">
        <v>1</v>
      </c>
      <c r="H255" s="2">
        <v>28</v>
      </c>
      <c r="I255" s="2">
        <v>29</v>
      </c>
      <c r="J255" t="str">
        <f t="shared" si="10"/>
        <v>0.18</v>
      </c>
      <c r="K255" t="str" cm="1">
        <f t="array" ref="K255">_xlfn.IFS(E255&gt;55%,"higher humidity",E255&gt;=35%,"medium humidity",E255&lt;35%,"lower humidity")</f>
        <v>higher humidity</v>
      </c>
      <c r="L255">
        <f t="shared" si="11"/>
        <v>6</v>
      </c>
      <c r="M255" t="str">
        <f t="shared" si="12"/>
        <v>Bad booking</v>
      </c>
    </row>
    <row r="256" spans="1:13" ht="15" thickBot="1" x14ac:dyDescent="0.35">
      <c r="A256" s="2">
        <v>254</v>
      </c>
      <c r="B256" s="2">
        <v>255</v>
      </c>
      <c r="C256" s="4">
        <v>40554</v>
      </c>
      <c r="D256" s="2">
        <v>0.19700000000000001</v>
      </c>
      <c r="E256" s="13">
        <v>0.93</v>
      </c>
      <c r="F256" s="2">
        <v>8.9599999999999999E-2</v>
      </c>
      <c r="G256" s="2">
        <v>1</v>
      </c>
      <c r="H256" s="2">
        <v>18</v>
      </c>
      <c r="I256" s="2">
        <v>19</v>
      </c>
      <c r="J256" t="str">
        <f t="shared" si="10"/>
        <v>0.19</v>
      </c>
      <c r="K256" t="str" cm="1">
        <f t="array" ref="K256">_xlfn.IFS(E256&gt;55%,"higher humidity",E256&gt;=35%,"medium humidity",E256&lt;35%,"lower humidity")</f>
        <v>higher humidity</v>
      </c>
      <c r="L256">
        <f t="shared" si="11"/>
        <v>6</v>
      </c>
      <c r="M256" t="str">
        <f t="shared" si="12"/>
        <v>Bad booking</v>
      </c>
    </row>
    <row r="257" spans="1:13" ht="15" thickBot="1" x14ac:dyDescent="0.35">
      <c r="A257" s="2">
        <v>255</v>
      </c>
      <c r="B257" s="2">
        <v>256</v>
      </c>
      <c r="C257" s="4">
        <v>40555</v>
      </c>
      <c r="D257" s="2">
        <v>0.19700000000000001</v>
      </c>
      <c r="E257" s="13">
        <v>0.86</v>
      </c>
      <c r="F257" s="2">
        <v>8.9599999999999999E-2</v>
      </c>
      <c r="G257" s="2">
        <v>0</v>
      </c>
      <c r="H257" s="2">
        <v>7</v>
      </c>
      <c r="I257" s="2">
        <v>7</v>
      </c>
      <c r="J257" t="str">
        <f t="shared" si="10"/>
        <v>0.19</v>
      </c>
      <c r="K257" t="str" cm="1">
        <f t="array" ref="K257">_xlfn.IFS(E257&gt;55%,"higher humidity",E257&gt;=35%,"medium humidity",E257&lt;35%,"lower humidity")</f>
        <v>higher humidity</v>
      </c>
      <c r="L257">
        <f t="shared" si="11"/>
        <v>6</v>
      </c>
      <c r="M257" t="str">
        <f t="shared" si="12"/>
        <v>Bad booking</v>
      </c>
    </row>
    <row r="258" spans="1:13" ht="15" thickBot="1" x14ac:dyDescent="0.35">
      <c r="A258" s="2">
        <v>256</v>
      </c>
      <c r="B258" s="2">
        <v>257</v>
      </c>
      <c r="C258" s="4">
        <v>40555</v>
      </c>
      <c r="D258" s="2">
        <v>0.18179999999999999</v>
      </c>
      <c r="E258" s="13">
        <v>0.86</v>
      </c>
      <c r="F258" s="2">
        <v>0.1045</v>
      </c>
      <c r="G258" s="2">
        <v>0</v>
      </c>
      <c r="H258" s="2">
        <v>6</v>
      </c>
      <c r="I258" s="2">
        <v>6</v>
      </c>
      <c r="J258" t="str">
        <f t="shared" si="10"/>
        <v>0.18</v>
      </c>
      <c r="K258" t="str" cm="1">
        <f t="array" ref="K258">_xlfn.IFS(E258&gt;55%,"higher humidity",E258&gt;=35%,"medium humidity",E258&lt;35%,"lower humidity")</f>
        <v>higher humidity</v>
      </c>
      <c r="L258">
        <f t="shared" si="11"/>
        <v>6</v>
      </c>
      <c r="M258" t="str">
        <f t="shared" si="12"/>
        <v>Bad booking</v>
      </c>
    </row>
    <row r="259" spans="1:13" ht="15" thickBot="1" x14ac:dyDescent="0.35">
      <c r="A259" s="2">
        <v>257</v>
      </c>
      <c r="B259" s="2">
        <v>258</v>
      </c>
      <c r="C259" s="4">
        <v>40555</v>
      </c>
      <c r="D259" s="2">
        <v>0.1515</v>
      </c>
      <c r="E259" s="13">
        <v>0.86</v>
      </c>
      <c r="F259" s="2">
        <v>0.1343</v>
      </c>
      <c r="G259" s="2">
        <v>0</v>
      </c>
      <c r="H259" s="2">
        <v>1</v>
      </c>
      <c r="I259" s="2">
        <v>1</v>
      </c>
      <c r="J259" t="str">
        <f t="shared" ref="J259:J322" si="13">LEFT(D259,4)</f>
        <v>0.15</v>
      </c>
      <c r="K259" t="str" cm="1">
        <f t="array" ref="K259">_xlfn.IFS(E259&gt;55%,"higher humidity",E259&gt;=35%,"medium humidity",E259&lt;35%,"lower humidity")</f>
        <v>higher humidity</v>
      </c>
      <c r="L259">
        <f t="shared" ref="L259:L322" si="14">LEN(F259)</f>
        <v>6</v>
      </c>
      <c r="M259" t="str">
        <f t="shared" ref="M259:M322" si="15">IF(H259&gt;30,"good boking","Bad booking")</f>
        <v>Bad booking</v>
      </c>
    </row>
    <row r="260" spans="1:13" ht="15" thickBot="1" x14ac:dyDescent="0.35">
      <c r="A260" s="2">
        <v>258</v>
      </c>
      <c r="B260" s="2">
        <v>259</v>
      </c>
      <c r="C260" s="4">
        <v>40555</v>
      </c>
      <c r="D260" s="2">
        <v>0.1515</v>
      </c>
      <c r="E260" s="13">
        <v>0.86</v>
      </c>
      <c r="F260" s="2">
        <v>0.16420000000000001</v>
      </c>
      <c r="G260" s="2">
        <v>0</v>
      </c>
      <c r="H260" s="2">
        <v>5</v>
      </c>
      <c r="I260" s="2">
        <v>5</v>
      </c>
      <c r="J260" t="str">
        <f t="shared" si="13"/>
        <v>0.15</v>
      </c>
      <c r="K260" t="str" cm="1">
        <f t="array" ref="K260">_xlfn.IFS(E260&gt;55%,"higher humidity",E260&gt;=35%,"medium humidity",E260&lt;35%,"lower humidity")</f>
        <v>higher humidity</v>
      </c>
      <c r="L260">
        <f t="shared" si="14"/>
        <v>6</v>
      </c>
      <c r="M260" t="str">
        <f t="shared" si="15"/>
        <v>Bad booking</v>
      </c>
    </row>
    <row r="261" spans="1:13" ht="15" thickBot="1" x14ac:dyDescent="0.35">
      <c r="A261" s="2">
        <v>259</v>
      </c>
      <c r="B261" s="2">
        <v>260</v>
      </c>
      <c r="C261" s="4">
        <v>40555</v>
      </c>
      <c r="D261" s="2">
        <v>0.1515</v>
      </c>
      <c r="E261" s="13">
        <v>0.93</v>
      </c>
      <c r="F261" s="2">
        <v>0.1343</v>
      </c>
      <c r="G261" s="2">
        <v>0</v>
      </c>
      <c r="H261" s="2">
        <v>16</v>
      </c>
      <c r="I261" s="2">
        <v>16</v>
      </c>
      <c r="J261" t="str">
        <f t="shared" si="13"/>
        <v>0.15</v>
      </c>
      <c r="K261" t="str" cm="1">
        <f t="array" ref="K261">_xlfn.IFS(E261&gt;55%,"higher humidity",E261&gt;=35%,"medium humidity",E261&lt;35%,"lower humidity")</f>
        <v>higher humidity</v>
      </c>
      <c r="L261">
        <f t="shared" si="14"/>
        <v>6</v>
      </c>
      <c r="M261" t="str">
        <f t="shared" si="15"/>
        <v>Bad booking</v>
      </c>
    </row>
    <row r="262" spans="1:13" ht="15" thickBot="1" x14ac:dyDescent="0.35">
      <c r="A262" s="2">
        <v>260</v>
      </c>
      <c r="B262" s="2">
        <v>261</v>
      </c>
      <c r="C262" s="4">
        <v>40555</v>
      </c>
      <c r="D262" s="2">
        <v>0.1515</v>
      </c>
      <c r="E262" s="13">
        <v>0.69</v>
      </c>
      <c r="F262" s="2">
        <v>0.1343</v>
      </c>
      <c r="G262" s="2">
        <v>0</v>
      </c>
      <c r="H262" s="2">
        <v>54</v>
      </c>
      <c r="I262" s="2">
        <v>54</v>
      </c>
      <c r="J262" t="str">
        <f t="shared" si="13"/>
        <v>0.15</v>
      </c>
      <c r="K262" t="str" cm="1">
        <f t="array" ref="K262">_xlfn.IFS(E262&gt;55%,"higher humidity",E262&gt;=35%,"medium humidity",E262&lt;35%,"lower humidity")</f>
        <v>higher humidity</v>
      </c>
      <c r="L262">
        <f t="shared" si="14"/>
        <v>6</v>
      </c>
      <c r="M262" t="str">
        <f t="shared" si="15"/>
        <v>good boking</v>
      </c>
    </row>
    <row r="263" spans="1:13" ht="15" thickBot="1" x14ac:dyDescent="0.35">
      <c r="A263" s="2">
        <v>261</v>
      </c>
      <c r="B263" s="2">
        <v>262</v>
      </c>
      <c r="C263" s="4">
        <v>40555</v>
      </c>
      <c r="D263" s="2">
        <v>0.16669999999999999</v>
      </c>
      <c r="E263" s="13">
        <v>0.59</v>
      </c>
      <c r="F263" s="2">
        <v>0.16420000000000001</v>
      </c>
      <c r="G263" s="2">
        <v>3</v>
      </c>
      <c r="H263" s="2">
        <v>125</v>
      </c>
      <c r="I263" s="2">
        <v>128</v>
      </c>
      <c r="J263" t="str">
        <f t="shared" si="13"/>
        <v>0.16</v>
      </c>
      <c r="K263" t="str" cm="1">
        <f t="array" ref="K263">_xlfn.IFS(E263&gt;55%,"higher humidity",E263&gt;=35%,"medium humidity",E263&lt;35%,"lower humidity")</f>
        <v>higher humidity</v>
      </c>
      <c r="L263">
        <f t="shared" si="14"/>
        <v>6</v>
      </c>
      <c r="M263" t="str">
        <f t="shared" si="15"/>
        <v>good boking</v>
      </c>
    </row>
    <row r="264" spans="1:13" ht="15" thickBot="1" x14ac:dyDescent="0.35">
      <c r="A264" s="2">
        <v>262</v>
      </c>
      <c r="B264" s="2">
        <v>263</v>
      </c>
      <c r="C264" s="4">
        <v>40555</v>
      </c>
      <c r="D264" s="2">
        <v>0.13639999999999999</v>
      </c>
      <c r="E264" s="13">
        <v>0.59</v>
      </c>
      <c r="F264" s="2">
        <v>0.32840000000000003</v>
      </c>
      <c r="G264" s="2">
        <v>3</v>
      </c>
      <c r="H264" s="2">
        <v>78</v>
      </c>
      <c r="I264" s="2">
        <v>81</v>
      </c>
      <c r="J264" t="str">
        <f t="shared" si="13"/>
        <v>0.13</v>
      </c>
      <c r="K264" t="str" cm="1">
        <f t="array" ref="K264">_xlfn.IFS(E264&gt;55%,"higher humidity",E264&gt;=35%,"medium humidity",E264&lt;35%,"lower humidity")</f>
        <v>higher humidity</v>
      </c>
      <c r="L264">
        <f t="shared" si="14"/>
        <v>6</v>
      </c>
      <c r="M264" t="str">
        <f t="shared" si="15"/>
        <v>good boking</v>
      </c>
    </row>
    <row r="265" spans="1:13" ht="15" thickBot="1" x14ac:dyDescent="0.35">
      <c r="A265" s="2">
        <v>263</v>
      </c>
      <c r="B265" s="2">
        <v>264</v>
      </c>
      <c r="C265" s="4">
        <v>40555</v>
      </c>
      <c r="D265" s="2">
        <v>0.18179999999999999</v>
      </c>
      <c r="E265" s="13">
        <v>0.55000000000000004</v>
      </c>
      <c r="F265" s="2">
        <v>0.22389999999999999</v>
      </c>
      <c r="G265" s="2">
        <v>0</v>
      </c>
      <c r="H265" s="2">
        <v>39</v>
      </c>
      <c r="I265" s="2">
        <v>39</v>
      </c>
      <c r="J265" t="str">
        <f t="shared" si="13"/>
        <v>0.18</v>
      </c>
      <c r="K265" t="str" cm="1">
        <f t="array" ref="K265">_xlfn.IFS(E265&gt;55%,"higher humidity",E265&gt;=35%,"medium humidity",E265&lt;35%,"lower humidity")</f>
        <v>medium humidity</v>
      </c>
      <c r="L265">
        <f t="shared" si="14"/>
        <v>6</v>
      </c>
      <c r="M265" t="str">
        <f t="shared" si="15"/>
        <v>good boking</v>
      </c>
    </row>
    <row r="266" spans="1:13" ht="15" thickBot="1" x14ac:dyDescent="0.35">
      <c r="A266" s="2">
        <v>264</v>
      </c>
      <c r="B266" s="2">
        <v>265</v>
      </c>
      <c r="C266" s="4">
        <v>40555</v>
      </c>
      <c r="D266" s="2">
        <v>0.18179999999999999</v>
      </c>
      <c r="E266" s="13">
        <v>0.51</v>
      </c>
      <c r="F266" s="2">
        <v>0.3881</v>
      </c>
      <c r="G266" s="2">
        <v>3</v>
      </c>
      <c r="H266" s="2">
        <v>32</v>
      </c>
      <c r="I266" s="2">
        <v>35</v>
      </c>
      <c r="J266" t="str">
        <f t="shared" si="13"/>
        <v>0.18</v>
      </c>
      <c r="K266" t="str" cm="1">
        <f t="array" ref="K266">_xlfn.IFS(E266&gt;55%,"higher humidity",E266&gt;=35%,"medium humidity",E266&lt;35%,"lower humidity")</f>
        <v>medium humidity</v>
      </c>
      <c r="L266">
        <f t="shared" si="14"/>
        <v>6</v>
      </c>
      <c r="M266" t="str">
        <f t="shared" si="15"/>
        <v>good boking</v>
      </c>
    </row>
    <row r="267" spans="1:13" ht="15" thickBot="1" x14ac:dyDescent="0.35">
      <c r="A267" s="2">
        <v>265</v>
      </c>
      <c r="B267" s="2">
        <v>266</v>
      </c>
      <c r="C267" s="4">
        <v>40555</v>
      </c>
      <c r="D267" s="2">
        <v>0.1515</v>
      </c>
      <c r="E267" s="13">
        <v>0.47</v>
      </c>
      <c r="F267" s="2">
        <v>0.58209999999999995</v>
      </c>
      <c r="G267" s="2">
        <v>3</v>
      </c>
      <c r="H267" s="2">
        <v>52</v>
      </c>
      <c r="I267" s="2">
        <v>55</v>
      </c>
      <c r="J267" t="str">
        <f t="shared" si="13"/>
        <v>0.15</v>
      </c>
      <c r="K267" t="str" cm="1">
        <f t="array" ref="K267">_xlfn.IFS(E267&gt;55%,"higher humidity",E267&gt;=35%,"medium humidity",E267&lt;35%,"lower humidity")</f>
        <v>medium humidity</v>
      </c>
      <c r="L267">
        <f t="shared" si="14"/>
        <v>6</v>
      </c>
      <c r="M267" t="str">
        <f t="shared" si="15"/>
        <v>good boking</v>
      </c>
    </row>
    <row r="268" spans="1:13" ht="15" thickBot="1" x14ac:dyDescent="0.35">
      <c r="A268" s="2">
        <v>266</v>
      </c>
      <c r="B268" s="2">
        <v>267</v>
      </c>
      <c r="C268" s="4">
        <v>40555</v>
      </c>
      <c r="D268" s="2">
        <v>0.19700000000000001</v>
      </c>
      <c r="E268" s="13">
        <v>0.44</v>
      </c>
      <c r="F268" s="2">
        <v>0.35820000000000002</v>
      </c>
      <c r="G268" s="2">
        <v>0</v>
      </c>
      <c r="H268" s="2">
        <v>49</v>
      </c>
      <c r="I268" s="2">
        <v>49</v>
      </c>
      <c r="J268" t="str">
        <f t="shared" si="13"/>
        <v>0.19</v>
      </c>
      <c r="K268" t="str" cm="1">
        <f t="array" ref="K268">_xlfn.IFS(E268&gt;55%,"higher humidity",E268&gt;=35%,"medium humidity",E268&lt;35%,"lower humidity")</f>
        <v>medium humidity</v>
      </c>
      <c r="L268">
        <f t="shared" si="14"/>
        <v>6</v>
      </c>
      <c r="M268" t="str">
        <f t="shared" si="15"/>
        <v>good boking</v>
      </c>
    </row>
    <row r="269" spans="1:13" ht="15" thickBot="1" x14ac:dyDescent="0.35">
      <c r="A269" s="2">
        <v>267</v>
      </c>
      <c r="B269" s="2">
        <v>268</v>
      </c>
      <c r="C269" s="4">
        <v>40555</v>
      </c>
      <c r="D269" s="2">
        <v>0.18179999999999999</v>
      </c>
      <c r="E269" s="13">
        <v>0.47</v>
      </c>
      <c r="F269" s="2">
        <v>0.32840000000000003</v>
      </c>
      <c r="G269" s="2">
        <v>0</v>
      </c>
      <c r="H269" s="2">
        <v>44</v>
      </c>
      <c r="I269" s="2">
        <v>44</v>
      </c>
      <c r="J269" t="str">
        <f t="shared" si="13"/>
        <v>0.18</v>
      </c>
      <c r="K269" t="str" cm="1">
        <f t="array" ref="K269">_xlfn.IFS(E269&gt;55%,"higher humidity",E269&gt;=35%,"medium humidity",E269&lt;35%,"lower humidity")</f>
        <v>medium humidity</v>
      </c>
      <c r="L269">
        <f t="shared" si="14"/>
        <v>6</v>
      </c>
      <c r="M269" t="str">
        <f t="shared" si="15"/>
        <v>good boking</v>
      </c>
    </row>
    <row r="270" spans="1:13" ht="15" thickBot="1" x14ac:dyDescent="0.35">
      <c r="A270" s="2">
        <v>268</v>
      </c>
      <c r="B270" s="2">
        <v>269</v>
      </c>
      <c r="C270" s="4">
        <v>40555</v>
      </c>
      <c r="D270" s="2">
        <v>0.16669999999999999</v>
      </c>
      <c r="E270" s="13">
        <v>0.47</v>
      </c>
      <c r="F270" s="2">
        <v>0.41789999999999999</v>
      </c>
      <c r="G270" s="2">
        <v>1</v>
      </c>
      <c r="H270" s="2">
        <v>48</v>
      </c>
      <c r="I270" s="2">
        <v>49</v>
      </c>
      <c r="J270" t="str">
        <f t="shared" si="13"/>
        <v>0.16</v>
      </c>
      <c r="K270" t="str" cm="1">
        <f t="array" ref="K270">_xlfn.IFS(E270&gt;55%,"higher humidity",E270&gt;=35%,"medium humidity",E270&lt;35%,"lower humidity")</f>
        <v>medium humidity</v>
      </c>
      <c r="L270">
        <f t="shared" si="14"/>
        <v>6</v>
      </c>
      <c r="M270" t="str">
        <f t="shared" si="15"/>
        <v>good boking</v>
      </c>
    </row>
    <row r="271" spans="1:13" ht="15" thickBot="1" x14ac:dyDescent="0.35">
      <c r="A271" s="2">
        <v>269</v>
      </c>
      <c r="B271" s="2">
        <v>270</v>
      </c>
      <c r="C271" s="4">
        <v>40555</v>
      </c>
      <c r="D271" s="2">
        <v>0.19700000000000001</v>
      </c>
      <c r="E271" s="13">
        <v>0.44</v>
      </c>
      <c r="F271" s="2">
        <v>0.32840000000000003</v>
      </c>
      <c r="G271" s="2">
        <v>5</v>
      </c>
      <c r="H271" s="2">
        <v>63</v>
      </c>
      <c r="I271" s="2">
        <v>68</v>
      </c>
      <c r="J271" t="str">
        <f t="shared" si="13"/>
        <v>0.19</v>
      </c>
      <c r="K271" t="str" cm="1">
        <f t="array" ref="K271">_xlfn.IFS(E271&gt;55%,"higher humidity",E271&gt;=35%,"medium humidity",E271&lt;35%,"lower humidity")</f>
        <v>medium humidity</v>
      </c>
      <c r="L271">
        <f t="shared" si="14"/>
        <v>6</v>
      </c>
      <c r="M271" t="str">
        <f t="shared" si="15"/>
        <v>good boking</v>
      </c>
    </row>
    <row r="272" spans="1:13" ht="15" thickBot="1" x14ac:dyDescent="0.35">
      <c r="A272" s="2">
        <v>270</v>
      </c>
      <c r="B272" s="2">
        <v>271</v>
      </c>
      <c r="C272" s="4">
        <v>40555</v>
      </c>
      <c r="D272" s="2">
        <v>0.18179999999999999</v>
      </c>
      <c r="E272" s="13">
        <v>0.47</v>
      </c>
      <c r="F272" s="2">
        <v>0.35820000000000002</v>
      </c>
      <c r="G272" s="2">
        <v>0</v>
      </c>
      <c r="H272" s="2">
        <v>139</v>
      </c>
      <c r="I272" s="2">
        <v>139</v>
      </c>
      <c r="J272" t="str">
        <f t="shared" si="13"/>
        <v>0.18</v>
      </c>
      <c r="K272" t="str" cm="1">
        <f t="array" ref="K272">_xlfn.IFS(E272&gt;55%,"higher humidity",E272&gt;=35%,"medium humidity",E272&lt;35%,"lower humidity")</f>
        <v>medium humidity</v>
      </c>
      <c r="L272">
        <f t="shared" si="14"/>
        <v>6</v>
      </c>
      <c r="M272" t="str">
        <f t="shared" si="15"/>
        <v>good boking</v>
      </c>
    </row>
    <row r="273" spans="1:13" ht="15" thickBot="1" x14ac:dyDescent="0.35">
      <c r="A273" s="2">
        <v>271</v>
      </c>
      <c r="B273" s="2">
        <v>272</v>
      </c>
      <c r="C273" s="4">
        <v>40555</v>
      </c>
      <c r="D273" s="2">
        <v>0.1515</v>
      </c>
      <c r="E273" s="13">
        <v>0.47</v>
      </c>
      <c r="F273" s="2">
        <v>0.52239999999999998</v>
      </c>
      <c r="G273" s="2">
        <v>2</v>
      </c>
      <c r="H273" s="2">
        <v>135</v>
      </c>
      <c r="I273" s="2">
        <v>137</v>
      </c>
      <c r="J273" t="str">
        <f t="shared" si="13"/>
        <v>0.15</v>
      </c>
      <c r="K273" t="str" cm="1">
        <f t="array" ref="K273">_xlfn.IFS(E273&gt;55%,"higher humidity",E273&gt;=35%,"medium humidity",E273&lt;35%,"lower humidity")</f>
        <v>medium humidity</v>
      </c>
      <c r="L273">
        <f t="shared" si="14"/>
        <v>6</v>
      </c>
      <c r="M273" t="str">
        <f t="shared" si="15"/>
        <v>good boking</v>
      </c>
    </row>
    <row r="274" spans="1:13" ht="15" thickBot="1" x14ac:dyDescent="0.35">
      <c r="A274" s="2">
        <v>272</v>
      </c>
      <c r="B274" s="2">
        <v>273</v>
      </c>
      <c r="C274" s="4">
        <v>40555</v>
      </c>
      <c r="D274" s="2">
        <v>0.1515</v>
      </c>
      <c r="E274" s="13">
        <v>0.47</v>
      </c>
      <c r="F274" s="2">
        <v>0.41789999999999999</v>
      </c>
      <c r="G274" s="2">
        <v>1</v>
      </c>
      <c r="H274" s="2">
        <v>82</v>
      </c>
      <c r="I274" s="2">
        <v>83</v>
      </c>
      <c r="J274" t="str">
        <f t="shared" si="13"/>
        <v>0.15</v>
      </c>
      <c r="K274" t="str" cm="1">
        <f t="array" ref="K274">_xlfn.IFS(E274&gt;55%,"higher humidity",E274&gt;=35%,"medium humidity",E274&lt;35%,"lower humidity")</f>
        <v>medium humidity</v>
      </c>
      <c r="L274">
        <f t="shared" si="14"/>
        <v>6</v>
      </c>
      <c r="M274" t="str">
        <f t="shared" si="15"/>
        <v>good boking</v>
      </c>
    </row>
    <row r="275" spans="1:13" ht="15" thickBot="1" x14ac:dyDescent="0.35">
      <c r="A275" s="2">
        <v>273</v>
      </c>
      <c r="B275" s="2">
        <v>274</v>
      </c>
      <c r="C275" s="4">
        <v>40555</v>
      </c>
      <c r="D275" s="2">
        <v>0.13639999999999999</v>
      </c>
      <c r="E275" s="13">
        <v>0.5</v>
      </c>
      <c r="F275" s="2">
        <v>0.32840000000000003</v>
      </c>
      <c r="G275" s="2">
        <v>2</v>
      </c>
      <c r="H275" s="2">
        <v>54</v>
      </c>
      <c r="I275" s="2">
        <v>56</v>
      </c>
      <c r="J275" t="str">
        <f t="shared" si="13"/>
        <v>0.13</v>
      </c>
      <c r="K275" t="str" cm="1">
        <f t="array" ref="K275">_xlfn.IFS(E275&gt;55%,"higher humidity",E275&gt;=35%,"medium humidity",E275&lt;35%,"lower humidity")</f>
        <v>medium humidity</v>
      </c>
      <c r="L275">
        <f t="shared" si="14"/>
        <v>6</v>
      </c>
      <c r="M275" t="str">
        <f t="shared" si="15"/>
        <v>good boking</v>
      </c>
    </row>
    <row r="276" spans="1:13" ht="15" thickBot="1" x14ac:dyDescent="0.35">
      <c r="A276" s="2">
        <v>274</v>
      </c>
      <c r="B276" s="2">
        <v>275</v>
      </c>
      <c r="C276" s="4">
        <v>40555</v>
      </c>
      <c r="D276" s="2">
        <v>0.13639999999999999</v>
      </c>
      <c r="E276" s="13">
        <v>0.55000000000000004</v>
      </c>
      <c r="F276" s="2">
        <v>0.32840000000000003</v>
      </c>
      <c r="G276" s="2">
        <v>0</v>
      </c>
      <c r="H276" s="2">
        <v>57</v>
      </c>
      <c r="I276" s="2">
        <v>57</v>
      </c>
      <c r="J276" t="str">
        <f t="shared" si="13"/>
        <v>0.13</v>
      </c>
      <c r="K276" t="str" cm="1">
        <f t="array" ref="K276">_xlfn.IFS(E276&gt;55%,"higher humidity",E276&gt;=35%,"medium humidity",E276&lt;35%,"lower humidity")</f>
        <v>medium humidity</v>
      </c>
      <c r="L276">
        <f t="shared" si="14"/>
        <v>6</v>
      </c>
      <c r="M276" t="str">
        <f t="shared" si="15"/>
        <v>good boking</v>
      </c>
    </row>
    <row r="277" spans="1:13" ht="15" thickBot="1" x14ac:dyDescent="0.35">
      <c r="A277" s="2">
        <v>275</v>
      </c>
      <c r="B277" s="2">
        <v>276</v>
      </c>
      <c r="C277" s="4">
        <v>40555</v>
      </c>
      <c r="D277" s="2">
        <v>0.1212</v>
      </c>
      <c r="E277" s="13">
        <v>0.55000000000000004</v>
      </c>
      <c r="F277" s="2">
        <v>0.44779999999999998</v>
      </c>
      <c r="G277" s="2">
        <v>1</v>
      </c>
      <c r="H277" s="2">
        <v>32</v>
      </c>
      <c r="I277" s="2">
        <v>33</v>
      </c>
      <c r="J277" t="str">
        <f t="shared" si="13"/>
        <v>0.12</v>
      </c>
      <c r="K277" t="str" cm="1">
        <f t="array" ref="K277">_xlfn.IFS(E277&gt;55%,"higher humidity",E277&gt;=35%,"medium humidity",E277&lt;35%,"lower humidity")</f>
        <v>medium humidity</v>
      </c>
      <c r="L277">
        <f t="shared" si="14"/>
        <v>6</v>
      </c>
      <c r="M277" t="str">
        <f t="shared" si="15"/>
        <v>good boking</v>
      </c>
    </row>
    <row r="278" spans="1:13" ht="15" thickBot="1" x14ac:dyDescent="0.35">
      <c r="A278" s="2">
        <v>276</v>
      </c>
      <c r="B278" s="2">
        <v>277</v>
      </c>
      <c r="C278" s="4">
        <v>40555</v>
      </c>
      <c r="D278" s="2">
        <v>0.1061</v>
      </c>
      <c r="E278" s="13">
        <v>0.59</v>
      </c>
      <c r="F278" s="2">
        <v>0.41789999999999999</v>
      </c>
      <c r="G278" s="2">
        <v>1</v>
      </c>
      <c r="H278" s="2">
        <v>19</v>
      </c>
      <c r="I278" s="2">
        <v>20</v>
      </c>
      <c r="J278" t="str">
        <f t="shared" si="13"/>
        <v>0.10</v>
      </c>
      <c r="K278" t="str" cm="1">
        <f t="array" ref="K278">_xlfn.IFS(E278&gt;55%,"higher humidity",E278&gt;=35%,"medium humidity",E278&lt;35%,"lower humidity")</f>
        <v>higher humidity</v>
      </c>
      <c r="L278">
        <f t="shared" si="14"/>
        <v>6</v>
      </c>
      <c r="M278" t="str">
        <f t="shared" si="15"/>
        <v>Bad booking</v>
      </c>
    </row>
    <row r="279" spans="1:13" ht="15" thickBot="1" x14ac:dyDescent="0.35">
      <c r="A279" s="2">
        <v>277</v>
      </c>
      <c r="B279" s="2">
        <v>278</v>
      </c>
      <c r="C279" s="4">
        <v>40556</v>
      </c>
      <c r="D279" s="2">
        <v>0.1212</v>
      </c>
      <c r="E279" s="13">
        <v>0.59</v>
      </c>
      <c r="F279" s="2">
        <v>0.28360000000000002</v>
      </c>
      <c r="G279" s="2">
        <v>1</v>
      </c>
      <c r="H279" s="2">
        <v>6</v>
      </c>
      <c r="I279" s="2">
        <v>7</v>
      </c>
      <c r="J279" t="str">
        <f t="shared" si="13"/>
        <v>0.12</v>
      </c>
      <c r="K279" t="str" cm="1">
        <f t="array" ref="K279">_xlfn.IFS(E279&gt;55%,"higher humidity",E279&gt;=35%,"medium humidity",E279&lt;35%,"lower humidity")</f>
        <v>higher humidity</v>
      </c>
      <c r="L279">
        <f t="shared" si="14"/>
        <v>6</v>
      </c>
      <c r="M279" t="str">
        <f t="shared" si="15"/>
        <v>Bad booking</v>
      </c>
    </row>
    <row r="280" spans="1:13" ht="15" thickBot="1" x14ac:dyDescent="0.35">
      <c r="A280" s="2">
        <v>278</v>
      </c>
      <c r="B280" s="2">
        <v>279</v>
      </c>
      <c r="C280" s="4">
        <v>40556</v>
      </c>
      <c r="D280" s="2">
        <v>0.1212</v>
      </c>
      <c r="E280" s="13">
        <v>0.5</v>
      </c>
      <c r="F280" s="2">
        <v>0.28360000000000002</v>
      </c>
      <c r="G280" s="2">
        <v>0</v>
      </c>
      <c r="H280" s="2">
        <v>2</v>
      </c>
      <c r="I280" s="2">
        <v>2</v>
      </c>
      <c r="J280" t="str">
        <f t="shared" si="13"/>
        <v>0.12</v>
      </c>
      <c r="K280" t="str" cm="1">
        <f t="array" ref="K280">_xlfn.IFS(E280&gt;55%,"higher humidity",E280&gt;=35%,"medium humidity",E280&lt;35%,"lower humidity")</f>
        <v>medium humidity</v>
      </c>
      <c r="L280">
        <f t="shared" si="14"/>
        <v>6</v>
      </c>
      <c r="M280" t="str">
        <f t="shared" si="15"/>
        <v>Bad booking</v>
      </c>
    </row>
    <row r="281" spans="1:13" ht="15" thickBot="1" x14ac:dyDescent="0.35">
      <c r="A281" s="2">
        <v>279</v>
      </c>
      <c r="B281" s="2">
        <v>280</v>
      </c>
      <c r="C281" s="4">
        <v>40556</v>
      </c>
      <c r="D281" s="2">
        <v>0.1212</v>
      </c>
      <c r="E281" s="13">
        <v>0.5</v>
      </c>
      <c r="F281" s="2">
        <v>0.35820000000000002</v>
      </c>
      <c r="G281" s="2">
        <v>0</v>
      </c>
      <c r="H281" s="2">
        <v>2</v>
      </c>
      <c r="I281" s="2">
        <v>2</v>
      </c>
      <c r="J281" t="str">
        <f t="shared" si="13"/>
        <v>0.12</v>
      </c>
      <c r="K281" t="str" cm="1">
        <f t="array" ref="K281">_xlfn.IFS(E281&gt;55%,"higher humidity",E281&gt;=35%,"medium humidity",E281&lt;35%,"lower humidity")</f>
        <v>medium humidity</v>
      </c>
      <c r="L281">
        <f t="shared" si="14"/>
        <v>6</v>
      </c>
      <c r="M281" t="str">
        <f t="shared" si="15"/>
        <v>Bad booking</v>
      </c>
    </row>
    <row r="282" spans="1:13" ht="15" thickBot="1" x14ac:dyDescent="0.35">
      <c r="A282" s="2">
        <v>280</v>
      </c>
      <c r="B282" s="2">
        <v>281</v>
      </c>
      <c r="C282" s="4">
        <v>40556</v>
      </c>
      <c r="D282" s="2">
        <v>0.1212</v>
      </c>
      <c r="E282" s="13">
        <v>0.5</v>
      </c>
      <c r="F282" s="2">
        <v>0.32840000000000003</v>
      </c>
      <c r="G282" s="2">
        <v>0</v>
      </c>
      <c r="H282" s="2">
        <v>3</v>
      </c>
      <c r="I282" s="2">
        <v>3</v>
      </c>
      <c r="J282" t="str">
        <f t="shared" si="13"/>
        <v>0.12</v>
      </c>
      <c r="K282" t="str" cm="1">
        <f t="array" ref="K282">_xlfn.IFS(E282&gt;55%,"higher humidity",E282&gt;=35%,"medium humidity",E282&lt;35%,"lower humidity")</f>
        <v>medium humidity</v>
      </c>
      <c r="L282">
        <f t="shared" si="14"/>
        <v>6</v>
      </c>
      <c r="M282" t="str">
        <f t="shared" si="15"/>
        <v>Bad booking</v>
      </c>
    </row>
    <row r="283" spans="1:13" ht="15" thickBot="1" x14ac:dyDescent="0.35">
      <c r="A283" s="2">
        <v>281</v>
      </c>
      <c r="B283" s="2">
        <v>282</v>
      </c>
      <c r="C283" s="4">
        <v>40556</v>
      </c>
      <c r="D283" s="2">
        <v>0.1212</v>
      </c>
      <c r="E283" s="13">
        <v>0.5</v>
      </c>
      <c r="F283" s="2">
        <v>0.25369999999999998</v>
      </c>
      <c r="G283" s="2">
        <v>0</v>
      </c>
      <c r="H283" s="2">
        <v>4</v>
      </c>
      <c r="I283" s="2">
        <v>4</v>
      </c>
      <c r="J283" t="str">
        <f t="shared" si="13"/>
        <v>0.12</v>
      </c>
      <c r="K283" t="str" cm="1">
        <f t="array" ref="K283">_xlfn.IFS(E283&gt;55%,"higher humidity",E283&gt;=35%,"medium humidity",E283&lt;35%,"lower humidity")</f>
        <v>medium humidity</v>
      </c>
      <c r="L283">
        <f t="shared" si="14"/>
        <v>6</v>
      </c>
      <c r="M283" t="str">
        <f t="shared" si="15"/>
        <v>Bad booking</v>
      </c>
    </row>
    <row r="284" spans="1:13" ht="15" thickBot="1" x14ac:dyDescent="0.35">
      <c r="A284" s="2">
        <v>282</v>
      </c>
      <c r="B284" s="2">
        <v>283</v>
      </c>
      <c r="C284" s="4">
        <v>40556</v>
      </c>
      <c r="D284" s="2">
        <v>0.1212</v>
      </c>
      <c r="E284" s="13">
        <v>0.5</v>
      </c>
      <c r="F284" s="2">
        <v>0.29849999999999999</v>
      </c>
      <c r="G284" s="2">
        <v>0</v>
      </c>
      <c r="H284" s="2">
        <v>3</v>
      </c>
      <c r="I284" s="2">
        <v>3</v>
      </c>
      <c r="J284" t="str">
        <f t="shared" si="13"/>
        <v>0.12</v>
      </c>
      <c r="K284" t="str" cm="1">
        <f t="array" ref="K284">_xlfn.IFS(E284&gt;55%,"higher humidity",E284&gt;=35%,"medium humidity",E284&lt;35%,"lower humidity")</f>
        <v>medium humidity</v>
      </c>
      <c r="L284">
        <f t="shared" si="14"/>
        <v>6</v>
      </c>
      <c r="M284" t="str">
        <f t="shared" si="15"/>
        <v>Bad booking</v>
      </c>
    </row>
    <row r="285" spans="1:13" ht="15" thickBot="1" x14ac:dyDescent="0.35">
      <c r="A285" s="2">
        <v>283</v>
      </c>
      <c r="B285" s="2">
        <v>284</v>
      </c>
      <c r="C285" s="4">
        <v>40556</v>
      </c>
      <c r="D285" s="2">
        <v>0.1515</v>
      </c>
      <c r="E285" s="13">
        <v>0.54</v>
      </c>
      <c r="F285" s="2">
        <v>0.1343</v>
      </c>
      <c r="G285" s="2">
        <v>0</v>
      </c>
      <c r="H285" s="2">
        <v>28</v>
      </c>
      <c r="I285" s="2">
        <v>28</v>
      </c>
      <c r="J285" t="str">
        <f t="shared" si="13"/>
        <v>0.15</v>
      </c>
      <c r="K285" t="str" cm="1">
        <f t="array" ref="K285">_xlfn.IFS(E285&gt;55%,"higher humidity",E285&gt;=35%,"medium humidity",E285&lt;35%,"lower humidity")</f>
        <v>medium humidity</v>
      </c>
      <c r="L285">
        <f t="shared" si="14"/>
        <v>6</v>
      </c>
      <c r="M285" t="str">
        <f t="shared" si="15"/>
        <v>Bad booking</v>
      </c>
    </row>
    <row r="286" spans="1:13" ht="15" thickBot="1" x14ac:dyDescent="0.35">
      <c r="A286" s="2">
        <v>284</v>
      </c>
      <c r="B286" s="2">
        <v>285</v>
      </c>
      <c r="C286" s="4">
        <v>40556</v>
      </c>
      <c r="D286" s="2">
        <v>0.1515</v>
      </c>
      <c r="E286" s="13">
        <v>0.54</v>
      </c>
      <c r="F286" s="2">
        <v>0.1343</v>
      </c>
      <c r="G286" s="2">
        <v>0</v>
      </c>
      <c r="H286" s="2">
        <v>72</v>
      </c>
      <c r="I286" s="2">
        <v>72</v>
      </c>
      <c r="J286" t="str">
        <f t="shared" si="13"/>
        <v>0.15</v>
      </c>
      <c r="K286" t="str" cm="1">
        <f t="array" ref="K286">_xlfn.IFS(E286&gt;55%,"higher humidity",E286&gt;=35%,"medium humidity",E286&lt;35%,"lower humidity")</f>
        <v>medium humidity</v>
      </c>
      <c r="L286">
        <f t="shared" si="14"/>
        <v>6</v>
      </c>
      <c r="M286" t="str">
        <f t="shared" si="15"/>
        <v>good boking</v>
      </c>
    </row>
    <row r="287" spans="1:13" ht="15" thickBot="1" x14ac:dyDescent="0.35">
      <c r="A287" s="2">
        <v>285</v>
      </c>
      <c r="B287" s="2">
        <v>286</v>
      </c>
      <c r="C287" s="4">
        <v>40556</v>
      </c>
      <c r="D287" s="2">
        <v>0.13639999999999999</v>
      </c>
      <c r="E287" s="13">
        <v>0.5</v>
      </c>
      <c r="F287" s="2">
        <v>0.19400000000000001</v>
      </c>
      <c r="G287" s="2">
        <v>5</v>
      </c>
      <c r="H287" s="2">
        <v>197</v>
      </c>
      <c r="I287" s="2">
        <v>202</v>
      </c>
      <c r="J287" t="str">
        <f t="shared" si="13"/>
        <v>0.13</v>
      </c>
      <c r="K287" t="str" cm="1">
        <f t="array" ref="K287">_xlfn.IFS(E287&gt;55%,"higher humidity",E287&gt;=35%,"medium humidity",E287&lt;35%,"lower humidity")</f>
        <v>medium humidity</v>
      </c>
      <c r="L287">
        <f t="shared" si="14"/>
        <v>5</v>
      </c>
      <c r="M287" t="str">
        <f t="shared" si="15"/>
        <v>good boking</v>
      </c>
    </row>
    <row r="288" spans="1:13" ht="15" thickBot="1" x14ac:dyDescent="0.35">
      <c r="A288" s="2">
        <v>286</v>
      </c>
      <c r="B288" s="2">
        <v>287</v>
      </c>
      <c r="C288" s="4">
        <v>40556</v>
      </c>
      <c r="D288" s="2">
        <v>0.1212</v>
      </c>
      <c r="E288" s="13">
        <v>0.5</v>
      </c>
      <c r="F288" s="2">
        <v>0.32840000000000003</v>
      </c>
      <c r="G288" s="2">
        <v>2</v>
      </c>
      <c r="H288" s="2">
        <v>137</v>
      </c>
      <c r="I288" s="2">
        <v>139</v>
      </c>
      <c r="J288" t="str">
        <f t="shared" si="13"/>
        <v>0.12</v>
      </c>
      <c r="K288" t="str" cm="1">
        <f t="array" ref="K288">_xlfn.IFS(E288&gt;55%,"higher humidity",E288&gt;=35%,"medium humidity",E288&lt;35%,"lower humidity")</f>
        <v>medium humidity</v>
      </c>
      <c r="L288">
        <f t="shared" si="14"/>
        <v>6</v>
      </c>
      <c r="M288" t="str">
        <f t="shared" si="15"/>
        <v>good boking</v>
      </c>
    </row>
    <row r="289" spans="1:13" ht="15" thickBot="1" x14ac:dyDescent="0.35">
      <c r="A289" s="2">
        <v>287</v>
      </c>
      <c r="B289" s="2">
        <v>288</v>
      </c>
      <c r="C289" s="4">
        <v>40556</v>
      </c>
      <c r="D289" s="2">
        <v>0.13639999999999999</v>
      </c>
      <c r="E289" s="13">
        <v>0.5</v>
      </c>
      <c r="F289" s="2">
        <v>0.35820000000000002</v>
      </c>
      <c r="G289" s="2">
        <v>2</v>
      </c>
      <c r="H289" s="2">
        <v>36</v>
      </c>
      <c r="I289" s="2">
        <v>38</v>
      </c>
      <c r="J289" t="str">
        <f t="shared" si="13"/>
        <v>0.13</v>
      </c>
      <c r="K289" t="str" cm="1">
        <f t="array" ref="K289">_xlfn.IFS(E289&gt;55%,"higher humidity",E289&gt;=35%,"medium humidity",E289&lt;35%,"lower humidity")</f>
        <v>medium humidity</v>
      </c>
      <c r="L289">
        <f t="shared" si="14"/>
        <v>6</v>
      </c>
      <c r="M289" t="str">
        <f t="shared" si="15"/>
        <v>good boking</v>
      </c>
    </row>
    <row r="290" spans="1:13" ht="15" thickBot="1" x14ac:dyDescent="0.35">
      <c r="A290" s="2">
        <v>288</v>
      </c>
      <c r="B290" s="2">
        <v>289</v>
      </c>
      <c r="C290" s="4">
        <v>40556</v>
      </c>
      <c r="D290" s="2">
        <v>0.16669999999999999</v>
      </c>
      <c r="E290" s="13">
        <v>0.44</v>
      </c>
      <c r="F290" s="2">
        <v>0.44779999999999998</v>
      </c>
      <c r="G290" s="2">
        <v>4</v>
      </c>
      <c r="H290" s="2">
        <v>33</v>
      </c>
      <c r="I290" s="2">
        <v>37</v>
      </c>
      <c r="J290" t="str">
        <f t="shared" si="13"/>
        <v>0.16</v>
      </c>
      <c r="K290" t="str" cm="1">
        <f t="array" ref="K290">_xlfn.IFS(E290&gt;55%,"higher humidity",E290&gt;=35%,"medium humidity",E290&lt;35%,"lower humidity")</f>
        <v>medium humidity</v>
      </c>
      <c r="L290">
        <f t="shared" si="14"/>
        <v>6</v>
      </c>
      <c r="M290" t="str">
        <f t="shared" si="15"/>
        <v>good boking</v>
      </c>
    </row>
    <row r="291" spans="1:13" ht="15" thickBot="1" x14ac:dyDescent="0.35">
      <c r="A291" s="2">
        <v>289</v>
      </c>
      <c r="B291" s="2">
        <v>290</v>
      </c>
      <c r="C291" s="4">
        <v>40556</v>
      </c>
      <c r="D291" s="2">
        <v>0.16669999999999999</v>
      </c>
      <c r="E291" s="13">
        <v>0.44</v>
      </c>
      <c r="F291" s="2">
        <v>0.41789999999999999</v>
      </c>
      <c r="G291" s="2">
        <v>3</v>
      </c>
      <c r="H291" s="2">
        <v>49</v>
      </c>
      <c r="I291" s="2">
        <v>52</v>
      </c>
      <c r="J291" t="str">
        <f t="shared" si="13"/>
        <v>0.16</v>
      </c>
      <c r="K291" t="str" cm="1">
        <f t="array" ref="K291">_xlfn.IFS(E291&gt;55%,"higher humidity",E291&gt;=35%,"medium humidity",E291&lt;35%,"lower humidity")</f>
        <v>medium humidity</v>
      </c>
      <c r="L291">
        <f t="shared" si="14"/>
        <v>6</v>
      </c>
      <c r="M291" t="str">
        <f t="shared" si="15"/>
        <v>good boking</v>
      </c>
    </row>
    <row r="292" spans="1:13" ht="15" thickBot="1" x14ac:dyDescent="0.35">
      <c r="A292" s="2">
        <v>290</v>
      </c>
      <c r="B292" s="2">
        <v>291</v>
      </c>
      <c r="C292" s="4">
        <v>40556</v>
      </c>
      <c r="D292" s="2">
        <v>0.19700000000000001</v>
      </c>
      <c r="E292" s="13">
        <v>0.41</v>
      </c>
      <c r="F292" s="2">
        <v>0.44779999999999998</v>
      </c>
      <c r="G292" s="2">
        <v>2</v>
      </c>
      <c r="H292" s="2">
        <v>81</v>
      </c>
      <c r="I292" s="2">
        <v>83</v>
      </c>
      <c r="J292" t="str">
        <f t="shared" si="13"/>
        <v>0.19</v>
      </c>
      <c r="K292" t="str" cm="1">
        <f t="array" ref="K292">_xlfn.IFS(E292&gt;55%,"higher humidity",E292&gt;=35%,"medium humidity",E292&lt;35%,"lower humidity")</f>
        <v>medium humidity</v>
      </c>
      <c r="L292">
        <f t="shared" si="14"/>
        <v>6</v>
      </c>
      <c r="M292" t="str">
        <f t="shared" si="15"/>
        <v>good boking</v>
      </c>
    </row>
    <row r="293" spans="1:13" ht="15" thickBot="1" x14ac:dyDescent="0.35">
      <c r="A293" s="2">
        <v>291</v>
      </c>
      <c r="B293" s="2">
        <v>292</v>
      </c>
      <c r="C293" s="4">
        <v>40556</v>
      </c>
      <c r="D293" s="2">
        <v>0.19700000000000001</v>
      </c>
      <c r="E293" s="13">
        <v>0.41</v>
      </c>
      <c r="F293" s="2">
        <v>0.3881</v>
      </c>
      <c r="G293" s="2">
        <v>3</v>
      </c>
      <c r="H293" s="2">
        <v>39</v>
      </c>
      <c r="I293" s="2">
        <v>42</v>
      </c>
      <c r="J293" t="str">
        <f t="shared" si="13"/>
        <v>0.19</v>
      </c>
      <c r="K293" t="str" cm="1">
        <f t="array" ref="K293">_xlfn.IFS(E293&gt;55%,"higher humidity",E293&gt;=35%,"medium humidity",E293&lt;35%,"lower humidity")</f>
        <v>medium humidity</v>
      </c>
      <c r="L293">
        <f t="shared" si="14"/>
        <v>6</v>
      </c>
      <c r="M293" t="str">
        <f t="shared" si="15"/>
        <v>good boking</v>
      </c>
    </row>
    <row r="294" spans="1:13" ht="15" thickBot="1" x14ac:dyDescent="0.35">
      <c r="A294" s="2">
        <v>292</v>
      </c>
      <c r="B294" s="2">
        <v>293</v>
      </c>
      <c r="C294" s="4">
        <v>40556</v>
      </c>
      <c r="D294" s="2">
        <v>0.21210000000000001</v>
      </c>
      <c r="E294" s="13">
        <v>0.38</v>
      </c>
      <c r="F294" s="2">
        <v>0.29849999999999999</v>
      </c>
      <c r="G294" s="2">
        <v>5</v>
      </c>
      <c r="H294" s="2">
        <v>55</v>
      </c>
      <c r="I294" s="2">
        <v>60</v>
      </c>
      <c r="J294" t="str">
        <f t="shared" si="13"/>
        <v>0.21</v>
      </c>
      <c r="K294" t="str" cm="1">
        <f t="array" ref="K294">_xlfn.IFS(E294&gt;55%,"higher humidity",E294&gt;=35%,"medium humidity",E294&lt;35%,"lower humidity")</f>
        <v>medium humidity</v>
      </c>
      <c r="L294">
        <f t="shared" si="14"/>
        <v>6</v>
      </c>
      <c r="M294" t="str">
        <f t="shared" si="15"/>
        <v>good boking</v>
      </c>
    </row>
    <row r="295" spans="1:13" ht="15" thickBot="1" x14ac:dyDescent="0.35">
      <c r="A295" s="2">
        <v>293</v>
      </c>
      <c r="B295" s="2">
        <v>294</v>
      </c>
      <c r="C295" s="4">
        <v>40556</v>
      </c>
      <c r="D295" s="2">
        <v>0.21210000000000001</v>
      </c>
      <c r="E295" s="13">
        <v>0.38</v>
      </c>
      <c r="F295" s="2">
        <v>0.35820000000000002</v>
      </c>
      <c r="G295" s="2">
        <v>2</v>
      </c>
      <c r="H295" s="2">
        <v>76</v>
      </c>
      <c r="I295" s="2">
        <v>78</v>
      </c>
      <c r="J295" t="str">
        <f t="shared" si="13"/>
        <v>0.21</v>
      </c>
      <c r="K295" t="str" cm="1">
        <f t="array" ref="K295">_xlfn.IFS(E295&gt;55%,"higher humidity",E295&gt;=35%,"medium humidity",E295&lt;35%,"lower humidity")</f>
        <v>medium humidity</v>
      </c>
      <c r="L295">
        <f t="shared" si="14"/>
        <v>6</v>
      </c>
      <c r="M295" t="str">
        <f t="shared" si="15"/>
        <v>good boking</v>
      </c>
    </row>
    <row r="296" spans="1:13" ht="15" thickBot="1" x14ac:dyDescent="0.35">
      <c r="A296" s="2">
        <v>294</v>
      </c>
      <c r="B296" s="2">
        <v>295</v>
      </c>
      <c r="C296" s="4">
        <v>40556</v>
      </c>
      <c r="D296" s="2">
        <v>0.18179999999999999</v>
      </c>
      <c r="E296" s="13">
        <v>0.4</v>
      </c>
      <c r="F296" s="2">
        <v>0.28360000000000002</v>
      </c>
      <c r="G296" s="2">
        <v>4</v>
      </c>
      <c r="H296" s="2">
        <v>158</v>
      </c>
      <c r="I296" s="2">
        <v>162</v>
      </c>
      <c r="J296" t="str">
        <f t="shared" si="13"/>
        <v>0.18</v>
      </c>
      <c r="K296" t="str" cm="1">
        <f t="array" ref="K296">_xlfn.IFS(E296&gt;55%,"higher humidity",E296&gt;=35%,"medium humidity",E296&lt;35%,"lower humidity")</f>
        <v>medium humidity</v>
      </c>
      <c r="L296">
        <f t="shared" si="14"/>
        <v>6</v>
      </c>
      <c r="M296" t="str">
        <f t="shared" si="15"/>
        <v>good boking</v>
      </c>
    </row>
    <row r="297" spans="1:13" ht="15" thickBot="1" x14ac:dyDescent="0.35">
      <c r="A297" s="2">
        <v>295</v>
      </c>
      <c r="B297" s="2">
        <v>296</v>
      </c>
      <c r="C297" s="4">
        <v>40556</v>
      </c>
      <c r="D297" s="2">
        <v>0.18179999999999999</v>
      </c>
      <c r="E297" s="13">
        <v>0.4</v>
      </c>
      <c r="F297" s="2">
        <v>0.32840000000000003</v>
      </c>
      <c r="G297" s="2">
        <v>3</v>
      </c>
      <c r="H297" s="2">
        <v>141</v>
      </c>
      <c r="I297" s="2">
        <v>144</v>
      </c>
      <c r="J297" t="str">
        <f t="shared" si="13"/>
        <v>0.18</v>
      </c>
      <c r="K297" t="str" cm="1">
        <f t="array" ref="K297">_xlfn.IFS(E297&gt;55%,"higher humidity",E297&gt;=35%,"medium humidity",E297&lt;35%,"lower humidity")</f>
        <v>medium humidity</v>
      </c>
      <c r="L297">
        <f t="shared" si="14"/>
        <v>6</v>
      </c>
      <c r="M297" t="str">
        <f t="shared" si="15"/>
        <v>good boking</v>
      </c>
    </row>
    <row r="298" spans="1:13" ht="15" thickBot="1" x14ac:dyDescent="0.35">
      <c r="A298" s="2">
        <v>296</v>
      </c>
      <c r="B298" s="2">
        <v>297</v>
      </c>
      <c r="C298" s="4">
        <v>40556</v>
      </c>
      <c r="D298" s="2">
        <v>0.1515</v>
      </c>
      <c r="E298" s="13">
        <v>0.47</v>
      </c>
      <c r="F298" s="2">
        <v>0.25369999999999998</v>
      </c>
      <c r="G298" s="2">
        <v>1</v>
      </c>
      <c r="H298" s="2">
        <v>98</v>
      </c>
      <c r="I298" s="2">
        <v>99</v>
      </c>
      <c r="J298" t="str">
        <f t="shared" si="13"/>
        <v>0.15</v>
      </c>
      <c r="K298" t="str" cm="1">
        <f t="array" ref="K298">_xlfn.IFS(E298&gt;55%,"higher humidity",E298&gt;=35%,"medium humidity",E298&lt;35%,"lower humidity")</f>
        <v>medium humidity</v>
      </c>
      <c r="L298">
        <f t="shared" si="14"/>
        <v>6</v>
      </c>
      <c r="M298" t="str">
        <f t="shared" si="15"/>
        <v>good boking</v>
      </c>
    </row>
    <row r="299" spans="1:13" ht="15" thickBot="1" x14ac:dyDescent="0.35">
      <c r="A299" s="2">
        <v>297</v>
      </c>
      <c r="B299" s="2">
        <v>298</v>
      </c>
      <c r="C299" s="4">
        <v>40556</v>
      </c>
      <c r="D299" s="2">
        <v>0.1515</v>
      </c>
      <c r="E299" s="13">
        <v>0.47</v>
      </c>
      <c r="F299" s="2">
        <v>0.22389999999999999</v>
      </c>
      <c r="G299" s="2">
        <v>0</v>
      </c>
      <c r="H299" s="2">
        <v>64</v>
      </c>
      <c r="I299" s="2">
        <v>64</v>
      </c>
      <c r="J299" t="str">
        <f t="shared" si="13"/>
        <v>0.15</v>
      </c>
      <c r="K299" t="str" cm="1">
        <f t="array" ref="K299">_xlfn.IFS(E299&gt;55%,"higher humidity",E299&gt;=35%,"medium humidity",E299&lt;35%,"lower humidity")</f>
        <v>medium humidity</v>
      </c>
      <c r="L299">
        <f t="shared" si="14"/>
        <v>6</v>
      </c>
      <c r="M299" t="str">
        <f t="shared" si="15"/>
        <v>good boking</v>
      </c>
    </row>
    <row r="300" spans="1:13" ht="15" thickBot="1" x14ac:dyDescent="0.35">
      <c r="A300" s="2">
        <v>298</v>
      </c>
      <c r="B300" s="2">
        <v>299</v>
      </c>
      <c r="C300" s="4">
        <v>40556</v>
      </c>
      <c r="D300" s="2">
        <v>0.1212</v>
      </c>
      <c r="E300" s="13">
        <v>0.46</v>
      </c>
      <c r="F300" s="2">
        <v>0.29849999999999999</v>
      </c>
      <c r="G300" s="2">
        <v>0</v>
      </c>
      <c r="H300" s="2">
        <v>40</v>
      </c>
      <c r="I300" s="2">
        <v>40</v>
      </c>
      <c r="J300" t="str">
        <f t="shared" si="13"/>
        <v>0.12</v>
      </c>
      <c r="K300" t="str" cm="1">
        <f t="array" ref="K300">_xlfn.IFS(E300&gt;55%,"higher humidity",E300&gt;=35%,"medium humidity",E300&lt;35%,"lower humidity")</f>
        <v>medium humidity</v>
      </c>
      <c r="L300">
        <f t="shared" si="14"/>
        <v>6</v>
      </c>
      <c r="M300" t="str">
        <f t="shared" si="15"/>
        <v>good boking</v>
      </c>
    </row>
    <row r="301" spans="1:13" ht="15" thickBot="1" x14ac:dyDescent="0.35">
      <c r="A301" s="2">
        <v>299</v>
      </c>
      <c r="B301" s="2">
        <v>300</v>
      </c>
      <c r="C301" s="4">
        <v>40556</v>
      </c>
      <c r="D301" s="2">
        <v>0.1212</v>
      </c>
      <c r="E301" s="13">
        <v>0.46</v>
      </c>
      <c r="F301" s="2">
        <v>0.32840000000000003</v>
      </c>
      <c r="G301" s="2">
        <v>0</v>
      </c>
      <c r="H301" s="2">
        <v>30</v>
      </c>
      <c r="I301" s="2">
        <v>30</v>
      </c>
      <c r="J301" t="str">
        <f t="shared" si="13"/>
        <v>0.12</v>
      </c>
      <c r="K301" t="str" cm="1">
        <f t="array" ref="K301">_xlfn.IFS(E301&gt;55%,"higher humidity",E301&gt;=35%,"medium humidity",E301&lt;35%,"lower humidity")</f>
        <v>medium humidity</v>
      </c>
      <c r="L301">
        <f t="shared" si="14"/>
        <v>6</v>
      </c>
      <c r="M301" t="str">
        <f t="shared" si="15"/>
        <v>Bad booking</v>
      </c>
    </row>
    <row r="302" spans="1:13" ht="15" thickBot="1" x14ac:dyDescent="0.35">
      <c r="A302" s="2">
        <v>300</v>
      </c>
      <c r="B302" s="2">
        <v>301</v>
      </c>
      <c r="C302" s="4">
        <v>40556</v>
      </c>
      <c r="D302" s="2">
        <v>0.13639999999999999</v>
      </c>
      <c r="E302" s="13">
        <v>0.5</v>
      </c>
      <c r="F302" s="2">
        <v>0.19400000000000001</v>
      </c>
      <c r="G302" s="2">
        <v>1</v>
      </c>
      <c r="H302" s="2">
        <v>14</v>
      </c>
      <c r="I302" s="2">
        <v>15</v>
      </c>
      <c r="J302" t="str">
        <f t="shared" si="13"/>
        <v>0.13</v>
      </c>
      <c r="K302" t="str" cm="1">
        <f t="array" ref="K302">_xlfn.IFS(E302&gt;55%,"higher humidity",E302&gt;=35%,"medium humidity",E302&lt;35%,"lower humidity")</f>
        <v>medium humidity</v>
      </c>
      <c r="L302">
        <f t="shared" si="14"/>
        <v>5</v>
      </c>
      <c r="M302" t="str">
        <f t="shared" si="15"/>
        <v>Bad booking</v>
      </c>
    </row>
    <row r="303" spans="1:13" ht="15" thickBot="1" x14ac:dyDescent="0.35">
      <c r="A303" s="2">
        <v>301</v>
      </c>
      <c r="B303" s="2">
        <v>302</v>
      </c>
      <c r="C303" s="4">
        <v>40557</v>
      </c>
      <c r="D303" s="2">
        <v>0.13639999999999999</v>
      </c>
      <c r="E303" s="13">
        <v>0.5</v>
      </c>
      <c r="F303" s="2">
        <v>0.19400000000000001</v>
      </c>
      <c r="G303" s="2">
        <v>0</v>
      </c>
      <c r="H303" s="2">
        <v>14</v>
      </c>
      <c r="I303" s="2">
        <v>14</v>
      </c>
      <c r="J303" t="str">
        <f t="shared" si="13"/>
        <v>0.13</v>
      </c>
      <c r="K303" t="str" cm="1">
        <f t="array" ref="K303">_xlfn.IFS(E303&gt;55%,"higher humidity",E303&gt;=35%,"medium humidity",E303&lt;35%,"lower humidity")</f>
        <v>medium humidity</v>
      </c>
      <c r="L303">
        <f t="shared" si="14"/>
        <v>5</v>
      </c>
      <c r="M303" t="str">
        <f t="shared" si="15"/>
        <v>Bad booking</v>
      </c>
    </row>
    <row r="304" spans="1:13" ht="15" thickBot="1" x14ac:dyDescent="0.35">
      <c r="A304" s="2">
        <v>302</v>
      </c>
      <c r="B304" s="2">
        <v>303</v>
      </c>
      <c r="C304" s="4">
        <v>40557</v>
      </c>
      <c r="D304" s="2">
        <v>0.1212</v>
      </c>
      <c r="E304" s="13">
        <v>0.54</v>
      </c>
      <c r="F304" s="2">
        <v>0.16420000000000001</v>
      </c>
      <c r="G304" s="2">
        <v>0</v>
      </c>
      <c r="H304" s="2">
        <v>5</v>
      </c>
      <c r="I304" s="2">
        <v>5</v>
      </c>
      <c r="J304" t="str">
        <f t="shared" si="13"/>
        <v>0.12</v>
      </c>
      <c r="K304" t="str" cm="1">
        <f t="array" ref="K304">_xlfn.IFS(E304&gt;55%,"higher humidity",E304&gt;=35%,"medium humidity",E304&lt;35%,"lower humidity")</f>
        <v>medium humidity</v>
      </c>
      <c r="L304">
        <f t="shared" si="14"/>
        <v>6</v>
      </c>
      <c r="M304" t="str">
        <f t="shared" si="15"/>
        <v>Bad booking</v>
      </c>
    </row>
    <row r="305" spans="1:13" ht="15" thickBot="1" x14ac:dyDescent="0.35">
      <c r="A305" s="2">
        <v>303</v>
      </c>
      <c r="B305" s="2">
        <v>304</v>
      </c>
      <c r="C305" s="4">
        <v>40557</v>
      </c>
      <c r="D305" s="2">
        <v>0.1212</v>
      </c>
      <c r="E305" s="13">
        <v>0.54</v>
      </c>
      <c r="F305" s="2">
        <v>0.1343</v>
      </c>
      <c r="G305" s="2">
        <v>0</v>
      </c>
      <c r="H305" s="2">
        <v>1</v>
      </c>
      <c r="I305" s="2">
        <v>1</v>
      </c>
      <c r="J305" t="str">
        <f t="shared" si="13"/>
        <v>0.12</v>
      </c>
      <c r="K305" t="str" cm="1">
        <f t="array" ref="K305">_xlfn.IFS(E305&gt;55%,"higher humidity",E305&gt;=35%,"medium humidity",E305&lt;35%,"lower humidity")</f>
        <v>medium humidity</v>
      </c>
      <c r="L305">
        <f t="shared" si="14"/>
        <v>6</v>
      </c>
      <c r="M305" t="str">
        <f t="shared" si="15"/>
        <v>Bad booking</v>
      </c>
    </row>
    <row r="306" spans="1:13" ht="15" thickBot="1" x14ac:dyDescent="0.35">
      <c r="A306" s="2">
        <v>304</v>
      </c>
      <c r="B306" s="2">
        <v>305</v>
      </c>
      <c r="C306" s="4">
        <v>40557</v>
      </c>
      <c r="D306" s="2">
        <v>0.13639999999999999</v>
      </c>
      <c r="E306" s="13">
        <v>0.54</v>
      </c>
      <c r="F306" s="2">
        <v>0.1045</v>
      </c>
      <c r="G306" s="2">
        <v>0</v>
      </c>
      <c r="H306" s="2">
        <v>1</v>
      </c>
      <c r="I306" s="2">
        <v>1</v>
      </c>
      <c r="J306" t="str">
        <f t="shared" si="13"/>
        <v>0.13</v>
      </c>
      <c r="K306" t="str" cm="1">
        <f t="array" ref="K306">_xlfn.IFS(E306&gt;55%,"higher humidity",E306&gt;=35%,"medium humidity",E306&lt;35%,"lower humidity")</f>
        <v>medium humidity</v>
      </c>
      <c r="L306">
        <f t="shared" si="14"/>
        <v>6</v>
      </c>
      <c r="M306" t="str">
        <f t="shared" si="15"/>
        <v>Bad booking</v>
      </c>
    </row>
    <row r="307" spans="1:13" ht="15" thickBot="1" x14ac:dyDescent="0.35">
      <c r="A307" s="2">
        <v>305</v>
      </c>
      <c r="B307" s="2">
        <v>306</v>
      </c>
      <c r="C307" s="4">
        <v>40557</v>
      </c>
      <c r="D307" s="2">
        <v>0.13639999999999999</v>
      </c>
      <c r="E307" s="13">
        <v>0.54</v>
      </c>
      <c r="F307" s="2">
        <v>8.9599999999999999E-2</v>
      </c>
      <c r="G307" s="2">
        <v>0</v>
      </c>
      <c r="H307" s="2">
        <v>8</v>
      </c>
      <c r="I307" s="2">
        <v>8</v>
      </c>
      <c r="J307" t="str">
        <f t="shared" si="13"/>
        <v>0.13</v>
      </c>
      <c r="K307" t="str" cm="1">
        <f t="array" ref="K307">_xlfn.IFS(E307&gt;55%,"higher humidity",E307&gt;=35%,"medium humidity",E307&lt;35%,"lower humidity")</f>
        <v>medium humidity</v>
      </c>
      <c r="L307">
        <f t="shared" si="14"/>
        <v>6</v>
      </c>
      <c r="M307" t="str">
        <f t="shared" si="15"/>
        <v>Bad booking</v>
      </c>
    </row>
    <row r="308" spans="1:13" ht="15" thickBot="1" x14ac:dyDescent="0.35">
      <c r="A308" s="2">
        <v>306</v>
      </c>
      <c r="B308" s="2">
        <v>307</v>
      </c>
      <c r="C308" s="4">
        <v>40557</v>
      </c>
      <c r="D308" s="2">
        <v>0.18179999999999999</v>
      </c>
      <c r="E308" s="13">
        <v>0.54</v>
      </c>
      <c r="F308" s="2">
        <v>0</v>
      </c>
      <c r="G308" s="2">
        <v>0</v>
      </c>
      <c r="H308" s="2">
        <v>17</v>
      </c>
      <c r="I308" s="2">
        <v>17</v>
      </c>
      <c r="J308" t="str">
        <f t="shared" si="13"/>
        <v>0.18</v>
      </c>
      <c r="K308" t="str" cm="1">
        <f t="array" ref="K308">_xlfn.IFS(E308&gt;55%,"higher humidity",E308&gt;=35%,"medium humidity",E308&lt;35%,"lower humidity")</f>
        <v>medium humidity</v>
      </c>
      <c r="L308">
        <f t="shared" si="14"/>
        <v>1</v>
      </c>
      <c r="M308" t="str">
        <f t="shared" si="15"/>
        <v>Bad booking</v>
      </c>
    </row>
    <row r="309" spans="1:13" ht="15" thickBot="1" x14ac:dyDescent="0.35">
      <c r="A309" s="2">
        <v>307</v>
      </c>
      <c r="B309" s="2">
        <v>308</v>
      </c>
      <c r="C309" s="4">
        <v>40557</v>
      </c>
      <c r="D309" s="2">
        <v>0.1212</v>
      </c>
      <c r="E309" s="13">
        <v>0.74</v>
      </c>
      <c r="F309" s="2">
        <v>0.16420000000000001</v>
      </c>
      <c r="G309" s="2">
        <v>0</v>
      </c>
      <c r="H309" s="2">
        <v>70</v>
      </c>
      <c r="I309" s="2">
        <v>70</v>
      </c>
      <c r="J309" t="str">
        <f t="shared" si="13"/>
        <v>0.12</v>
      </c>
      <c r="K309" t="str" cm="1">
        <f t="array" ref="K309">_xlfn.IFS(E309&gt;55%,"higher humidity",E309&gt;=35%,"medium humidity",E309&lt;35%,"lower humidity")</f>
        <v>higher humidity</v>
      </c>
      <c r="L309">
        <f t="shared" si="14"/>
        <v>6</v>
      </c>
      <c r="M309" t="str">
        <f t="shared" si="15"/>
        <v>good boking</v>
      </c>
    </row>
    <row r="310" spans="1:13" ht="15" thickBot="1" x14ac:dyDescent="0.35">
      <c r="A310" s="2">
        <v>308</v>
      </c>
      <c r="B310" s="2">
        <v>309</v>
      </c>
      <c r="C310" s="4">
        <v>40557</v>
      </c>
      <c r="D310" s="2">
        <v>0.16669999999999999</v>
      </c>
      <c r="E310" s="13">
        <v>0.68</v>
      </c>
      <c r="F310" s="2">
        <v>0</v>
      </c>
      <c r="G310" s="2">
        <v>2</v>
      </c>
      <c r="H310" s="2">
        <v>156</v>
      </c>
      <c r="I310" s="2">
        <v>158</v>
      </c>
      <c r="J310" t="str">
        <f t="shared" si="13"/>
        <v>0.16</v>
      </c>
      <c r="K310" t="str" cm="1">
        <f t="array" ref="K310">_xlfn.IFS(E310&gt;55%,"higher humidity",E310&gt;=35%,"medium humidity",E310&lt;35%,"lower humidity")</f>
        <v>higher humidity</v>
      </c>
      <c r="L310">
        <f t="shared" si="14"/>
        <v>1</v>
      </c>
      <c r="M310" t="str">
        <f t="shared" si="15"/>
        <v>good boking</v>
      </c>
    </row>
    <row r="311" spans="1:13" ht="15" thickBot="1" x14ac:dyDescent="0.35">
      <c r="A311" s="2">
        <v>309</v>
      </c>
      <c r="B311" s="2">
        <v>310</v>
      </c>
      <c r="C311" s="4">
        <v>40557</v>
      </c>
      <c r="D311" s="2">
        <v>0.1515</v>
      </c>
      <c r="E311" s="13">
        <v>0.69</v>
      </c>
      <c r="F311" s="2">
        <v>0.1343</v>
      </c>
      <c r="G311" s="2">
        <v>0</v>
      </c>
      <c r="H311" s="2">
        <v>117</v>
      </c>
      <c r="I311" s="2">
        <v>117</v>
      </c>
      <c r="J311" t="str">
        <f t="shared" si="13"/>
        <v>0.15</v>
      </c>
      <c r="K311" t="str" cm="1">
        <f t="array" ref="K311">_xlfn.IFS(E311&gt;55%,"higher humidity",E311&gt;=35%,"medium humidity",E311&lt;35%,"lower humidity")</f>
        <v>higher humidity</v>
      </c>
      <c r="L311">
        <f t="shared" si="14"/>
        <v>6</v>
      </c>
      <c r="M311" t="str">
        <f t="shared" si="15"/>
        <v>good boking</v>
      </c>
    </row>
    <row r="312" spans="1:13" ht="15" thickBot="1" x14ac:dyDescent="0.35">
      <c r="A312" s="2">
        <v>310</v>
      </c>
      <c r="B312" s="2">
        <v>311</v>
      </c>
      <c r="C312" s="4">
        <v>40557</v>
      </c>
      <c r="D312" s="2">
        <v>0.18179999999999999</v>
      </c>
      <c r="E312" s="13">
        <v>0.55000000000000004</v>
      </c>
      <c r="F312" s="2">
        <v>0.19400000000000001</v>
      </c>
      <c r="G312" s="2">
        <v>4</v>
      </c>
      <c r="H312" s="2">
        <v>40</v>
      </c>
      <c r="I312" s="2">
        <v>44</v>
      </c>
      <c r="J312" t="str">
        <f t="shared" si="13"/>
        <v>0.18</v>
      </c>
      <c r="K312" t="str" cm="1">
        <f t="array" ref="K312">_xlfn.IFS(E312&gt;55%,"higher humidity",E312&gt;=35%,"medium humidity",E312&lt;35%,"lower humidity")</f>
        <v>medium humidity</v>
      </c>
      <c r="L312">
        <f t="shared" si="14"/>
        <v>5</v>
      </c>
      <c r="M312" t="str">
        <f t="shared" si="15"/>
        <v>good boking</v>
      </c>
    </row>
    <row r="313" spans="1:13" ht="15" thickBot="1" x14ac:dyDescent="0.35">
      <c r="A313" s="2">
        <v>311</v>
      </c>
      <c r="B313" s="2">
        <v>312</v>
      </c>
      <c r="C313" s="4">
        <v>40557</v>
      </c>
      <c r="D313" s="2">
        <v>0.16669999999999999</v>
      </c>
      <c r="E313" s="13">
        <v>0.51</v>
      </c>
      <c r="F313" s="2">
        <v>0.28360000000000002</v>
      </c>
      <c r="G313" s="2">
        <v>6</v>
      </c>
      <c r="H313" s="2">
        <v>47</v>
      </c>
      <c r="I313" s="2">
        <v>53</v>
      </c>
      <c r="J313" t="str">
        <f t="shared" si="13"/>
        <v>0.16</v>
      </c>
      <c r="K313" t="str" cm="1">
        <f t="array" ref="K313">_xlfn.IFS(E313&gt;55%,"higher humidity",E313&gt;=35%,"medium humidity",E313&lt;35%,"lower humidity")</f>
        <v>medium humidity</v>
      </c>
      <c r="L313">
        <f t="shared" si="14"/>
        <v>6</v>
      </c>
      <c r="M313" t="str">
        <f t="shared" si="15"/>
        <v>good boking</v>
      </c>
    </row>
    <row r="314" spans="1:13" ht="15" thickBot="1" x14ac:dyDescent="0.35">
      <c r="A314" s="2">
        <v>312</v>
      </c>
      <c r="B314" s="2">
        <v>313</v>
      </c>
      <c r="C314" s="4">
        <v>40557</v>
      </c>
      <c r="D314" s="2">
        <v>0.19700000000000001</v>
      </c>
      <c r="E314" s="13">
        <v>0.44</v>
      </c>
      <c r="F314" s="2">
        <v>0.25369999999999998</v>
      </c>
      <c r="G314" s="2">
        <v>2</v>
      </c>
      <c r="H314" s="2">
        <v>59</v>
      </c>
      <c r="I314" s="2">
        <v>61</v>
      </c>
      <c r="J314" t="str">
        <f t="shared" si="13"/>
        <v>0.19</v>
      </c>
      <c r="K314" t="str" cm="1">
        <f t="array" ref="K314">_xlfn.IFS(E314&gt;55%,"higher humidity",E314&gt;=35%,"medium humidity",E314&lt;35%,"lower humidity")</f>
        <v>medium humidity</v>
      </c>
      <c r="L314">
        <f t="shared" si="14"/>
        <v>6</v>
      </c>
      <c r="M314" t="str">
        <f t="shared" si="15"/>
        <v>good boking</v>
      </c>
    </row>
    <row r="315" spans="1:13" ht="15" thickBot="1" x14ac:dyDescent="0.35">
      <c r="A315" s="2">
        <v>313</v>
      </c>
      <c r="B315" s="2">
        <v>314</v>
      </c>
      <c r="C315" s="4">
        <v>40557</v>
      </c>
      <c r="D315" s="2">
        <v>0.19700000000000001</v>
      </c>
      <c r="E315" s="13">
        <v>0.37</v>
      </c>
      <c r="F315" s="2">
        <v>0.3881</v>
      </c>
      <c r="G315" s="2">
        <v>4</v>
      </c>
      <c r="H315" s="2">
        <v>73</v>
      </c>
      <c r="I315" s="2">
        <v>77</v>
      </c>
      <c r="J315" t="str">
        <f t="shared" si="13"/>
        <v>0.19</v>
      </c>
      <c r="K315" t="str" cm="1">
        <f t="array" ref="K315">_xlfn.IFS(E315&gt;55%,"higher humidity",E315&gt;=35%,"medium humidity",E315&lt;35%,"lower humidity")</f>
        <v>medium humidity</v>
      </c>
      <c r="L315">
        <f t="shared" si="14"/>
        <v>6</v>
      </c>
      <c r="M315" t="str">
        <f t="shared" si="15"/>
        <v>good boking</v>
      </c>
    </row>
    <row r="316" spans="1:13" ht="15" thickBot="1" x14ac:dyDescent="0.35">
      <c r="A316" s="2">
        <v>314</v>
      </c>
      <c r="B316" s="2">
        <v>315</v>
      </c>
      <c r="C316" s="4">
        <v>40557</v>
      </c>
      <c r="D316" s="2">
        <v>0.21210000000000001</v>
      </c>
      <c r="E316" s="13">
        <v>0.41</v>
      </c>
      <c r="F316" s="2">
        <v>0.28360000000000002</v>
      </c>
      <c r="G316" s="2">
        <v>5</v>
      </c>
      <c r="H316" s="2">
        <v>59</v>
      </c>
      <c r="I316" s="2">
        <v>64</v>
      </c>
      <c r="J316" t="str">
        <f t="shared" si="13"/>
        <v>0.21</v>
      </c>
      <c r="K316" t="str" cm="1">
        <f t="array" ref="K316">_xlfn.IFS(E316&gt;55%,"higher humidity",E316&gt;=35%,"medium humidity",E316&lt;35%,"lower humidity")</f>
        <v>medium humidity</v>
      </c>
      <c r="L316">
        <f t="shared" si="14"/>
        <v>6</v>
      </c>
      <c r="M316" t="str">
        <f t="shared" si="15"/>
        <v>good boking</v>
      </c>
    </row>
    <row r="317" spans="1:13" ht="15" thickBot="1" x14ac:dyDescent="0.35">
      <c r="A317" s="2">
        <v>315</v>
      </c>
      <c r="B317" s="2">
        <v>316</v>
      </c>
      <c r="C317" s="4">
        <v>40557</v>
      </c>
      <c r="D317" s="2">
        <v>0.2424</v>
      </c>
      <c r="E317" s="13">
        <v>0.38</v>
      </c>
      <c r="F317" s="2">
        <v>0.16420000000000001</v>
      </c>
      <c r="G317" s="2">
        <v>9</v>
      </c>
      <c r="H317" s="2">
        <v>59</v>
      </c>
      <c r="I317" s="2">
        <v>68</v>
      </c>
      <c r="J317" t="str">
        <f t="shared" si="13"/>
        <v>0.24</v>
      </c>
      <c r="K317" t="str" cm="1">
        <f t="array" ref="K317">_xlfn.IFS(E317&gt;55%,"higher humidity",E317&gt;=35%,"medium humidity",E317&lt;35%,"lower humidity")</f>
        <v>medium humidity</v>
      </c>
      <c r="L317">
        <f t="shared" si="14"/>
        <v>6</v>
      </c>
      <c r="M317" t="str">
        <f t="shared" si="15"/>
        <v>good boking</v>
      </c>
    </row>
    <row r="318" spans="1:13" ht="15" thickBot="1" x14ac:dyDescent="0.35">
      <c r="A318" s="2">
        <v>316</v>
      </c>
      <c r="B318" s="2">
        <v>317</v>
      </c>
      <c r="C318" s="4">
        <v>40557</v>
      </c>
      <c r="D318" s="2">
        <v>0.2424</v>
      </c>
      <c r="E318" s="13">
        <v>0.41</v>
      </c>
      <c r="F318" s="2">
        <v>0.1045</v>
      </c>
      <c r="G318" s="2">
        <v>3</v>
      </c>
      <c r="H318" s="2">
        <v>87</v>
      </c>
      <c r="I318" s="2">
        <v>90</v>
      </c>
      <c r="J318" t="str">
        <f t="shared" si="13"/>
        <v>0.24</v>
      </c>
      <c r="K318" t="str" cm="1">
        <f t="array" ref="K318">_xlfn.IFS(E318&gt;55%,"higher humidity",E318&gt;=35%,"medium humidity",E318&lt;35%,"lower humidity")</f>
        <v>medium humidity</v>
      </c>
      <c r="L318">
        <f t="shared" si="14"/>
        <v>6</v>
      </c>
      <c r="M318" t="str">
        <f t="shared" si="15"/>
        <v>good boking</v>
      </c>
    </row>
    <row r="319" spans="1:13" ht="15" thickBot="1" x14ac:dyDescent="0.35">
      <c r="A319" s="2">
        <v>317</v>
      </c>
      <c r="B319" s="2">
        <v>318</v>
      </c>
      <c r="C319" s="4">
        <v>40557</v>
      </c>
      <c r="D319" s="2">
        <v>0.2273</v>
      </c>
      <c r="E319" s="13">
        <v>0.41</v>
      </c>
      <c r="F319" s="2">
        <v>0.16420000000000001</v>
      </c>
      <c r="G319" s="2">
        <v>4</v>
      </c>
      <c r="H319" s="2">
        <v>155</v>
      </c>
      <c r="I319" s="2">
        <v>159</v>
      </c>
      <c r="J319" t="str">
        <f t="shared" si="13"/>
        <v>0.22</v>
      </c>
      <c r="K319" t="str" cm="1">
        <f t="array" ref="K319">_xlfn.IFS(E319&gt;55%,"higher humidity",E319&gt;=35%,"medium humidity",E319&lt;35%,"lower humidity")</f>
        <v>medium humidity</v>
      </c>
      <c r="L319">
        <f t="shared" si="14"/>
        <v>6</v>
      </c>
      <c r="M319" t="str">
        <f t="shared" si="15"/>
        <v>good boking</v>
      </c>
    </row>
    <row r="320" spans="1:13" ht="15" thickBot="1" x14ac:dyDescent="0.35">
      <c r="A320" s="2">
        <v>318</v>
      </c>
      <c r="B320" s="2">
        <v>319</v>
      </c>
      <c r="C320" s="4">
        <v>40557</v>
      </c>
      <c r="D320" s="2">
        <v>0.2576</v>
      </c>
      <c r="E320" s="13">
        <v>0.47</v>
      </c>
      <c r="F320" s="2">
        <v>0</v>
      </c>
      <c r="G320" s="2">
        <v>5</v>
      </c>
      <c r="H320" s="2">
        <v>134</v>
      </c>
      <c r="I320" s="2">
        <v>139</v>
      </c>
      <c r="J320" t="str">
        <f t="shared" si="13"/>
        <v>0.25</v>
      </c>
      <c r="K320" t="str" cm="1">
        <f t="array" ref="K320">_xlfn.IFS(E320&gt;55%,"higher humidity",E320&gt;=35%,"medium humidity",E320&lt;35%,"lower humidity")</f>
        <v>medium humidity</v>
      </c>
      <c r="L320">
        <f t="shared" si="14"/>
        <v>1</v>
      </c>
      <c r="M320" t="str">
        <f t="shared" si="15"/>
        <v>good boking</v>
      </c>
    </row>
    <row r="321" spans="1:13" ht="15" thickBot="1" x14ac:dyDescent="0.35">
      <c r="A321" s="2">
        <v>319</v>
      </c>
      <c r="B321" s="2">
        <v>320</v>
      </c>
      <c r="C321" s="4">
        <v>40557</v>
      </c>
      <c r="D321" s="2">
        <v>0.19700000000000001</v>
      </c>
      <c r="E321" s="13">
        <v>0.59</v>
      </c>
      <c r="F321" s="2">
        <v>8.9599999999999999E-2</v>
      </c>
      <c r="G321" s="2">
        <v>3</v>
      </c>
      <c r="H321" s="2">
        <v>89</v>
      </c>
      <c r="I321" s="2">
        <v>92</v>
      </c>
      <c r="J321" t="str">
        <f t="shared" si="13"/>
        <v>0.19</v>
      </c>
      <c r="K321" t="str" cm="1">
        <f t="array" ref="K321">_xlfn.IFS(E321&gt;55%,"higher humidity",E321&gt;=35%,"medium humidity",E321&lt;35%,"lower humidity")</f>
        <v>higher humidity</v>
      </c>
      <c r="L321">
        <f t="shared" si="14"/>
        <v>6</v>
      </c>
      <c r="M321" t="str">
        <f t="shared" si="15"/>
        <v>good boking</v>
      </c>
    </row>
    <row r="322" spans="1:13" ht="15" thickBot="1" x14ac:dyDescent="0.35">
      <c r="A322" s="2">
        <v>320</v>
      </c>
      <c r="B322" s="2">
        <v>321</v>
      </c>
      <c r="C322" s="4">
        <v>40557</v>
      </c>
      <c r="D322" s="2">
        <v>0.2424</v>
      </c>
      <c r="E322" s="13">
        <v>0.59</v>
      </c>
      <c r="F322" s="2">
        <v>0</v>
      </c>
      <c r="G322" s="2">
        <v>0</v>
      </c>
      <c r="H322" s="2">
        <v>68</v>
      </c>
      <c r="I322" s="2">
        <v>68</v>
      </c>
      <c r="J322" t="str">
        <f t="shared" si="13"/>
        <v>0.24</v>
      </c>
      <c r="K322" t="str" cm="1">
        <f t="array" ref="K322">_xlfn.IFS(E322&gt;55%,"higher humidity",E322&gt;=35%,"medium humidity",E322&lt;35%,"lower humidity")</f>
        <v>higher humidity</v>
      </c>
      <c r="L322">
        <f t="shared" si="14"/>
        <v>1</v>
      </c>
      <c r="M322" t="str">
        <f t="shared" si="15"/>
        <v>good boking</v>
      </c>
    </row>
    <row r="323" spans="1:13" ht="15" thickBot="1" x14ac:dyDescent="0.35">
      <c r="A323" s="2">
        <v>321</v>
      </c>
      <c r="B323" s="2">
        <v>322</v>
      </c>
      <c r="C323" s="4">
        <v>40557</v>
      </c>
      <c r="D323" s="2">
        <v>0.2273</v>
      </c>
      <c r="E323" s="13">
        <v>0.69</v>
      </c>
      <c r="F323" s="2">
        <v>0</v>
      </c>
      <c r="G323" s="2">
        <v>4</v>
      </c>
      <c r="H323" s="2">
        <v>48</v>
      </c>
      <c r="I323" s="2">
        <v>52</v>
      </c>
      <c r="J323" t="str">
        <f t="shared" ref="J323:J386" si="16">LEFT(D323,4)</f>
        <v>0.22</v>
      </c>
      <c r="K323" t="str" cm="1">
        <f t="array" ref="K323">_xlfn.IFS(E323&gt;55%,"higher humidity",E323&gt;=35%,"medium humidity",E323&lt;35%,"lower humidity")</f>
        <v>higher humidity</v>
      </c>
      <c r="L323">
        <f t="shared" ref="L323:L386" si="17">LEN(F323)</f>
        <v>1</v>
      </c>
      <c r="M323" t="str">
        <f t="shared" ref="M323:M386" si="18">IF(H323&gt;30,"good boking","Bad booking")</f>
        <v>good boking</v>
      </c>
    </row>
    <row r="324" spans="1:13" ht="15" thickBot="1" x14ac:dyDescent="0.35">
      <c r="A324" s="2">
        <v>322</v>
      </c>
      <c r="B324" s="2">
        <v>323</v>
      </c>
      <c r="C324" s="4">
        <v>40557</v>
      </c>
      <c r="D324" s="2">
        <v>0.2273</v>
      </c>
      <c r="E324" s="13">
        <v>0.69</v>
      </c>
      <c r="F324" s="2">
        <v>0</v>
      </c>
      <c r="G324" s="2">
        <v>2</v>
      </c>
      <c r="H324" s="2">
        <v>34</v>
      </c>
      <c r="I324" s="2">
        <v>36</v>
      </c>
      <c r="J324" t="str">
        <f t="shared" si="16"/>
        <v>0.22</v>
      </c>
      <c r="K324" t="str" cm="1">
        <f t="array" ref="K324">_xlfn.IFS(E324&gt;55%,"higher humidity",E324&gt;=35%,"medium humidity",E324&lt;35%,"lower humidity")</f>
        <v>higher humidity</v>
      </c>
      <c r="L324">
        <f t="shared" si="17"/>
        <v>1</v>
      </c>
      <c r="M324" t="str">
        <f t="shared" si="18"/>
        <v>good boking</v>
      </c>
    </row>
    <row r="325" spans="1:13" ht="15" thickBot="1" x14ac:dyDescent="0.35">
      <c r="A325" s="2">
        <v>323</v>
      </c>
      <c r="B325" s="2">
        <v>324</v>
      </c>
      <c r="C325" s="4">
        <v>40557</v>
      </c>
      <c r="D325" s="2">
        <v>0.2424</v>
      </c>
      <c r="E325" s="13">
        <v>0.55000000000000004</v>
      </c>
      <c r="F325" s="2">
        <v>0</v>
      </c>
      <c r="G325" s="2">
        <v>1</v>
      </c>
      <c r="H325" s="2">
        <v>26</v>
      </c>
      <c r="I325" s="2">
        <v>27</v>
      </c>
      <c r="J325" t="str">
        <f t="shared" si="16"/>
        <v>0.24</v>
      </c>
      <c r="K325" t="str" cm="1">
        <f t="array" ref="K325">_xlfn.IFS(E325&gt;55%,"higher humidity",E325&gt;=35%,"medium humidity",E325&lt;35%,"lower humidity")</f>
        <v>medium humidity</v>
      </c>
      <c r="L325">
        <f t="shared" si="17"/>
        <v>1</v>
      </c>
      <c r="M325" t="str">
        <f t="shared" si="18"/>
        <v>Bad booking</v>
      </c>
    </row>
    <row r="326" spans="1:13" ht="15" thickBot="1" x14ac:dyDescent="0.35">
      <c r="A326" s="2">
        <v>324</v>
      </c>
      <c r="B326" s="2">
        <v>325</v>
      </c>
      <c r="C326" s="4">
        <v>40558</v>
      </c>
      <c r="D326" s="2">
        <v>0.2424</v>
      </c>
      <c r="E326" s="13">
        <v>0.55000000000000004</v>
      </c>
      <c r="F326" s="2">
        <v>0</v>
      </c>
      <c r="G326" s="2">
        <v>3</v>
      </c>
      <c r="H326" s="2">
        <v>25</v>
      </c>
      <c r="I326" s="2">
        <v>28</v>
      </c>
      <c r="J326" t="str">
        <f t="shared" si="16"/>
        <v>0.24</v>
      </c>
      <c r="K326" t="str" cm="1">
        <f t="array" ref="K326">_xlfn.IFS(E326&gt;55%,"higher humidity",E326&gt;=35%,"medium humidity",E326&lt;35%,"lower humidity")</f>
        <v>medium humidity</v>
      </c>
      <c r="L326">
        <f t="shared" si="17"/>
        <v>1</v>
      </c>
      <c r="M326" t="str">
        <f t="shared" si="18"/>
        <v>Bad booking</v>
      </c>
    </row>
    <row r="327" spans="1:13" ht="15" thickBot="1" x14ac:dyDescent="0.35">
      <c r="A327" s="2">
        <v>325</v>
      </c>
      <c r="B327" s="2">
        <v>326</v>
      </c>
      <c r="C327" s="4">
        <v>40558</v>
      </c>
      <c r="D327" s="2">
        <v>0.19700000000000001</v>
      </c>
      <c r="E327" s="13">
        <v>0.59</v>
      </c>
      <c r="F327" s="2">
        <v>8.9599999999999999E-2</v>
      </c>
      <c r="G327" s="2">
        <v>2</v>
      </c>
      <c r="H327" s="2">
        <v>18</v>
      </c>
      <c r="I327" s="2">
        <v>20</v>
      </c>
      <c r="J327" t="str">
        <f t="shared" si="16"/>
        <v>0.19</v>
      </c>
      <c r="K327" t="str" cm="1">
        <f t="array" ref="K327">_xlfn.IFS(E327&gt;55%,"higher humidity",E327&gt;=35%,"medium humidity",E327&lt;35%,"lower humidity")</f>
        <v>higher humidity</v>
      </c>
      <c r="L327">
        <f t="shared" si="17"/>
        <v>6</v>
      </c>
      <c r="M327" t="str">
        <f t="shared" si="18"/>
        <v>Bad booking</v>
      </c>
    </row>
    <row r="328" spans="1:13" ht="15" thickBot="1" x14ac:dyDescent="0.35">
      <c r="A328" s="2">
        <v>326</v>
      </c>
      <c r="B328" s="2">
        <v>327</v>
      </c>
      <c r="C328" s="4">
        <v>40558</v>
      </c>
      <c r="D328" s="2">
        <v>0.19700000000000001</v>
      </c>
      <c r="E328" s="13">
        <v>0.59</v>
      </c>
      <c r="F328" s="2">
        <v>8.9599999999999999E-2</v>
      </c>
      <c r="G328" s="2">
        <v>0</v>
      </c>
      <c r="H328" s="2">
        <v>12</v>
      </c>
      <c r="I328" s="2">
        <v>12</v>
      </c>
      <c r="J328" t="str">
        <f t="shared" si="16"/>
        <v>0.19</v>
      </c>
      <c r="K328" t="str" cm="1">
        <f t="array" ref="K328">_xlfn.IFS(E328&gt;55%,"higher humidity",E328&gt;=35%,"medium humidity",E328&lt;35%,"lower humidity")</f>
        <v>higher humidity</v>
      </c>
      <c r="L328">
        <f t="shared" si="17"/>
        <v>6</v>
      </c>
      <c r="M328" t="str">
        <f t="shared" si="18"/>
        <v>Bad booking</v>
      </c>
    </row>
    <row r="329" spans="1:13" ht="15" thickBot="1" x14ac:dyDescent="0.35">
      <c r="A329" s="2">
        <v>327</v>
      </c>
      <c r="B329" s="2">
        <v>328</v>
      </c>
      <c r="C329" s="4">
        <v>40558</v>
      </c>
      <c r="D329" s="2">
        <v>0.2273</v>
      </c>
      <c r="E329" s="13">
        <v>0.59</v>
      </c>
      <c r="F329" s="2">
        <v>0</v>
      </c>
      <c r="G329" s="2">
        <v>1</v>
      </c>
      <c r="H329" s="2">
        <v>7</v>
      </c>
      <c r="I329" s="2">
        <v>8</v>
      </c>
      <c r="J329" t="str">
        <f t="shared" si="16"/>
        <v>0.22</v>
      </c>
      <c r="K329" t="str" cm="1">
        <f t="array" ref="K329">_xlfn.IFS(E329&gt;55%,"higher humidity",E329&gt;=35%,"medium humidity",E329&lt;35%,"lower humidity")</f>
        <v>higher humidity</v>
      </c>
      <c r="L329">
        <f t="shared" si="17"/>
        <v>1</v>
      </c>
      <c r="M329" t="str">
        <f t="shared" si="18"/>
        <v>Bad booking</v>
      </c>
    </row>
    <row r="330" spans="1:13" ht="15" thickBot="1" x14ac:dyDescent="0.35">
      <c r="A330" s="2">
        <v>328</v>
      </c>
      <c r="B330" s="2">
        <v>329</v>
      </c>
      <c r="C330" s="4">
        <v>40558</v>
      </c>
      <c r="D330" s="2">
        <v>0.2273</v>
      </c>
      <c r="E330" s="13">
        <v>0.59</v>
      </c>
      <c r="F330" s="2">
        <v>0</v>
      </c>
      <c r="G330" s="2">
        <v>0</v>
      </c>
      <c r="H330" s="2">
        <v>5</v>
      </c>
      <c r="I330" s="2">
        <v>5</v>
      </c>
      <c r="J330" t="str">
        <f t="shared" si="16"/>
        <v>0.22</v>
      </c>
      <c r="K330" t="str" cm="1">
        <f t="array" ref="K330">_xlfn.IFS(E330&gt;55%,"higher humidity",E330&gt;=35%,"medium humidity",E330&lt;35%,"lower humidity")</f>
        <v>higher humidity</v>
      </c>
      <c r="L330">
        <f t="shared" si="17"/>
        <v>1</v>
      </c>
      <c r="M330" t="str">
        <f t="shared" si="18"/>
        <v>Bad booking</v>
      </c>
    </row>
    <row r="331" spans="1:13" ht="15" thickBot="1" x14ac:dyDescent="0.35">
      <c r="A331" s="2">
        <v>329</v>
      </c>
      <c r="B331" s="2">
        <v>330</v>
      </c>
      <c r="C331" s="4">
        <v>40558</v>
      </c>
      <c r="D331" s="2">
        <v>0.2273</v>
      </c>
      <c r="E331" s="13">
        <v>0.59</v>
      </c>
      <c r="F331" s="2">
        <v>0</v>
      </c>
      <c r="G331" s="2">
        <v>0</v>
      </c>
      <c r="H331" s="2">
        <v>1</v>
      </c>
      <c r="I331" s="2">
        <v>1</v>
      </c>
      <c r="J331" t="str">
        <f t="shared" si="16"/>
        <v>0.22</v>
      </c>
      <c r="K331" t="str" cm="1">
        <f t="array" ref="K331">_xlfn.IFS(E331&gt;55%,"higher humidity",E331&gt;=35%,"medium humidity",E331&lt;35%,"lower humidity")</f>
        <v>higher humidity</v>
      </c>
      <c r="L331">
        <f t="shared" si="17"/>
        <v>1</v>
      </c>
      <c r="M331" t="str">
        <f t="shared" si="18"/>
        <v>Bad booking</v>
      </c>
    </row>
    <row r="332" spans="1:13" ht="15" thickBot="1" x14ac:dyDescent="0.35">
      <c r="A332" s="2">
        <v>330</v>
      </c>
      <c r="B332" s="2">
        <v>331</v>
      </c>
      <c r="C332" s="4">
        <v>40558</v>
      </c>
      <c r="D332" s="2">
        <v>0.16669999999999999</v>
      </c>
      <c r="E332" s="13">
        <v>0.63</v>
      </c>
      <c r="F332" s="2">
        <v>0.1045</v>
      </c>
      <c r="G332" s="2">
        <v>1</v>
      </c>
      <c r="H332" s="2">
        <v>2</v>
      </c>
      <c r="I332" s="2">
        <v>3</v>
      </c>
      <c r="J332" t="str">
        <f t="shared" si="16"/>
        <v>0.16</v>
      </c>
      <c r="K332" t="str" cm="1">
        <f t="array" ref="K332">_xlfn.IFS(E332&gt;55%,"higher humidity",E332&gt;=35%,"medium humidity",E332&lt;35%,"lower humidity")</f>
        <v>higher humidity</v>
      </c>
      <c r="L332">
        <f t="shared" si="17"/>
        <v>6</v>
      </c>
      <c r="M332" t="str">
        <f t="shared" si="18"/>
        <v>Bad booking</v>
      </c>
    </row>
    <row r="333" spans="1:13" ht="15" thickBot="1" x14ac:dyDescent="0.35">
      <c r="A333" s="2">
        <v>331</v>
      </c>
      <c r="B333" s="2">
        <v>332</v>
      </c>
      <c r="C333" s="4">
        <v>40558</v>
      </c>
      <c r="D333" s="2">
        <v>0.21210000000000001</v>
      </c>
      <c r="E333" s="13">
        <v>0.63</v>
      </c>
      <c r="F333" s="2">
        <v>0</v>
      </c>
      <c r="G333" s="2">
        <v>1</v>
      </c>
      <c r="H333" s="2">
        <v>9</v>
      </c>
      <c r="I333" s="2">
        <v>10</v>
      </c>
      <c r="J333" t="str">
        <f t="shared" si="16"/>
        <v>0.21</v>
      </c>
      <c r="K333" t="str" cm="1">
        <f t="array" ref="K333">_xlfn.IFS(E333&gt;55%,"higher humidity",E333&gt;=35%,"medium humidity",E333&lt;35%,"lower humidity")</f>
        <v>higher humidity</v>
      </c>
      <c r="L333">
        <f t="shared" si="17"/>
        <v>1</v>
      </c>
      <c r="M333" t="str">
        <f t="shared" si="18"/>
        <v>Bad booking</v>
      </c>
    </row>
    <row r="334" spans="1:13" ht="15" thickBot="1" x14ac:dyDescent="0.35">
      <c r="A334" s="2">
        <v>332</v>
      </c>
      <c r="B334" s="2">
        <v>333</v>
      </c>
      <c r="C334" s="4">
        <v>40558</v>
      </c>
      <c r="D334" s="2">
        <v>0.1515</v>
      </c>
      <c r="E334" s="13">
        <v>0.63</v>
      </c>
      <c r="F334" s="2">
        <v>0.1343</v>
      </c>
      <c r="G334" s="2">
        <v>1</v>
      </c>
      <c r="H334" s="2">
        <v>22</v>
      </c>
      <c r="I334" s="2">
        <v>23</v>
      </c>
      <c r="J334" t="str">
        <f t="shared" si="16"/>
        <v>0.15</v>
      </c>
      <c r="K334" t="str" cm="1">
        <f t="array" ref="K334">_xlfn.IFS(E334&gt;55%,"higher humidity",E334&gt;=35%,"medium humidity",E334&lt;35%,"lower humidity")</f>
        <v>higher humidity</v>
      </c>
      <c r="L334">
        <f t="shared" si="17"/>
        <v>6</v>
      </c>
      <c r="M334" t="str">
        <f t="shared" si="18"/>
        <v>Bad booking</v>
      </c>
    </row>
    <row r="335" spans="1:13" ht="15" thickBot="1" x14ac:dyDescent="0.35">
      <c r="A335" s="2">
        <v>333</v>
      </c>
      <c r="B335" s="2">
        <v>334</v>
      </c>
      <c r="C335" s="4">
        <v>40558</v>
      </c>
      <c r="D335" s="2">
        <v>0.18179999999999999</v>
      </c>
      <c r="E335" s="13">
        <v>0.64</v>
      </c>
      <c r="F335" s="2">
        <v>0.1343</v>
      </c>
      <c r="G335" s="2">
        <v>2</v>
      </c>
      <c r="H335" s="2">
        <v>31</v>
      </c>
      <c r="I335" s="2">
        <v>33</v>
      </c>
      <c r="J335" t="str">
        <f t="shared" si="16"/>
        <v>0.18</v>
      </c>
      <c r="K335" t="str" cm="1">
        <f t="array" ref="K335">_xlfn.IFS(E335&gt;55%,"higher humidity",E335&gt;=35%,"medium humidity",E335&lt;35%,"lower humidity")</f>
        <v>higher humidity</v>
      </c>
      <c r="L335">
        <f t="shared" si="17"/>
        <v>6</v>
      </c>
      <c r="M335" t="str">
        <f t="shared" si="18"/>
        <v>good boking</v>
      </c>
    </row>
    <row r="336" spans="1:13" ht="15" thickBot="1" x14ac:dyDescent="0.35">
      <c r="A336" s="2">
        <v>334</v>
      </c>
      <c r="B336" s="2">
        <v>335</v>
      </c>
      <c r="C336" s="4">
        <v>40558</v>
      </c>
      <c r="D336" s="2">
        <v>0.19700000000000001</v>
      </c>
      <c r="E336" s="13">
        <v>0.59</v>
      </c>
      <c r="F336" s="2">
        <v>0.16420000000000001</v>
      </c>
      <c r="G336" s="2">
        <v>2</v>
      </c>
      <c r="H336" s="2">
        <v>57</v>
      </c>
      <c r="I336" s="2">
        <v>59</v>
      </c>
      <c r="J336" t="str">
        <f t="shared" si="16"/>
        <v>0.19</v>
      </c>
      <c r="K336" t="str" cm="1">
        <f t="array" ref="K336">_xlfn.IFS(E336&gt;55%,"higher humidity",E336&gt;=35%,"medium humidity",E336&lt;35%,"lower humidity")</f>
        <v>higher humidity</v>
      </c>
      <c r="L336">
        <f t="shared" si="17"/>
        <v>6</v>
      </c>
      <c r="M336" t="str">
        <f t="shared" si="18"/>
        <v>good boking</v>
      </c>
    </row>
    <row r="337" spans="1:13" ht="15" thickBot="1" x14ac:dyDescent="0.35">
      <c r="A337" s="2">
        <v>335</v>
      </c>
      <c r="B337" s="2">
        <v>336</v>
      </c>
      <c r="C337" s="4">
        <v>40558</v>
      </c>
      <c r="D337" s="2">
        <v>0.19700000000000001</v>
      </c>
      <c r="E337" s="13">
        <v>0.55000000000000004</v>
      </c>
      <c r="F337" s="2">
        <v>0.22389999999999999</v>
      </c>
      <c r="G337" s="2">
        <v>18</v>
      </c>
      <c r="H337" s="2">
        <v>54</v>
      </c>
      <c r="I337" s="2">
        <v>72</v>
      </c>
      <c r="J337" t="str">
        <f t="shared" si="16"/>
        <v>0.19</v>
      </c>
      <c r="K337" t="str" cm="1">
        <f t="array" ref="K337">_xlfn.IFS(E337&gt;55%,"higher humidity",E337&gt;=35%,"medium humidity",E337&lt;35%,"lower humidity")</f>
        <v>medium humidity</v>
      </c>
      <c r="L337">
        <f t="shared" si="17"/>
        <v>6</v>
      </c>
      <c r="M337" t="str">
        <f t="shared" si="18"/>
        <v>good boking</v>
      </c>
    </row>
    <row r="338" spans="1:13" ht="15" thickBot="1" x14ac:dyDescent="0.35">
      <c r="A338" s="2">
        <v>336</v>
      </c>
      <c r="B338" s="2">
        <v>337</v>
      </c>
      <c r="C338" s="4">
        <v>40558</v>
      </c>
      <c r="D338" s="2">
        <v>0.2273</v>
      </c>
      <c r="E338" s="13">
        <v>0.48</v>
      </c>
      <c r="F338" s="2">
        <v>0.22389999999999999</v>
      </c>
      <c r="G338" s="2">
        <v>15</v>
      </c>
      <c r="H338" s="2">
        <v>74</v>
      </c>
      <c r="I338" s="2">
        <v>89</v>
      </c>
      <c r="J338" t="str">
        <f t="shared" si="16"/>
        <v>0.22</v>
      </c>
      <c r="K338" t="str" cm="1">
        <f t="array" ref="K338">_xlfn.IFS(E338&gt;55%,"higher humidity",E338&gt;=35%,"medium humidity",E338&lt;35%,"lower humidity")</f>
        <v>medium humidity</v>
      </c>
      <c r="L338">
        <f t="shared" si="17"/>
        <v>6</v>
      </c>
      <c r="M338" t="str">
        <f t="shared" si="18"/>
        <v>good boking</v>
      </c>
    </row>
    <row r="339" spans="1:13" ht="15" thickBot="1" x14ac:dyDescent="0.35">
      <c r="A339" s="2">
        <v>337</v>
      </c>
      <c r="B339" s="2">
        <v>338</v>
      </c>
      <c r="C339" s="4">
        <v>40558</v>
      </c>
      <c r="D339" s="2">
        <v>0.2576</v>
      </c>
      <c r="E339" s="13">
        <v>0.38</v>
      </c>
      <c r="F339" s="2">
        <v>0.29849999999999999</v>
      </c>
      <c r="G339" s="2">
        <v>21</v>
      </c>
      <c r="H339" s="2">
        <v>80</v>
      </c>
      <c r="I339" s="2">
        <v>101</v>
      </c>
      <c r="J339" t="str">
        <f t="shared" si="16"/>
        <v>0.25</v>
      </c>
      <c r="K339" t="str" cm="1">
        <f t="array" ref="K339">_xlfn.IFS(E339&gt;55%,"higher humidity",E339&gt;=35%,"medium humidity",E339&lt;35%,"lower humidity")</f>
        <v>medium humidity</v>
      </c>
      <c r="L339">
        <f t="shared" si="17"/>
        <v>6</v>
      </c>
      <c r="M339" t="str">
        <f t="shared" si="18"/>
        <v>good boking</v>
      </c>
    </row>
    <row r="340" spans="1:13" ht="15" thickBot="1" x14ac:dyDescent="0.35">
      <c r="A340" s="2">
        <v>338</v>
      </c>
      <c r="B340" s="2">
        <v>339</v>
      </c>
      <c r="C340" s="4">
        <v>40558</v>
      </c>
      <c r="D340" s="2">
        <v>0.28789999999999999</v>
      </c>
      <c r="E340" s="13">
        <v>0.39</v>
      </c>
      <c r="F340" s="2">
        <v>0.28360000000000002</v>
      </c>
      <c r="G340" s="2">
        <v>26</v>
      </c>
      <c r="H340" s="2">
        <v>92</v>
      </c>
      <c r="I340" s="2">
        <v>118</v>
      </c>
      <c r="J340" t="str">
        <f t="shared" si="16"/>
        <v>0.28</v>
      </c>
      <c r="K340" t="str" cm="1">
        <f t="array" ref="K340">_xlfn.IFS(E340&gt;55%,"higher humidity",E340&gt;=35%,"medium humidity",E340&lt;35%,"lower humidity")</f>
        <v>medium humidity</v>
      </c>
      <c r="L340">
        <f t="shared" si="17"/>
        <v>6</v>
      </c>
      <c r="M340" t="str">
        <f t="shared" si="18"/>
        <v>good boking</v>
      </c>
    </row>
    <row r="341" spans="1:13" ht="15" thickBot="1" x14ac:dyDescent="0.35">
      <c r="A341" s="2">
        <v>339</v>
      </c>
      <c r="B341" s="2">
        <v>340</v>
      </c>
      <c r="C341" s="4">
        <v>40558</v>
      </c>
      <c r="D341" s="2">
        <v>0.31819999999999998</v>
      </c>
      <c r="E341" s="13">
        <v>0.36</v>
      </c>
      <c r="F341" s="2">
        <v>0.19400000000000001</v>
      </c>
      <c r="G341" s="2">
        <v>21</v>
      </c>
      <c r="H341" s="2">
        <v>108</v>
      </c>
      <c r="I341" s="2">
        <v>129</v>
      </c>
      <c r="J341" t="str">
        <f t="shared" si="16"/>
        <v>0.31</v>
      </c>
      <c r="K341" t="str" cm="1">
        <f t="array" ref="K341">_xlfn.IFS(E341&gt;55%,"higher humidity",E341&gt;=35%,"medium humidity",E341&lt;35%,"lower humidity")</f>
        <v>medium humidity</v>
      </c>
      <c r="L341">
        <f t="shared" si="17"/>
        <v>5</v>
      </c>
      <c r="M341" t="str">
        <f t="shared" si="18"/>
        <v>good boking</v>
      </c>
    </row>
    <row r="342" spans="1:13" ht="15" thickBot="1" x14ac:dyDescent="0.35">
      <c r="A342" s="2">
        <v>340</v>
      </c>
      <c r="B342" s="2">
        <v>341</v>
      </c>
      <c r="C342" s="4">
        <v>40558</v>
      </c>
      <c r="D342" s="2">
        <v>0.33329999999999999</v>
      </c>
      <c r="E342" s="13">
        <v>0.34</v>
      </c>
      <c r="F342" s="2">
        <v>0.19400000000000001</v>
      </c>
      <c r="G342" s="2">
        <v>33</v>
      </c>
      <c r="H342" s="2">
        <v>95</v>
      </c>
      <c r="I342" s="2">
        <v>128</v>
      </c>
      <c r="J342" t="str">
        <f t="shared" si="16"/>
        <v>0.33</v>
      </c>
      <c r="K342" t="str" cm="1">
        <f t="array" ref="K342">_xlfn.IFS(E342&gt;55%,"higher humidity",E342&gt;=35%,"medium humidity",E342&lt;35%,"lower humidity")</f>
        <v>lower humidity</v>
      </c>
      <c r="L342">
        <f t="shared" si="17"/>
        <v>5</v>
      </c>
      <c r="M342" t="str">
        <f t="shared" si="18"/>
        <v>good boking</v>
      </c>
    </row>
    <row r="343" spans="1:13" ht="15" thickBot="1" x14ac:dyDescent="0.35">
      <c r="A343" s="2">
        <v>341</v>
      </c>
      <c r="B343" s="2">
        <v>342</v>
      </c>
      <c r="C343" s="4">
        <v>40558</v>
      </c>
      <c r="D343" s="2">
        <v>0.30299999999999999</v>
      </c>
      <c r="E343" s="13">
        <v>0.36</v>
      </c>
      <c r="F343" s="2">
        <v>0.28360000000000002</v>
      </c>
      <c r="G343" s="2">
        <v>29</v>
      </c>
      <c r="H343" s="2">
        <v>54</v>
      </c>
      <c r="I343" s="2">
        <v>83</v>
      </c>
      <c r="J343" t="str">
        <f t="shared" si="16"/>
        <v>0.30</v>
      </c>
      <c r="K343" t="str" cm="1">
        <f t="array" ref="K343">_xlfn.IFS(E343&gt;55%,"higher humidity",E343&gt;=35%,"medium humidity",E343&lt;35%,"lower humidity")</f>
        <v>medium humidity</v>
      </c>
      <c r="L343">
        <f t="shared" si="17"/>
        <v>6</v>
      </c>
      <c r="M343" t="str">
        <f t="shared" si="18"/>
        <v>good boking</v>
      </c>
    </row>
    <row r="344" spans="1:13" ht="15" thickBot="1" x14ac:dyDescent="0.35">
      <c r="A344" s="2">
        <v>342</v>
      </c>
      <c r="B344" s="2">
        <v>343</v>
      </c>
      <c r="C344" s="4">
        <v>40558</v>
      </c>
      <c r="D344" s="2">
        <v>0.28789999999999999</v>
      </c>
      <c r="E344" s="13">
        <v>0.45</v>
      </c>
      <c r="F344" s="2">
        <v>0.25369999999999998</v>
      </c>
      <c r="G344" s="2">
        <v>15</v>
      </c>
      <c r="H344" s="2">
        <v>69</v>
      </c>
      <c r="I344" s="2">
        <v>84</v>
      </c>
      <c r="J344" t="str">
        <f t="shared" si="16"/>
        <v>0.28</v>
      </c>
      <c r="K344" t="str" cm="1">
        <f t="array" ref="K344">_xlfn.IFS(E344&gt;55%,"higher humidity",E344&gt;=35%,"medium humidity",E344&lt;35%,"lower humidity")</f>
        <v>medium humidity</v>
      </c>
      <c r="L344">
        <f t="shared" si="17"/>
        <v>6</v>
      </c>
      <c r="M344" t="str">
        <f t="shared" si="18"/>
        <v>good boking</v>
      </c>
    </row>
    <row r="345" spans="1:13" ht="15" thickBot="1" x14ac:dyDescent="0.35">
      <c r="A345" s="2">
        <v>343</v>
      </c>
      <c r="B345" s="2">
        <v>344</v>
      </c>
      <c r="C345" s="4">
        <v>40558</v>
      </c>
      <c r="D345" s="2">
        <v>0.30299999999999999</v>
      </c>
      <c r="E345" s="13">
        <v>0.39</v>
      </c>
      <c r="F345" s="2">
        <v>0.25369999999999998</v>
      </c>
      <c r="G345" s="2">
        <v>14</v>
      </c>
      <c r="H345" s="2">
        <v>60</v>
      </c>
      <c r="I345" s="2">
        <v>74</v>
      </c>
      <c r="J345" t="str">
        <f t="shared" si="16"/>
        <v>0.30</v>
      </c>
      <c r="K345" t="str" cm="1">
        <f t="array" ref="K345">_xlfn.IFS(E345&gt;55%,"higher humidity",E345&gt;=35%,"medium humidity",E345&lt;35%,"lower humidity")</f>
        <v>medium humidity</v>
      </c>
      <c r="L345">
        <f t="shared" si="17"/>
        <v>6</v>
      </c>
      <c r="M345" t="str">
        <f t="shared" si="18"/>
        <v>good boking</v>
      </c>
    </row>
    <row r="346" spans="1:13" ht="15" thickBot="1" x14ac:dyDescent="0.35">
      <c r="A346" s="2">
        <v>344</v>
      </c>
      <c r="B346" s="2">
        <v>345</v>
      </c>
      <c r="C346" s="4">
        <v>40558</v>
      </c>
      <c r="D346" s="2">
        <v>0.30299999999999999</v>
      </c>
      <c r="E346" s="13">
        <v>0.39</v>
      </c>
      <c r="F346" s="2">
        <v>0.25369999999999998</v>
      </c>
      <c r="G346" s="2">
        <v>6</v>
      </c>
      <c r="H346" s="2">
        <v>35</v>
      </c>
      <c r="I346" s="2">
        <v>41</v>
      </c>
      <c r="J346" t="str">
        <f t="shared" si="16"/>
        <v>0.30</v>
      </c>
      <c r="K346" t="str" cm="1">
        <f t="array" ref="K346">_xlfn.IFS(E346&gt;55%,"higher humidity",E346&gt;=35%,"medium humidity",E346&lt;35%,"lower humidity")</f>
        <v>medium humidity</v>
      </c>
      <c r="L346">
        <f t="shared" si="17"/>
        <v>6</v>
      </c>
      <c r="M346" t="str">
        <f t="shared" si="18"/>
        <v>good boking</v>
      </c>
    </row>
    <row r="347" spans="1:13" ht="15" thickBot="1" x14ac:dyDescent="0.35">
      <c r="A347" s="2">
        <v>345</v>
      </c>
      <c r="B347" s="2">
        <v>346</v>
      </c>
      <c r="C347" s="4">
        <v>40558</v>
      </c>
      <c r="D347" s="2">
        <v>0.30299999999999999</v>
      </c>
      <c r="E347" s="13">
        <v>0.39</v>
      </c>
      <c r="F347" s="2">
        <v>0.22389999999999999</v>
      </c>
      <c r="G347" s="2">
        <v>6</v>
      </c>
      <c r="H347" s="2">
        <v>51</v>
      </c>
      <c r="I347" s="2">
        <v>57</v>
      </c>
      <c r="J347" t="str">
        <f t="shared" si="16"/>
        <v>0.30</v>
      </c>
      <c r="K347" t="str" cm="1">
        <f t="array" ref="K347">_xlfn.IFS(E347&gt;55%,"higher humidity",E347&gt;=35%,"medium humidity",E347&lt;35%,"lower humidity")</f>
        <v>medium humidity</v>
      </c>
      <c r="L347">
        <f t="shared" si="17"/>
        <v>6</v>
      </c>
      <c r="M347" t="str">
        <f t="shared" si="18"/>
        <v>good boking</v>
      </c>
    </row>
    <row r="348" spans="1:13" ht="15" thickBot="1" x14ac:dyDescent="0.35">
      <c r="A348" s="2">
        <v>346</v>
      </c>
      <c r="B348" s="2">
        <v>347</v>
      </c>
      <c r="C348" s="4">
        <v>40558</v>
      </c>
      <c r="D348" s="2">
        <v>0.31819999999999998</v>
      </c>
      <c r="E348" s="13">
        <v>0.42</v>
      </c>
      <c r="F348" s="2">
        <v>0.1045</v>
      </c>
      <c r="G348" s="2">
        <v>0</v>
      </c>
      <c r="H348" s="2">
        <v>26</v>
      </c>
      <c r="I348" s="2">
        <v>26</v>
      </c>
      <c r="J348" t="str">
        <f t="shared" si="16"/>
        <v>0.31</v>
      </c>
      <c r="K348" t="str" cm="1">
        <f t="array" ref="K348">_xlfn.IFS(E348&gt;55%,"higher humidity",E348&gt;=35%,"medium humidity",E348&lt;35%,"lower humidity")</f>
        <v>medium humidity</v>
      </c>
      <c r="L348">
        <f t="shared" si="17"/>
        <v>6</v>
      </c>
      <c r="M348" t="str">
        <f t="shared" si="18"/>
        <v>Bad booking</v>
      </c>
    </row>
    <row r="349" spans="1:13" ht="15" thickBot="1" x14ac:dyDescent="0.35">
      <c r="A349" s="2">
        <v>347</v>
      </c>
      <c r="B349" s="2">
        <v>348</v>
      </c>
      <c r="C349" s="4">
        <v>40558</v>
      </c>
      <c r="D349" s="2">
        <v>0.28789999999999999</v>
      </c>
      <c r="E349" s="13">
        <v>0.45</v>
      </c>
      <c r="F349" s="2">
        <v>0.28360000000000002</v>
      </c>
      <c r="G349" s="2">
        <v>5</v>
      </c>
      <c r="H349" s="2">
        <v>39</v>
      </c>
      <c r="I349" s="2">
        <v>44</v>
      </c>
      <c r="J349" t="str">
        <f t="shared" si="16"/>
        <v>0.28</v>
      </c>
      <c r="K349" t="str" cm="1">
        <f t="array" ref="K349">_xlfn.IFS(E349&gt;55%,"higher humidity",E349&gt;=35%,"medium humidity",E349&lt;35%,"lower humidity")</f>
        <v>medium humidity</v>
      </c>
      <c r="L349">
        <f t="shared" si="17"/>
        <v>6</v>
      </c>
      <c r="M349" t="str">
        <f t="shared" si="18"/>
        <v>good boking</v>
      </c>
    </row>
    <row r="350" spans="1:13" ht="15" thickBot="1" x14ac:dyDescent="0.35">
      <c r="A350" s="2">
        <v>348</v>
      </c>
      <c r="B350" s="2">
        <v>349</v>
      </c>
      <c r="C350" s="4">
        <v>40559</v>
      </c>
      <c r="D350" s="2">
        <v>0.30299999999999999</v>
      </c>
      <c r="E350" s="13">
        <v>0.56000000000000005</v>
      </c>
      <c r="F350" s="2">
        <v>0</v>
      </c>
      <c r="G350" s="2">
        <v>6</v>
      </c>
      <c r="H350" s="2">
        <v>33</v>
      </c>
      <c r="I350" s="2">
        <v>39</v>
      </c>
      <c r="J350" t="str">
        <f t="shared" si="16"/>
        <v>0.30</v>
      </c>
      <c r="K350" t="str" cm="1">
        <f t="array" ref="K350">_xlfn.IFS(E350&gt;55%,"higher humidity",E350&gt;=35%,"medium humidity",E350&lt;35%,"lower humidity")</f>
        <v>higher humidity</v>
      </c>
      <c r="L350">
        <f t="shared" si="17"/>
        <v>1</v>
      </c>
      <c r="M350" t="str">
        <f t="shared" si="18"/>
        <v>good boking</v>
      </c>
    </row>
    <row r="351" spans="1:13" ht="15" thickBot="1" x14ac:dyDescent="0.35">
      <c r="A351" s="2">
        <v>349</v>
      </c>
      <c r="B351" s="2">
        <v>350</v>
      </c>
      <c r="C351" s="4">
        <v>40559</v>
      </c>
      <c r="D351" s="2">
        <v>0.2727</v>
      </c>
      <c r="E351" s="13">
        <v>0.56000000000000005</v>
      </c>
      <c r="F351" s="2">
        <v>0.1343</v>
      </c>
      <c r="G351" s="2">
        <v>4</v>
      </c>
      <c r="H351" s="2">
        <v>19</v>
      </c>
      <c r="I351" s="2">
        <v>23</v>
      </c>
      <c r="J351" t="str">
        <f t="shared" si="16"/>
        <v>0.27</v>
      </c>
      <c r="K351" t="str" cm="1">
        <f t="array" ref="K351">_xlfn.IFS(E351&gt;55%,"higher humidity",E351&gt;=35%,"medium humidity",E351&lt;35%,"lower humidity")</f>
        <v>higher humidity</v>
      </c>
      <c r="L351">
        <f t="shared" si="17"/>
        <v>6</v>
      </c>
      <c r="M351" t="str">
        <f t="shared" si="18"/>
        <v>Bad booking</v>
      </c>
    </row>
    <row r="352" spans="1:13" ht="15" thickBot="1" x14ac:dyDescent="0.35">
      <c r="A352" s="2">
        <v>350</v>
      </c>
      <c r="B352" s="2">
        <v>351</v>
      </c>
      <c r="C352" s="4">
        <v>40559</v>
      </c>
      <c r="D352" s="2">
        <v>0.28789999999999999</v>
      </c>
      <c r="E352" s="13">
        <v>0.56000000000000005</v>
      </c>
      <c r="F352" s="2">
        <v>8.9599999999999999E-2</v>
      </c>
      <c r="G352" s="2">
        <v>3</v>
      </c>
      <c r="H352" s="2">
        <v>13</v>
      </c>
      <c r="I352" s="2">
        <v>16</v>
      </c>
      <c r="J352" t="str">
        <f t="shared" si="16"/>
        <v>0.28</v>
      </c>
      <c r="K352" t="str" cm="1">
        <f t="array" ref="K352">_xlfn.IFS(E352&gt;55%,"higher humidity",E352&gt;=35%,"medium humidity",E352&lt;35%,"lower humidity")</f>
        <v>higher humidity</v>
      </c>
      <c r="L352">
        <f t="shared" si="17"/>
        <v>6</v>
      </c>
      <c r="M352" t="str">
        <f t="shared" si="18"/>
        <v>Bad booking</v>
      </c>
    </row>
    <row r="353" spans="1:13" ht="15" thickBot="1" x14ac:dyDescent="0.35">
      <c r="A353" s="2">
        <v>351</v>
      </c>
      <c r="B353" s="2">
        <v>352</v>
      </c>
      <c r="C353" s="4">
        <v>40559</v>
      </c>
      <c r="D353" s="2">
        <v>0.2727</v>
      </c>
      <c r="E353" s="13">
        <v>0.69</v>
      </c>
      <c r="F353" s="2">
        <v>0</v>
      </c>
      <c r="G353" s="2">
        <v>9</v>
      </c>
      <c r="H353" s="2">
        <v>6</v>
      </c>
      <c r="I353" s="2">
        <v>15</v>
      </c>
      <c r="J353" t="str">
        <f t="shared" si="16"/>
        <v>0.27</v>
      </c>
      <c r="K353" t="str" cm="1">
        <f t="array" ref="K353">_xlfn.IFS(E353&gt;55%,"higher humidity",E353&gt;=35%,"medium humidity",E353&lt;35%,"lower humidity")</f>
        <v>higher humidity</v>
      </c>
      <c r="L353">
        <f t="shared" si="17"/>
        <v>1</v>
      </c>
      <c r="M353" t="str">
        <f t="shared" si="18"/>
        <v>Bad booking</v>
      </c>
    </row>
    <row r="354" spans="1:13" ht="15" thickBot="1" x14ac:dyDescent="0.35">
      <c r="A354" s="2">
        <v>352</v>
      </c>
      <c r="B354" s="2">
        <v>353</v>
      </c>
      <c r="C354" s="4">
        <v>40559</v>
      </c>
      <c r="D354" s="2">
        <v>0.2576</v>
      </c>
      <c r="E354" s="13">
        <v>0.56000000000000005</v>
      </c>
      <c r="F354" s="2">
        <v>0.16420000000000001</v>
      </c>
      <c r="G354" s="2">
        <v>0</v>
      </c>
      <c r="H354" s="2">
        <v>1</v>
      </c>
      <c r="I354" s="2">
        <v>1</v>
      </c>
      <c r="J354" t="str">
        <f t="shared" si="16"/>
        <v>0.25</v>
      </c>
      <c r="K354" t="str" cm="1">
        <f t="array" ref="K354">_xlfn.IFS(E354&gt;55%,"higher humidity",E354&gt;=35%,"medium humidity",E354&lt;35%,"lower humidity")</f>
        <v>higher humidity</v>
      </c>
      <c r="L354">
        <f t="shared" si="17"/>
        <v>6</v>
      </c>
      <c r="M354" t="str">
        <f t="shared" si="18"/>
        <v>Bad booking</v>
      </c>
    </row>
    <row r="355" spans="1:13" ht="15" thickBot="1" x14ac:dyDescent="0.35">
      <c r="A355" s="2">
        <v>353</v>
      </c>
      <c r="B355" s="2">
        <v>354</v>
      </c>
      <c r="C355" s="4">
        <v>40559</v>
      </c>
      <c r="D355" s="2">
        <v>0.2576</v>
      </c>
      <c r="E355" s="13">
        <v>0.56000000000000005</v>
      </c>
      <c r="F355" s="2">
        <v>0.16420000000000001</v>
      </c>
      <c r="G355" s="2">
        <v>1</v>
      </c>
      <c r="H355" s="2">
        <v>1</v>
      </c>
      <c r="I355" s="2">
        <v>2</v>
      </c>
      <c r="J355" t="str">
        <f t="shared" si="16"/>
        <v>0.25</v>
      </c>
      <c r="K355" t="str" cm="1">
        <f t="array" ref="K355">_xlfn.IFS(E355&gt;55%,"higher humidity",E355&gt;=35%,"medium humidity",E355&lt;35%,"lower humidity")</f>
        <v>higher humidity</v>
      </c>
      <c r="L355">
        <f t="shared" si="17"/>
        <v>6</v>
      </c>
      <c r="M355" t="str">
        <f t="shared" si="18"/>
        <v>Bad booking</v>
      </c>
    </row>
    <row r="356" spans="1:13" ht="15" thickBot="1" x14ac:dyDescent="0.35">
      <c r="A356" s="2">
        <v>354</v>
      </c>
      <c r="B356" s="2">
        <v>355</v>
      </c>
      <c r="C356" s="4">
        <v>40559</v>
      </c>
      <c r="D356" s="2">
        <v>0.2576</v>
      </c>
      <c r="E356" s="13">
        <v>0.56000000000000005</v>
      </c>
      <c r="F356" s="2">
        <v>0.16420000000000001</v>
      </c>
      <c r="G356" s="2">
        <v>0</v>
      </c>
      <c r="H356" s="2">
        <v>1</v>
      </c>
      <c r="I356" s="2">
        <v>1</v>
      </c>
      <c r="J356" t="str">
        <f t="shared" si="16"/>
        <v>0.25</v>
      </c>
      <c r="K356" t="str" cm="1">
        <f t="array" ref="K356">_xlfn.IFS(E356&gt;55%,"higher humidity",E356&gt;=35%,"medium humidity",E356&lt;35%,"lower humidity")</f>
        <v>higher humidity</v>
      </c>
      <c r="L356">
        <f t="shared" si="17"/>
        <v>6</v>
      </c>
      <c r="M356" t="str">
        <f t="shared" si="18"/>
        <v>Bad booking</v>
      </c>
    </row>
    <row r="357" spans="1:13" ht="15" thickBot="1" x14ac:dyDescent="0.35">
      <c r="A357" s="2">
        <v>355</v>
      </c>
      <c r="B357" s="2">
        <v>356</v>
      </c>
      <c r="C357" s="4">
        <v>40559</v>
      </c>
      <c r="D357" s="2">
        <v>0.21210000000000001</v>
      </c>
      <c r="E357" s="13">
        <v>0.56000000000000005</v>
      </c>
      <c r="F357" s="2">
        <v>0.29849999999999999</v>
      </c>
      <c r="G357" s="2">
        <v>0</v>
      </c>
      <c r="H357" s="2">
        <v>3</v>
      </c>
      <c r="I357" s="2">
        <v>3</v>
      </c>
      <c r="J357" t="str">
        <f t="shared" si="16"/>
        <v>0.21</v>
      </c>
      <c r="K357" t="str" cm="1">
        <f t="array" ref="K357">_xlfn.IFS(E357&gt;55%,"higher humidity",E357&gt;=35%,"medium humidity",E357&lt;35%,"lower humidity")</f>
        <v>higher humidity</v>
      </c>
      <c r="L357">
        <f t="shared" si="17"/>
        <v>6</v>
      </c>
      <c r="M357" t="str">
        <f t="shared" si="18"/>
        <v>Bad booking</v>
      </c>
    </row>
    <row r="358" spans="1:13" ht="15" thickBot="1" x14ac:dyDescent="0.35">
      <c r="A358" s="2">
        <v>356</v>
      </c>
      <c r="B358" s="2">
        <v>357</v>
      </c>
      <c r="C358" s="4">
        <v>40559</v>
      </c>
      <c r="D358" s="2">
        <v>0.21210000000000001</v>
      </c>
      <c r="E358" s="13">
        <v>0.55000000000000004</v>
      </c>
      <c r="F358" s="2">
        <v>0.28360000000000002</v>
      </c>
      <c r="G358" s="2">
        <v>0</v>
      </c>
      <c r="H358" s="2">
        <v>18</v>
      </c>
      <c r="I358" s="2">
        <v>18</v>
      </c>
      <c r="J358" t="str">
        <f t="shared" si="16"/>
        <v>0.21</v>
      </c>
      <c r="K358" t="str" cm="1">
        <f t="array" ref="K358">_xlfn.IFS(E358&gt;55%,"higher humidity",E358&gt;=35%,"medium humidity",E358&lt;35%,"lower humidity")</f>
        <v>medium humidity</v>
      </c>
      <c r="L358">
        <f t="shared" si="17"/>
        <v>6</v>
      </c>
      <c r="M358" t="str">
        <f t="shared" si="18"/>
        <v>Bad booking</v>
      </c>
    </row>
    <row r="359" spans="1:13" ht="15" thickBot="1" x14ac:dyDescent="0.35">
      <c r="A359" s="2">
        <v>357</v>
      </c>
      <c r="B359" s="2">
        <v>358</v>
      </c>
      <c r="C359" s="4">
        <v>40559</v>
      </c>
      <c r="D359" s="2">
        <v>0.21210000000000001</v>
      </c>
      <c r="E359" s="13">
        <v>0.51</v>
      </c>
      <c r="F359" s="2">
        <v>0.25369999999999998</v>
      </c>
      <c r="G359" s="2">
        <v>3</v>
      </c>
      <c r="H359" s="2">
        <v>29</v>
      </c>
      <c r="I359" s="2">
        <v>32</v>
      </c>
      <c r="J359" t="str">
        <f t="shared" si="16"/>
        <v>0.21</v>
      </c>
      <c r="K359" t="str" cm="1">
        <f t="array" ref="K359">_xlfn.IFS(E359&gt;55%,"higher humidity",E359&gt;=35%,"medium humidity",E359&lt;35%,"lower humidity")</f>
        <v>medium humidity</v>
      </c>
      <c r="L359">
        <f t="shared" si="17"/>
        <v>6</v>
      </c>
      <c r="M359" t="str">
        <f t="shared" si="18"/>
        <v>Bad booking</v>
      </c>
    </row>
    <row r="360" spans="1:13" ht="15" thickBot="1" x14ac:dyDescent="0.35">
      <c r="A360" s="2">
        <v>358</v>
      </c>
      <c r="B360" s="2">
        <v>359</v>
      </c>
      <c r="C360" s="4">
        <v>40559</v>
      </c>
      <c r="D360" s="2">
        <v>0.21210000000000001</v>
      </c>
      <c r="E360" s="13">
        <v>0.51</v>
      </c>
      <c r="F360" s="2">
        <v>0.28360000000000002</v>
      </c>
      <c r="G360" s="2">
        <v>8</v>
      </c>
      <c r="H360" s="2">
        <v>71</v>
      </c>
      <c r="I360" s="2">
        <v>79</v>
      </c>
      <c r="J360" t="str">
        <f t="shared" si="16"/>
        <v>0.21</v>
      </c>
      <c r="K360" t="str" cm="1">
        <f t="array" ref="K360">_xlfn.IFS(E360&gt;55%,"higher humidity",E360&gt;=35%,"medium humidity",E360&lt;35%,"lower humidity")</f>
        <v>medium humidity</v>
      </c>
      <c r="L360">
        <f t="shared" si="17"/>
        <v>6</v>
      </c>
      <c r="M360" t="str">
        <f t="shared" si="18"/>
        <v>good boking</v>
      </c>
    </row>
    <row r="361" spans="1:13" ht="15" thickBot="1" x14ac:dyDescent="0.35">
      <c r="A361" s="2">
        <v>359</v>
      </c>
      <c r="B361" s="2">
        <v>360</v>
      </c>
      <c r="C361" s="4">
        <v>40559</v>
      </c>
      <c r="D361" s="2">
        <v>0.2273</v>
      </c>
      <c r="E361" s="13">
        <v>0.44</v>
      </c>
      <c r="F361" s="2">
        <v>0.25369999999999998</v>
      </c>
      <c r="G361" s="2">
        <v>23</v>
      </c>
      <c r="H361" s="2">
        <v>70</v>
      </c>
      <c r="I361" s="2">
        <v>93</v>
      </c>
      <c r="J361" t="str">
        <f t="shared" si="16"/>
        <v>0.22</v>
      </c>
      <c r="K361" t="str" cm="1">
        <f t="array" ref="K361">_xlfn.IFS(E361&gt;55%,"higher humidity",E361&gt;=35%,"medium humidity",E361&lt;35%,"lower humidity")</f>
        <v>medium humidity</v>
      </c>
      <c r="L361">
        <f t="shared" si="17"/>
        <v>6</v>
      </c>
      <c r="M361" t="str">
        <f t="shared" si="18"/>
        <v>good boking</v>
      </c>
    </row>
    <row r="362" spans="1:13" ht="15" thickBot="1" x14ac:dyDescent="0.35">
      <c r="A362" s="2">
        <v>360</v>
      </c>
      <c r="B362" s="2">
        <v>361</v>
      </c>
      <c r="C362" s="4">
        <v>40559</v>
      </c>
      <c r="D362" s="2">
        <v>0.21210000000000001</v>
      </c>
      <c r="E362" s="13">
        <v>0.41</v>
      </c>
      <c r="F362" s="2">
        <v>0.28360000000000002</v>
      </c>
      <c r="G362" s="2">
        <v>29</v>
      </c>
      <c r="H362" s="2">
        <v>75</v>
      </c>
      <c r="I362" s="2">
        <v>104</v>
      </c>
      <c r="J362" t="str">
        <f t="shared" si="16"/>
        <v>0.21</v>
      </c>
      <c r="K362" t="str" cm="1">
        <f t="array" ref="K362">_xlfn.IFS(E362&gt;55%,"higher humidity",E362&gt;=35%,"medium humidity",E362&lt;35%,"lower humidity")</f>
        <v>medium humidity</v>
      </c>
      <c r="L362">
        <f t="shared" si="17"/>
        <v>6</v>
      </c>
      <c r="M362" t="str">
        <f t="shared" si="18"/>
        <v>good boking</v>
      </c>
    </row>
    <row r="363" spans="1:13" ht="15" thickBot="1" x14ac:dyDescent="0.35">
      <c r="A363" s="2">
        <v>361</v>
      </c>
      <c r="B363" s="2">
        <v>362</v>
      </c>
      <c r="C363" s="4">
        <v>40559</v>
      </c>
      <c r="D363" s="2">
        <v>0.2273</v>
      </c>
      <c r="E363" s="13">
        <v>0.35</v>
      </c>
      <c r="F363" s="2">
        <v>0.29849999999999999</v>
      </c>
      <c r="G363" s="2">
        <v>23</v>
      </c>
      <c r="H363" s="2">
        <v>95</v>
      </c>
      <c r="I363" s="2">
        <v>118</v>
      </c>
      <c r="J363" t="str">
        <f t="shared" si="16"/>
        <v>0.22</v>
      </c>
      <c r="K363" t="str" cm="1">
        <f t="array" ref="K363">_xlfn.IFS(E363&gt;55%,"higher humidity",E363&gt;=35%,"medium humidity",E363&lt;35%,"lower humidity")</f>
        <v>medium humidity</v>
      </c>
      <c r="L363">
        <f t="shared" si="17"/>
        <v>6</v>
      </c>
      <c r="M363" t="str">
        <f t="shared" si="18"/>
        <v>good boking</v>
      </c>
    </row>
    <row r="364" spans="1:13" ht="15" thickBot="1" x14ac:dyDescent="0.35">
      <c r="A364" s="2">
        <v>362</v>
      </c>
      <c r="B364" s="2">
        <v>363</v>
      </c>
      <c r="C364" s="4">
        <v>40559</v>
      </c>
      <c r="D364" s="2">
        <v>0.2727</v>
      </c>
      <c r="E364" s="13">
        <v>0.36</v>
      </c>
      <c r="F364" s="2">
        <v>0.25369999999999998</v>
      </c>
      <c r="G364" s="2">
        <v>22</v>
      </c>
      <c r="H364" s="2">
        <v>69</v>
      </c>
      <c r="I364" s="2">
        <v>91</v>
      </c>
      <c r="J364" t="str">
        <f t="shared" si="16"/>
        <v>0.27</v>
      </c>
      <c r="K364" t="str" cm="1">
        <f t="array" ref="K364">_xlfn.IFS(E364&gt;55%,"higher humidity",E364&gt;=35%,"medium humidity",E364&lt;35%,"lower humidity")</f>
        <v>medium humidity</v>
      </c>
      <c r="L364">
        <f t="shared" si="17"/>
        <v>6</v>
      </c>
      <c r="M364" t="str">
        <f t="shared" si="18"/>
        <v>good boking</v>
      </c>
    </row>
    <row r="365" spans="1:13" ht="15" thickBot="1" x14ac:dyDescent="0.35">
      <c r="A365" s="2">
        <v>363</v>
      </c>
      <c r="B365" s="2">
        <v>364</v>
      </c>
      <c r="C365" s="4">
        <v>40559</v>
      </c>
      <c r="D365" s="2">
        <v>0.2424</v>
      </c>
      <c r="E365" s="13">
        <v>0.38</v>
      </c>
      <c r="F365" s="2">
        <v>0.25369999999999998</v>
      </c>
      <c r="G365" s="2">
        <v>35</v>
      </c>
      <c r="H365" s="2">
        <v>78</v>
      </c>
      <c r="I365" s="2">
        <v>113</v>
      </c>
      <c r="J365" t="str">
        <f t="shared" si="16"/>
        <v>0.24</v>
      </c>
      <c r="K365" t="str" cm="1">
        <f t="array" ref="K365">_xlfn.IFS(E365&gt;55%,"higher humidity",E365&gt;=35%,"medium humidity",E365&lt;35%,"lower humidity")</f>
        <v>medium humidity</v>
      </c>
      <c r="L365">
        <f t="shared" si="17"/>
        <v>6</v>
      </c>
      <c r="M365" t="str">
        <f t="shared" si="18"/>
        <v>good boking</v>
      </c>
    </row>
    <row r="366" spans="1:13" ht="15" thickBot="1" x14ac:dyDescent="0.35">
      <c r="A366" s="2">
        <v>364</v>
      </c>
      <c r="B366" s="2">
        <v>365</v>
      </c>
      <c r="C366" s="4">
        <v>40559</v>
      </c>
      <c r="D366" s="2">
        <v>0.2273</v>
      </c>
      <c r="E366" s="13">
        <v>0.38</v>
      </c>
      <c r="F366" s="2">
        <v>0.22389999999999999</v>
      </c>
      <c r="G366" s="2">
        <v>22</v>
      </c>
      <c r="H366" s="2">
        <v>77</v>
      </c>
      <c r="I366" s="2">
        <v>99</v>
      </c>
      <c r="J366" t="str">
        <f t="shared" si="16"/>
        <v>0.22</v>
      </c>
      <c r="K366" t="str" cm="1">
        <f t="array" ref="K366">_xlfn.IFS(E366&gt;55%,"higher humidity",E366&gt;=35%,"medium humidity",E366&lt;35%,"lower humidity")</f>
        <v>medium humidity</v>
      </c>
      <c r="L366">
        <f t="shared" si="17"/>
        <v>6</v>
      </c>
      <c r="M366" t="str">
        <f t="shared" si="18"/>
        <v>good boking</v>
      </c>
    </row>
    <row r="367" spans="1:13" ht="15" thickBot="1" x14ac:dyDescent="0.35">
      <c r="A367" s="2">
        <v>365</v>
      </c>
      <c r="B367" s="2">
        <v>366</v>
      </c>
      <c r="C367" s="4">
        <v>40559</v>
      </c>
      <c r="D367" s="2">
        <v>0.21210000000000001</v>
      </c>
      <c r="E367" s="13">
        <v>0.37</v>
      </c>
      <c r="F367" s="2">
        <v>0.25369999999999998</v>
      </c>
      <c r="G367" s="2">
        <v>23</v>
      </c>
      <c r="H367" s="2">
        <v>82</v>
      </c>
      <c r="I367" s="2">
        <v>105</v>
      </c>
      <c r="J367" t="str">
        <f t="shared" si="16"/>
        <v>0.21</v>
      </c>
      <c r="K367" t="str" cm="1">
        <f t="array" ref="K367">_xlfn.IFS(E367&gt;55%,"higher humidity",E367&gt;=35%,"medium humidity",E367&lt;35%,"lower humidity")</f>
        <v>medium humidity</v>
      </c>
      <c r="L367">
        <f t="shared" si="17"/>
        <v>6</v>
      </c>
      <c r="M367" t="str">
        <f t="shared" si="18"/>
        <v>good boking</v>
      </c>
    </row>
    <row r="368" spans="1:13" ht="15" thickBot="1" x14ac:dyDescent="0.35">
      <c r="A368" s="2">
        <v>366</v>
      </c>
      <c r="B368" s="2">
        <v>367</v>
      </c>
      <c r="C368" s="4">
        <v>40559</v>
      </c>
      <c r="D368" s="2">
        <v>0.21210000000000001</v>
      </c>
      <c r="E368" s="13">
        <v>0.4</v>
      </c>
      <c r="F368" s="2">
        <v>0.16420000000000001</v>
      </c>
      <c r="G368" s="2">
        <v>11</v>
      </c>
      <c r="H368" s="2">
        <v>56</v>
      </c>
      <c r="I368" s="2">
        <v>67</v>
      </c>
      <c r="J368" t="str">
        <f t="shared" si="16"/>
        <v>0.21</v>
      </c>
      <c r="K368" t="str" cm="1">
        <f t="array" ref="K368">_xlfn.IFS(E368&gt;55%,"higher humidity",E368&gt;=35%,"medium humidity",E368&lt;35%,"lower humidity")</f>
        <v>medium humidity</v>
      </c>
      <c r="L368">
        <f t="shared" si="17"/>
        <v>6</v>
      </c>
      <c r="M368" t="str">
        <f t="shared" si="18"/>
        <v>good boking</v>
      </c>
    </row>
    <row r="369" spans="1:13" ht="15" thickBot="1" x14ac:dyDescent="0.35">
      <c r="A369" s="2">
        <v>367</v>
      </c>
      <c r="B369" s="2">
        <v>368</v>
      </c>
      <c r="C369" s="4">
        <v>40559</v>
      </c>
      <c r="D369" s="2">
        <v>0.19700000000000001</v>
      </c>
      <c r="E369" s="13">
        <v>0.47</v>
      </c>
      <c r="F369" s="2">
        <v>0.1343</v>
      </c>
      <c r="G369" s="2">
        <v>14</v>
      </c>
      <c r="H369" s="2">
        <v>47</v>
      </c>
      <c r="I369" s="2">
        <v>61</v>
      </c>
      <c r="J369" t="str">
        <f t="shared" si="16"/>
        <v>0.19</v>
      </c>
      <c r="K369" t="str" cm="1">
        <f t="array" ref="K369">_xlfn.IFS(E369&gt;55%,"higher humidity",E369&gt;=35%,"medium humidity",E369&lt;35%,"lower humidity")</f>
        <v>medium humidity</v>
      </c>
      <c r="L369">
        <f t="shared" si="17"/>
        <v>6</v>
      </c>
      <c r="M369" t="str">
        <f t="shared" si="18"/>
        <v>good boking</v>
      </c>
    </row>
    <row r="370" spans="1:13" ht="15" thickBot="1" x14ac:dyDescent="0.35">
      <c r="A370" s="2">
        <v>368</v>
      </c>
      <c r="B370" s="2">
        <v>369</v>
      </c>
      <c r="C370" s="4">
        <v>40559</v>
      </c>
      <c r="D370" s="2">
        <v>0.19700000000000001</v>
      </c>
      <c r="E370" s="13">
        <v>0.47</v>
      </c>
      <c r="F370" s="2">
        <v>0.16420000000000001</v>
      </c>
      <c r="G370" s="2">
        <v>7</v>
      </c>
      <c r="H370" s="2">
        <v>50</v>
      </c>
      <c r="I370" s="2">
        <v>57</v>
      </c>
      <c r="J370" t="str">
        <f t="shared" si="16"/>
        <v>0.19</v>
      </c>
      <c r="K370" t="str" cm="1">
        <f t="array" ref="K370">_xlfn.IFS(E370&gt;55%,"higher humidity",E370&gt;=35%,"medium humidity",E370&lt;35%,"lower humidity")</f>
        <v>medium humidity</v>
      </c>
      <c r="L370">
        <f t="shared" si="17"/>
        <v>6</v>
      </c>
      <c r="M370" t="str">
        <f t="shared" si="18"/>
        <v>good boking</v>
      </c>
    </row>
    <row r="371" spans="1:13" ht="15" thickBot="1" x14ac:dyDescent="0.35">
      <c r="A371" s="2">
        <v>369</v>
      </c>
      <c r="B371" s="2">
        <v>370</v>
      </c>
      <c r="C371" s="4">
        <v>40559</v>
      </c>
      <c r="D371" s="2">
        <v>0.19700000000000001</v>
      </c>
      <c r="E371" s="13">
        <v>0.51</v>
      </c>
      <c r="F371" s="2">
        <v>0.16420000000000001</v>
      </c>
      <c r="G371" s="2">
        <v>6</v>
      </c>
      <c r="H371" s="2">
        <v>22</v>
      </c>
      <c r="I371" s="2">
        <v>28</v>
      </c>
      <c r="J371" t="str">
        <f t="shared" si="16"/>
        <v>0.19</v>
      </c>
      <c r="K371" t="str" cm="1">
        <f t="array" ref="K371">_xlfn.IFS(E371&gt;55%,"higher humidity",E371&gt;=35%,"medium humidity",E371&lt;35%,"lower humidity")</f>
        <v>medium humidity</v>
      </c>
      <c r="L371">
        <f t="shared" si="17"/>
        <v>6</v>
      </c>
      <c r="M371" t="str">
        <f t="shared" si="18"/>
        <v>Bad booking</v>
      </c>
    </row>
    <row r="372" spans="1:13" ht="15" thickBot="1" x14ac:dyDescent="0.35">
      <c r="A372" s="2">
        <v>370</v>
      </c>
      <c r="B372" s="2">
        <v>371</v>
      </c>
      <c r="C372" s="4">
        <v>40559</v>
      </c>
      <c r="D372" s="2">
        <v>0.21210000000000001</v>
      </c>
      <c r="E372" s="13">
        <v>0.49</v>
      </c>
      <c r="F372" s="2">
        <v>0.1343</v>
      </c>
      <c r="G372" s="2">
        <v>2</v>
      </c>
      <c r="H372" s="2">
        <v>19</v>
      </c>
      <c r="I372" s="2">
        <v>21</v>
      </c>
      <c r="J372" t="str">
        <f t="shared" si="16"/>
        <v>0.21</v>
      </c>
      <c r="K372" t="str" cm="1">
        <f t="array" ref="K372">_xlfn.IFS(E372&gt;55%,"higher humidity",E372&gt;=35%,"medium humidity",E372&lt;35%,"lower humidity")</f>
        <v>medium humidity</v>
      </c>
      <c r="L372">
        <f t="shared" si="17"/>
        <v>6</v>
      </c>
      <c r="M372" t="str">
        <f t="shared" si="18"/>
        <v>Bad booking</v>
      </c>
    </row>
    <row r="373" spans="1:13" ht="15" thickBot="1" x14ac:dyDescent="0.35">
      <c r="A373" s="2">
        <v>371</v>
      </c>
      <c r="B373" s="2">
        <v>372</v>
      </c>
      <c r="C373" s="4">
        <v>40559</v>
      </c>
      <c r="D373" s="2">
        <v>0.2273</v>
      </c>
      <c r="E373" s="13">
        <v>0.4</v>
      </c>
      <c r="F373" s="2">
        <v>0.1045</v>
      </c>
      <c r="G373" s="2">
        <v>0</v>
      </c>
      <c r="H373" s="2">
        <v>18</v>
      </c>
      <c r="I373" s="2">
        <v>18</v>
      </c>
      <c r="J373" t="str">
        <f t="shared" si="16"/>
        <v>0.22</v>
      </c>
      <c r="K373" t="str" cm="1">
        <f t="array" ref="K373">_xlfn.IFS(E373&gt;55%,"higher humidity",E373&gt;=35%,"medium humidity",E373&lt;35%,"lower humidity")</f>
        <v>medium humidity</v>
      </c>
      <c r="L373">
        <f t="shared" si="17"/>
        <v>6</v>
      </c>
      <c r="M373" t="str">
        <f t="shared" si="18"/>
        <v>Bad booking</v>
      </c>
    </row>
    <row r="374" spans="1:13" ht="15" thickBot="1" x14ac:dyDescent="0.35">
      <c r="A374" s="2">
        <v>372</v>
      </c>
      <c r="B374" s="2">
        <v>373</v>
      </c>
      <c r="C374" s="4">
        <v>40560</v>
      </c>
      <c r="D374" s="2">
        <v>0.19700000000000001</v>
      </c>
      <c r="E374" s="13">
        <v>0.47</v>
      </c>
      <c r="F374" s="2">
        <v>0.22389999999999999</v>
      </c>
      <c r="G374" s="2">
        <v>1</v>
      </c>
      <c r="H374" s="2">
        <v>16</v>
      </c>
      <c r="I374" s="2">
        <v>17</v>
      </c>
      <c r="J374" t="str">
        <f t="shared" si="16"/>
        <v>0.19</v>
      </c>
      <c r="K374" t="str" cm="1">
        <f t="array" ref="K374">_xlfn.IFS(E374&gt;55%,"higher humidity",E374&gt;=35%,"medium humidity",E374&lt;35%,"lower humidity")</f>
        <v>medium humidity</v>
      </c>
      <c r="L374">
        <f t="shared" si="17"/>
        <v>6</v>
      </c>
      <c r="M374" t="str">
        <f t="shared" si="18"/>
        <v>Bad booking</v>
      </c>
    </row>
    <row r="375" spans="1:13" ht="15" thickBot="1" x14ac:dyDescent="0.35">
      <c r="A375" s="2">
        <v>373</v>
      </c>
      <c r="B375" s="2">
        <v>374</v>
      </c>
      <c r="C375" s="4">
        <v>40560</v>
      </c>
      <c r="D375" s="2">
        <v>0.19700000000000001</v>
      </c>
      <c r="E375" s="13">
        <v>0.44</v>
      </c>
      <c r="F375" s="2">
        <v>0.19400000000000001</v>
      </c>
      <c r="G375" s="2">
        <v>1</v>
      </c>
      <c r="H375" s="2">
        <v>15</v>
      </c>
      <c r="I375" s="2">
        <v>16</v>
      </c>
      <c r="J375" t="str">
        <f t="shared" si="16"/>
        <v>0.19</v>
      </c>
      <c r="K375" t="str" cm="1">
        <f t="array" ref="K375">_xlfn.IFS(E375&gt;55%,"higher humidity",E375&gt;=35%,"medium humidity",E375&lt;35%,"lower humidity")</f>
        <v>medium humidity</v>
      </c>
      <c r="L375">
        <f t="shared" si="17"/>
        <v>5</v>
      </c>
      <c r="M375" t="str">
        <f t="shared" si="18"/>
        <v>Bad booking</v>
      </c>
    </row>
    <row r="376" spans="1:13" ht="15" thickBot="1" x14ac:dyDescent="0.35">
      <c r="A376" s="2">
        <v>374</v>
      </c>
      <c r="B376" s="2">
        <v>375</v>
      </c>
      <c r="C376" s="4">
        <v>40560</v>
      </c>
      <c r="D376" s="2">
        <v>0.16669999999999999</v>
      </c>
      <c r="E376" s="13">
        <v>0.43</v>
      </c>
      <c r="F376" s="2">
        <v>0.25369999999999998</v>
      </c>
      <c r="G376" s="2">
        <v>0</v>
      </c>
      <c r="H376" s="2">
        <v>8</v>
      </c>
      <c r="I376" s="2">
        <v>8</v>
      </c>
      <c r="J376" t="str">
        <f t="shared" si="16"/>
        <v>0.16</v>
      </c>
      <c r="K376" t="str" cm="1">
        <f t="array" ref="K376">_xlfn.IFS(E376&gt;55%,"higher humidity",E376&gt;=35%,"medium humidity",E376&lt;35%,"lower humidity")</f>
        <v>medium humidity</v>
      </c>
      <c r="L376">
        <f t="shared" si="17"/>
        <v>6</v>
      </c>
      <c r="M376" t="str">
        <f t="shared" si="18"/>
        <v>Bad booking</v>
      </c>
    </row>
    <row r="377" spans="1:13" ht="15" thickBot="1" x14ac:dyDescent="0.35">
      <c r="A377" s="2">
        <v>375</v>
      </c>
      <c r="B377" s="2">
        <v>376</v>
      </c>
      <c r="C377" s="4">
        <v>40560</v>
      </c>
      <c r="D377" s="2">
        <v>0.18179999999999999</v>
      </c>
      <c r="E377" s="13">
        <v>0.43</v>
      </c>
      <c r="F377" s="2">
        <v>0.19400000000000001</v>
      </c>
      <c r="G377" s="2">
        <v>0</v>
      </c>
      <c r="H377" s="2">
        <v>2</v>
      </c>
      <c r="I377" s="2">
        <v>2</v>
      </c>
      <c r="J377" t="str">
        <f t="shared" si="16"/>
        <v>0.18</v>
      </c>
      <c r="K377" t="str" cm="1">
        <f t="array" ref="K377">_xlfn.IFS(E377&gt;55%,"higher humidity",E377&gt;=35%,"medium humidity",E377&lt;35%,"lower humidity")</f>
        <v>medium humidity</v>
      </c>
      <c r="L377">
        <f t="shared" si="17"/>
        <v>5</v>
      </c>
      <c r="M377" t="str">
        <f t="shared" si="18"/>
        <v>Bad booking</v>
      </c>
    </row>
    <row r="378" spans="1:13" ht="15" thickBot="1" x14ac:dyDescent="0.35">
      <c r="A378" s="2">
        <v>376</v>
      </c>
      <c r="B378" s="2">
        <v>377</v>
      </c>
      <c r="C378" s="4">
        <v>40560</v>
      </c>
      <c r="D378" s="2">
        <v>0.19700000000000001</v>
      </c>
      <c r="E378" s="13">
        <v>0.43</v>
      </c>
      <c r="F378" s="2">
        <v>0.1343</v>
      </c>
      <c r="G378" s="2">
        <v>1</v>
      </c>
      <c r="H378" s="2">
        <v>2</v>
      </c>
      <c r="I378" s="2">
        <v>3</v>
      </c>
      <c r="J378" t="str">
        <f t="shared" si="16"/>
        <v>0.19</v>
      </c>
      <c r="K378" t="str" cm="1">
        <f t="array" ref="K378">_xlfn.IFS(E378&gt;55%,"higher humidity",E378&gt;=35%,"medium humidity",E378&lt;35%,"lower humidity")</f>
        <v>medium humidity</v>
      </c>
      <c r="L378">
        <f t="shared" si="17"/>
        <v>6</v>
      </c>
      <c r="M378" t="str">
        <f t="shared" si="18"/>
        <v>Bad booking</v>
      </c>
    </row>
    <row r="379" spans="1:13" ht="15" thickBot="1" x14ac:dyDescent="0.35">
      <c r="A379" s="2">
        <v>377</v>
      </c>
      <c r="B379" s="2">
        <v>378</v>
      </c>
      <c r="C379" s="4">
        <v>40560</v>
      </c>
      <c r="D379" s="2">
        <v>0.19700000000000001</v>
      </c>
      <c r="E379" s="13">
        <v>0.43</v>
      </c>
      <c r="F379" s="2">
        <v>0.16420000000000001</v>
      </c>
      <c r="G379" s="2">
        <v>0</v>
      </c>
      <c r="H379" s="2">
        <v>1</v>
      </c>
      <c r="I379" s="2">
        <v>1</v>
      </c>
      <c r="J379" t="str">
        <f t="shared" si="16"/>
        <v>0.19</v>
      </c>
      <c r="K379" t="str" cm="1">
        <f t="array" ref="K379">_xlfn.IFS(E379&gt;55%,"higher humidity",E379&gt;=35%,"medium humidity",E379&lt;35%,"lower humidity")</f>
        <v>medium humidity</v>
      </c>
      <c r="L379">
        <f t="shared" si="17"/>
        <v>6</v>
      </c>
      <c r="M379" t="str">
        <f t="shared" si="18"/>
        <v>Bad booking</v>
      </c>
    </row>
    <row r="380" spans="1:13" ht="15" thickBot="1" x14ac:dyDescent="0.35">
      <c r="A380" s="2">
        <v>378</v>
      </c>
      <c r="B380" s="2">
        <v>379</v>
      </c>
      <c r="C380" s="4">
        <v>40560</v>
      </c>
      <c r="D380" s="2">
        <v>0.18179999999999999</v>
      </c>
      <c r="E380" s="13">
        <v>0.43</v>
      </c>
      <c r="F380" s="2">
        <v>0.19400000000000001</v>
      </c>
      <c r="G380" s="2">
        <v>0</v>
      </c>
      <c r="H380" s="2">
        <v>5</v>
      </c>
      <c r="I380" s="2">
        <v>5</v>
      </c>
      <c r="J380" t="str">
        <f t="shared" si="16"/>
        <v>0.18</v>
      </c>
      <c r="K380" t="str" cm="1">
        <f t="array" ref="K380">_xlfn.IFS(E380&gt;55%,"higher humidity",E380&gt;=35%,"medium humidity",E380&lt;35%,"lower humidity")</f>
        <v>medium humidity</v>
      </c>
      <c r="L380">
        <f t="shared" si="17"/>
        <v>5</v>
      </c>
      <c r="M380" t="str">
        <f t="shared" si="18"/>
        <v>Bad booking</v>
      </c>
    </row>
    <row r="381" spans="1:13" ht="15" thickBot="1" x14ac:dyDescent="0.35">
      <c r="A381" s="2">
        <v>379</v>
      </c>
      <c r="B381" s="2">
        <v>380</v>
      </c>
      <c r="C381" s="4">
        <v>40560</v>
      </c>
      <c r="D381" s="2">
        <v>0.18179999999999999</v>
      </c>
      <c r="E381" s="13">
        <v>0.5</v>
      </c>
      <c r="F381" s="2">
        <v>0.1343</v>
      </c>
      <c r="G381" s="2">
        <v>4</v>
      </c>
      <c r="H381" s="2">
        <v>9</v>
      </c>
      <c r="I381" s="2">
        <v>13</v>
      </c>
      <c r="J381" t="str">
        <f t="shared" si="16"/>
        <v>0.18</v>
      </c>
      <c r="K381" t="str" cm="1">
        <f t="array" ref="K381">_xlfn.IFS(E381&gt;55%,"higher humidity",E381&gt;=35%,"medium humidity",E381&lt;35%,"lower humidity")</f>
        <v>medium humidity</v>
      </c>
      <c r="L381">
        <f t="shared" si="17"/>
        <v>6</v>
      </c>
      <c r="M381" t="str">
        <f t="shared" si="18"/>
        <v>Bad booking</v>
      </c>
    </row>
    <row r="382" spans="1:13" ht="15" thickBot="1" x14ac:dyDescent="0.35">
      <c r="A382" s="2">
        <v>380</v>
      </c>
      <c r="B382" s="2">
        <v>381</v>
      </c>
      <c r="C382" s="4">
        <v>40560</v>
      </c>
      <c r="D382" s="2">
        <v>0.1515</v>
      </c>
      <c r="E382" s="13">
        <v>0.47</v>
      </c>
      <c r="F382" s="2">
        <v>0.22389999999999999</v>
      </c>
      <c r="G382" s="2">
        <v>3</v>
      </c>
      <c r="H382" s="2">
        <v>30</v>
      </c>
      <c r="I382" s="2">
        <v>33</v>
      </c>
      <c r="J382" t="str">
        <f t="shared" si="16"/>
        <v>0.15</v>
      </c>
      <c r="K382" t="str" cm="1">
        <f t="array" ref="K382">_xlfn.IFS(E382&gt;55%,"higher humidity",E382&gt;=35%,"medium humidity",E382&lt;35%,"lower humidity")</f>
        <v>medium humidity</v>
      </c>
      <c r="L382">
        <f t="shared" si="17"/>
        <v>6</v>
      </c>
      <c r="M382" t="str">
        <f t="shared" si="18"/>
        <v>Bad booking</v>
      </c>
    </row>
    <row r="383" spans="1:13" ht="15" thickBot="1" x14ac:dyDescent="0.35">
      <c r="A383" s="2">
        <v>381</v>
      </c>
      <c r="B383" s="2">
        <v>382</v>
      </c>
      <c r="C383" s="4">
        <v>40560</v>
      </c>
      <c r="D383" s="2">
        <v>0.1515</v>
      </c>
      <c r="E383" s="13">
        <v>0.47</v>
      </c>
      <c r="F383" s="2">
        <v>0.22389999999999999</v>
      </c>
      <c r="G383" s="2">
        <v>8</v>
      </c>
      <c r="H383" s="2">
        <v>39</v>
      </c>
      <c r="I383" s="2">
        <v>47</v>
      </c>
      <c r="J383" t="str">
        <f t="shared" si="16"/>
        <v>0.15</v>
      </c>
      <c r="K383" t="str" cm="1">
        <f t="array" ref="K383">_xlfn.IFS(E383&gt;55%,"higher humidity",E383&gt;=35%,"medium humidity",E383&lt;35%,"lower humidity")</f>
        <v>medium humidity</v>
      </c>
      <c r="L383">
        <f t="shared" si="17"/>
        <v>6</v>
      </c>
      <c r="M383" t="str">
        <f t="shared" si="18"/>
        <v>good boking</v>
      </c>
    </row>
    <row r="384" spans="1:13" ht="15" thickBot="1" x14ac:dyDescent="0.35">
      <c r="A384" s="2">
        <v>382</v>
      </c>
      <c r="B384" s="2">
        <v>383</v>
      </c>
      <c r="C384" s="4">
        <v>40560</v>
      </c>
      <c r="D384" s="2">
        <v>0.1515</v>
      </c>
      <c r="E384" s="13">
        <v>0.5</v>
      </c>
      <c r="F384" s="2">
        <v>0.25369999999999998</v>
      </c>
      <c r="G384" s="2">
        <v>7</v>
      </c>
      <c r="H384" s="2">
        <v>50</v>
      </c>
      <c r="I384" s="2">
        <v>57</v>
      </c>
      <c r="J384" t="str">
        <f t="shared" si="16"/>
        <v>0.15</v>
      </c>
      <c r="K384" t="str" cm="1">
        <f t="array" ref="K384">_xlfn.IFS(E384&gt;55%,"higher humidity",E384&gt;=35%,"medium humidity",E384&lt;35%,"lower humidity")</f>
        <v>medium humidity</v>
      </c>
      <c r="L384">
        <f t="shared" si="17"/>
        <v>6</v>
      </c>
      <c r="M384" t="str">
        <f t="shared" si="18"/>
        <v>good boking</v>
      </c>
    </row>
    <row r="385" spans="1:13" ht="15" thickBot="1" x14ac:dyDescent="0.35">
      <c r="A385" s="2">
        <v>383</v>
      </c>
      <c r="B385" s="2">
        <v>384</v>
      </c>
      <c r="C385" s="4">
        <v>40560</v>
      </c>
      <c r="D385" s="2">
        <v>0.1515</v>
      </c>
      <c r="E385" s="13">
        <v>0.55000000000000004</v>
      </c>
      <c r="F385" s="2">
        <v>0.19400000000000001</v>
      </c>
      <c r="G385" s="2">
        <v>9</v>
      </c>
      <c r="H385" s="2">
        <v>55</v>
      </c>
      <c r="I385" s="2">
        <v>64</v>
      </c>
      <c r="J385" t="str">
        <f t="shared" si="16"/>
        <v>0.15</v>
      </c>
      <c r="K385" t="str" cm="1">
        <f t="array" ref="K385">_xlfn.IFS(E385&gt;55%,"higher humidity",E385&gt;=35%,"medium humidity",E385&lt;35%,"lower humidity")</f>
        <v>medium humidity</v>
      </c>
      <c r="L385">
        <f t="shared" si="17"/>
        <v>5</v>
      </c>
      <c r="M385" t="str">
        <f t="shared" si="18"/>
        <v>good boking</v>
      </c>
    </row>
    <row r="386" spans="1:13" ht="15" thickBot="1" x14ac:dyDescent="0.35">
      <c r="A386" s="2">
        <v>384</v>
      </c>
      <c r="B386" s="2">
        <v>385</v>
      </c>
      <c r="C386" s="4">
        <v>40560</v>
      </c>
      <c r="D386" s="2">
        <v>0.19700000000000001</v>
      </c>
      <c r="E386" s="13">
        <v>0.47</v>
      </c>
      <c r="F386" s="2">
        <v>0.1343</v>
      </c>
      <c r="G386" s="2">
        <v>10</v>
      </c>
      <c r="H386" s="2">
        <v>70</v>
      </c>
      <c r="I386" s="2">
        <v>80</v>
      </c>
      <c r="J386" t="str">
        <f t="shared" si="16"/>
        <v>0.19</v>
      </c>
      <c r="K386" t="str" cm="1">
        <f t="array" ref="K386">_xlfn.IFS(E386&gt;55%,"higher humidity",E386&gt;=35%,"medium humidity",E386&lt;35%,"lower humidity")</f>
        <v>medium humidity</v>
      </c>
      <c r="L386">
        <f t="shared" si="17"/>
        <v>6</v>
      </c>
      <c r="M386" t="str">
        <f t="shared" si="18"/>
        <v>good boking</v>
      </c>
    </row>
    <row r="387" spans="1:13" ht="15" thickBot="1" x14ac:dyDescent="0.35">
      <c r="A387" s="2">
        <v>385</v>
      </c>
      <c r="B387" s="2">
        <v>386</v>
      </c>
      <c r="C387" s="4">
        <v>40560</v>
      </c>
      <c r="D387" s="2">
        <v>0.19700000000000001</v>
      </c>
      <c r="E387" s="13">
        <v>0.47</v>
      </c>
      <c r="F387" s="2">
        <v>0.1343</v>
      </c>
      <c r="G387" s="2">
        <v>13</v>
      </c>
      <c r="H387" s="2">
        <v>80</v>
      </c>
      <c r="I387" s="2">
        <v>93</v>
      </c>
      <c r="J387" t="str">
        <f t="shared" ref="J387:J450" si="19">LEFT(D387,4)</f>
        <v>0.19</v>
      </c>
      <c r="K387" t="str" cm="1">
        <f t="array" ref="K387">_xlfn.IFS(E387&gt;55%,"higher humidity",E387&gt;=35%,"medium humidity",E387&lt;35%,"lower humidity")</f>
        <v>medium humidity</v>
      </c>
      <c r="L387">
        <f t="shared" ref="L387:L450" si="20">LEN(F387)</f>
        <v>6</v>
      </c>
      <c r="M387" t="str">
        <f t="shared" ref="M387:M450" si="21">IF(H387&gt;30,"good boking","Bad booking")</f>
        <v>good boking</v>
      </c>
    </row>
    <row r="388" spans="1:13" ht="15" thickBot="1" x14ac:dyDescent="0.35">
      <c r="A388" s="2">
        <v>386</v>
      </c>
      <c r="B388" s="2">
        <v>387</v>
      </c>
      <c r="C388" s="4">
        <v>40560</v>
      </c>
      <c r="D388" s="2">
        <v>0.21210000000000001</v>
      </c>
      <c r="E388" s="13">
        <v>0.43</v>
      </c>
      <c r="F388" s="2">
        <v>0.1045</v>
      </c>
      <c r="G388" s="2">
        <v>12</v>
      </c>
      <c r="H388" s="2">
        <v>74</v>
      </c>
      <c r="I388" s="2">
        <v>86</v>
      </c>
      <c r="J388" t="str">
        <f t="shared" si="19"/>
        <v>0.21</v>
      </c>
      <c r="K388" t="str" cm="1">
        <f t="array" ref="K388">_xlfn.IFS(E388&gt;55%,"higher humidity",E388&gt;=35%,"medium humidity",E388&lt;35%,"lower humidity")</f>
        <v>medium humidity</v>
      </c>
      <c r="L388">
        <f t="shared" si="20"/>
        <v>6</v>
      </c>
      <c r="M388" t="str">
        <f t="shared" si="21"/>
        <v>good boking</v>
      </c>
    </row>
    <row r="389" spans="1:13" ht="15" thickBot="1" x14ac:dyDescent="0.35">
      <c r="A389" s="2">
        <v>387</v>
      </c>
      <c r="B389" s="2">
        <v>388</v>
      </c>
      <c r="C389" s="4">
        <v>40560</v>
      </c>
      <c r="D389" s="2">
        <v>0.21210000000000001</v>
      </c>
      <c r="E389" s="13">
        <v>0.47</v>
      </c>
      <c r="F389" s="2">
        <v>0.16420000000000001</v>
      </c>
      <c r="G389" s="2">
        <v>21</v>
      </c>
      <c r="H389" s="2">
        <v>72</v>
      </c>
      <c r="I389" s="2">
        <v>93</v>
      </c>
      <c r="J389" t="str">
        <f t="shared" si="19"/>
        <v>0.21</v>
      </c>
      <c r="K389" t="str" cm="1">
        <f t="array" ref="K389">_xlfn.IFS(E389&gt;55%,"higher humidity",E389&gt;=35%,"medium humidity",E389&lt;35%,"lower humidity")</f>
        <v>medium humidity</v>
      </c>
      <c r="L389">
        <f t="shared" si="20"/>
        <v>6</v>
      </c>
      <c r="M389" t="str">
        <f t="shared" si="21"/>
        <v>good boking</v>
      </c>
    </row>
    <row r="390" spans="1:13" ht="15" thickBot="1" x14ac:dyDescent="0.35">
      <c r="A390" s="2">
        <v>388</v>
      </c>
      <c r="B390" s="2">
        <v>389</v>
      </c>
      <c r="C390" s="4">
        <v>40560</v>
      </c>
      <c r="D390" s="2">
        <v>0.21210000000000001</v>
      </c>
      <c r="E390" s="13">
        <v>0.47</v>
      </c>
      <c r="F390" s="2">
        <v>0.16420000000000001</v>
      </c>
      <c r="G390" s="2">
        <v>6</v>
      </c>
      <c r="H390" s="2">
        <v>76</v>
      </c>
      <c r="I390" s="2">
        <v>82</v>
      </c>
      <c r="J390" t="str">
        <f t="shared" si="19"/>
        <v>0.21</v>
      </c>
      <c r="K390" t="str" cm="1">
        <f t="array" ref="K390">_xlfn.IFS(E390&gt;55%,"higher humidity",E390&gt;=35%,"medium humidity",E390&lt;35%,"lower humidity")</f>
        <v>medium humidity</v>
      </c>
      <c r="L390">
        <f t="shared" si="20"/>
        <v>6</v>
      </c>
      <c r="M390" t="str">
        <f t="shared" si="21"/>
        <v>good boking</v>
      </c>
    </row>
    <row r="391" spans="1:13" ht="15" thickBot="1" x14ac:dyDescent="0.35">
      <c r="A391" s="2">
        <v>389</v>
      </c>
      <c r="B391" s="2">
        <v>390</v>
      </c>
      <c r="C391" s="4">
        <v>40560</v>
      </c>
      <c r="D391" s="2">
        <v>0.19700000000000001</v>
      </c>
      <c r="E391" s="13">
        <v>0.51</v>
      </c>
      <c r="F391" s="2">
        <v>0.19400000000000001</v>
      </c>
      <c r="G391" s="2">
        <v>4</v>
      </c>
      <c r="H391" s="2">
        <v>67</v>
      </c>
      <c r="I391" s="2">
        <v>71</v>
      </c>
      <c r="J391" t="str">
        <f t="shared" si="19"/>
        <v>0.19</v>
      </c>
      <c r="K391" t="str" cm="1">
        <f t="array" ref="K391">_xlfn.IFS(E391&gt;55%,"higher humidity",E391&gt;=35%,"medium humidity",E391&lt;35%,"lower humidity")</f>
        <v>medium humidity</v>
      </c>
      <c r="L391">
        <f t="shared" si="20"/>
        <v>5</v>
      </c>
      <c r="M391" t="str">
        <f t="shared" si="21"/>
        <v>good boking</v>
      </c>
    </row>
    <row r="392" spans="1:13" ht="15" thickBot="1" x14ac:dyDescent="0.35">
      <c r="A392" s="2">
        <v>390</v>
      </c>
      <c r="B392" s="2">
        <v>391</v>
      </c>
      <c r="C392" s="4">
        <v>40560</v>
      </c>
      <c r="D392" s="2">
        <v>0.16669999999999999</v>
      </c>
      <c r="E392" s="13">
        <v>0.55000000000000004</v>
      </c>
      <c r="F392" s="2">
        <v>0.25369999999999998</v>
      </c>
      <c r="G392" s="2">
        <v>7</v>
      </c>
      <c r="H392" s="2">
        <v>85</v>
      </c>
      <c r="I392" s="2">
        <v>92</v>
      </c>
      <c r="J392" t="str">
        <f t="shared" si="19"/>
        <v>0.16</v>
      </c>
      <c r="K392" t="str" cm="1">
        <f t="array" ref="K392">_xlfn.IFS(E392&gt;55%,"higher humidity",E392&gt;=35%,"medium humidity",E392&lt;35%,"lower humidity")</f>
        <v>medium humidity</v>
      </c>
      <c r="L392">
        <f t="shared" si="20"/>
        <v>6</v>
      </c>
      <c r="M392" t="str">
        <f t="shared" si="21"/>
        <v>good boking</v>
      </c>
    </row>
    <row r="393" spans="1:13" ht="15" thickBot="1" x14ac:dyDescent="0.35">
      <c r="A393" s="2">
        <v>391</v>
      </c>
      <c r="B393" s="2">
        <v>392</v>
      </c>
      <c r="C393" s="4">
        <v>40560</v>
      </c>
      <c r="D393" s="2">
        <v>0.18179999999999999</v>
      </c>
      <c r="E393" s="13">
        <v>0.59</v>
      </c>
      <c r="F393" s="2">
        <v>0.19400000000000001</v>
      </c>
      <c r="G393" s="2">
        <v>2</v>
      </c>
      <c r="H393" s="2">
        <v>58</v>
      </c>
      <c r="I393" s="2">
        <v>60</v>
      </c>
      <c r="J393" t="str">
        <f t="shared" si="19"/>
        <v>0.18</v>
      </c>
      <c r="K393" t="str" cm="1">
        <f t="array" ref="K393">_xlfn.IFS(E393&gt;55%,"higher humidity",E393&gt;=35%,"medium humidity",E393&lt;35%,"lower humidity")</f>
        <v>higher humidity</v>
      </c>
      <c r="L393">
        <f t="shared" si="20"/>
        <v>5</v>
      </c>
      <c r="M393" t="str">
        <f t="shared" si="21"/>
        <v>good boking</v>
      </c>
    </row>
    <row r="394" spans="1:13" ht="15" thickBot="1" x14ac:dyDescent="0.35">
      <c r="A394" s="2">
        <v>392</v>
      </c>
      <c r="B394" s="2">
        <v>393</v>
      </c>
      <c r="C394" s="4">
        <v>40560</v>
      </c>
      <c r="D394" s="2">
        <v>0.1515</v>
      </c>
      <c r="E394" s="13">
        <v>0.8</v>
      </c>
      <c r="F394" s="2">
        <v>0.19400000000000001</v>
      </c>
      <c r="G394" s="2">
        <v>4</v>
      </c>
      <c r="H394" s="2">
        <v>29</v>
      </c>
      <c r="I394" s="2">
        <v>33</v>
      </c>
      <c r="J394" t="str">
        <f t="shared" si="19"/>
        <v>0.15</v>
      </c>
      <c r="K394" t="str" cm="1">
        <f t="array" ref="K394">_xlfn.IFS(E394&gt;55%,"higher humidity",E394&gt;=35%,"medium humidity",E394&lt;35%,"lower humidity")</f>
        <v>higher humidity</v>
      </c>
      <c r="L394">
        <f t="shared" si="20"/>
        <v>5</v>
      </c>
      <c r="M394" t="str">
        <f t="shared" si="21"/>
        <v>Bad booking</v>
      </c>
    </row>
    <row r="395" spans="1:13" ht="15" thickBot="1" x14ac:dyDescent="0.35">
      <c r="A395" s="2">
        <v>393</v>
      </c>
      <c r="B395" s="2">
        <v>394</v>
      </c>
      <c r="C395" s="4">
        <v>40560</v>
      </c>
      <c r="D395" s="2">
        <v>0.1515</v>
      </c>
      <c r="E395" s="13">
        <v>0.8</v>
      </c>
      <c r="F395" s="2">
        <v>0.19400000000000001</v>
      </c>
      <c r="G395" s="2">
        <v>3</v>
      </c>
      <c r="H395" s="2">
        <v>24</v>
      </c>
      <c r="I395" s="2">
        <v>27</v>
      </c>
      <c r="J395" t="str">
        <f t="shared" si="19"/>
        <v>0.15</v>
      </c>
      <c r="K395" t="str" cm="1">
        <f t="array" ref="K395">_xlfn.IFS(E395&gt;55%,"higher humidity",E395&gt;=35%,"medium humidity",E395&lt;35%,"lower humidity")</f>
        <v>higher humidity</v>
      </c>
      <c r="L395">
        <f t="shared" si="20"/>
        <v>5</v>
      </c>
      <c r="M395" t="str">
        <f t="shared" si="21"/>
        <v>Bad booking</v>
      </c>
    </row>
    <row r="396" spans="1:13" ht="15" thickBot="1" x14ac:dyDescent="0.35">
      <c r="A396" s="2">
        <v>394</v>
      </c>
      <c r="B396" s="2">
        <v>395</v>
      </c>
      <c r="C396" s="4">
        <v>40560</v>
      </c>
      <c r="D396" s="2">
        <v>0.1212</v>
      </c>
      <c r="E396" s="13">
        <v>0.93</v>
      </c>
      <c r="F396" s="2">
        <v>0.25369999999999998</v>
      </c>
      <c r="G396" s="2">
        <v>0</v>
      </c>
      <c r="H396" s="2">
        <v>13</v>
      </c>
      <c r="I396" s="2">
        <v>13</v>
      </c>
      <c r="J396" t="str">
        <f t="shared" si="19"/>
        <v>0.12</v>
      </c>
      <c r="K396" t="str" cm="1">
        <f t="array" ref="K396">_xlfn.IFS(E396&gt;55%,"higher humidity",E396&gt;=35%,"medium humidity",E396&lt;35%,"lower humidity")</f>
        <v>higher humidity</v>
      </c>
      <c r="L396">
        <f t="shared" si="20"/>
        <v>6</v>
      </c>
      <c r="M396" t="str">
        <f t="shared" si="21"/>
        <v>Bad booking</v>
      </c>
    </row>
    <row r="397" spans="1:13" ht="15" thickBot="1" x14ac:dyDescent="0.35">
      <c r="A397" s="2">
        <v>395</v>
      </c>
      <c r="B397" s="2">
        <v>396</v>
      </c>
      <c r="C397" s="4">
        <v>40560</v>
      </c>
      <c r="D397" s="2">
        <v>0.13639999999999999</v>
      </c>
      <c r="E397" s="13">
        <v>0.86</v>
      </c>
      <c r="F397" s="2">
        <v>0.28360000000000002</v>
      </c>
      <c r="G397" s="2">
        <v>1</v>
      </c>
      <c r="H397" s="2">
        <v>3</v>
      </c>
      <c r="I397" s="2">
        <v>4</v>
      </c>
      <c r="J397" t="str">
        <f t="shared" si="19"/>
        <v>0.13</v>
      </c>
      <c r="K397" t="str" cm="1">
        <f t="array" ref="K397">_xlfn.IFS(E397&gt;55%,"higher humidity",E397&gt;=35%,"medium humidity",E397&lt;35%,"lower humidity")</f>
        <v>higher humidity</v>
      </c>
      <c r="L397">
        <f t="shared" si="20"/>
        <v>6</v>
      </c>
      <c r="M397" t="str">
        <f t="shared" si="21"/>
        <v>Bad booking</v>
      </c>
    </row>
    <row r="398" spans="1:13" ht="15" thickBot="1" x14ac:dyDescent="0.35">
      <c r="A398" s="2">
        <v>396</v>
      </c>
      <c r="B398" s="2">
        <v>397</v>
      </c>
      <c r="C398" s="4">
        <v>40561</v>
      </c>
      <c r="D398" s="2">
        <v>0.18179999999999999</v>
      </c>
      <c r="E398" s="13">
        <v>0.86</v>
      </c>
      <c r="F398" s="2">
        <v>0.32840000000000003</v>
      </c>
      <c r="G398" s="2">
        <v>0</v>
      </c>
      <c r="H398" s="2">
        <v>3</v>
      </c>
      <c r="I398" s="2">
        <v>3</v>
      </c>
      <c r="J398" t="str">
        <f t="shared" si="19"/>
        <v>0.18</v>
      </c>
      <c r="K398" t="str" cm="1">
        <f t="array" ref="K398">_xlfn.IFS(E398&gt;55%,"higher humidity",E398&gt;=35%,"medium humidity",E398&lt;35%,"lower humidity")</f>
        <v>higher humidity</v>
      </c>
      <c r="L398">
        <f t="shared" si="20"/>
        <v>6</v>
      </c>
      <c r="M398" t="str">
        <f t="shared" si="21"/>
        <v>Bad booking</v>
      </c>
    </row>
    <row r="399" spans="1:13" ht="15" thickBot="1" x14ac:dyDescent="0.35">
      <c r="A399" s="2">
        <v>397</v>
      </c>
      <c r="B399" s="2">
        <v>398</v>
      </c>
      <c r="C399" s="4">
        <v>40561</v>
      </c>
      <c r="D399" s="2">
        <v>0.19700000000000001</v>
      </c>
      <c r="E399" s="13">
        <v>0.86</v>
      </c>
      <c r="F399" s="2">
        <v>0.22389999999999999</v>
      </c>
      <c r="G399" s="2">
        <v>0</v>
      </c>
      <c r="H399" s="2">
        <v>22</v>
      </c>
      <c r="I399" s="2">
        <v>22</v>
      </c>
      <c r="J399" t="str">
        <f t="shared" si="19"/>
        <v>0.19</v>
      </c>
      <c r="K399" t="str" cm="1">
        <f t="array" ref="K399">_xlfn.IFS(E399&gt;55%,"higher humidity",E399&gt;=35%,"medium humidity",E399&lt;35%,"lower humidity")</f>
        <v>higher humidity</v>
      </c>
      <c r="L399">
        <f t="shared" si="20"/>
        <v>6</v>
      </c>
      <c r="M399" t="str">
        <f t="shared" si="21"/>
        <v>Bad booking</v>
      </c>
    </row>
    <row r="400" spans="1:13" ht="15" thickBot="1" x14ac:dyDescent="0.35">
      <c r="A400" s="2">
        <v>398</v>
      </c>
      <c r="B400" s="2">
        <v>399</v>
      </c>
      <c r="C400" s="4">
        <v>40561</v>
      </c>
      <c r="D400" s="2">
        <v>0.2273</v>
      </c>
      <c r="E400" s="13">
        <v>0.8</v>
      </c>
      <c r="F400" s="2">
        <v>0.16420000000000001</v>
      </c>
      <c r="G400" s="2">
        <v>2</v>
      </c>
      <c r="H400" s="2">
        <v>26</v>
      </c>
      <c r="I400" s="2">
        <v>28</v>
      </c>
      <c r="J400" t="str">
        <f t="shared" si="19"/>
        <v>0.22</v>
      </c>
      <c r="K400" t="str" cm="1">
        <f t="array" ref="K400">_xlfn.IFS(E400&gt;55%,"higher humidity",E400&gt;=35%,"medium humidity",E400&lt;35%,"lower humidity")</f>
        <v>higher humidity</v>
      </c>
      <c r="L400">
        <f t="shared" si="20"/>
        <v>6</v>
      </c>
      <c r="M400" t="str">
        <f t="shared" si="21"/>
        <v>Bad booking</v>
      </c>
    </row>
    <row r="401" spans="1:13" ht="15" thickBot="1" x14ac:dyDescent="0.35">
      <c r="A401" s="2">
        <v>399</v>
      </c>
      <c r="B401" s="2">
        <v>400</v>
      </c>
      <c r="C401" s="4">
        <v>40561</v>
      </c>
      <c r="D401" s="2">
        <v>0.2273</v>
      </c>
      <c r="E401" s="13">
        <v>0.87</v>
      </c>
      <c r="F401" s="2">
        <v>0.16420000000000001</v>
      </c>
      <c r="G401" s="2">
        <v>3</v>
      </c>
      <c r="H401" s="2">
        <v>32</v>
      </c>
      <c r="I401" s="2">
        <v>35</v>
      </c>
      <c r="J401" t="str">
        <f t="shared" si="19"/>
        <v>0.22</v>
      </c>
      <c r="K401" t="str" cm="1">
        <f t="array" ref="K401">_xlfn.IFS(E401&gt;55%,"higher humidity",E401&gt;=35%,"medium humidity",E401&lt;35%,"lower humidity")</f>
        <v>higher humidity</v>
      </c>
      <c r="L401">
        <f t="shared" si="20"/>
        <v>6</v>
      </c>
      <c r="M401" t="str">
        <f t="shared" si="21"/>
        <v>good boking</v>
      </c>
    </row>
    <row r="402" spans="1:13" ht="15" thickBot="1" x14ac:dyDescent="0.35">
      <c r="A402" s="2">
        <v>400</v>
      </c>
      <c r="B402" s="2">
        <v>401</v>
      </c>
      <c r="C402" s="4">
        <v>40561</v>
      </c>
      <c r="D402" s="2">
        <v>0.2273</v>
      </c>
      <c r="E402" s="13">
        <v>0.87</v>
      </c>
      <c r="F402" s="2">
        <v>0.19400000000000001</v>
      </c>
      <c r="G402" s="2">
        <v>0</v>
      </c>
      <c r="H402" s="2">
        <v>61</v>
      </c>
      <c r="I402" s="2">
        <v>61</v>
      </c>
      <c r="J402" t="str">
        <f t="shared" si="19"/>
        <v>0.22</v>
      </c>
      <c r="K402" t="str" cm="1">
        <f t="array" ref="K402">_xlfn.IFS(E402&gt;55%,"higher humidity",E402&gt;=35%,"medium humidity",E402&lt;35%,"lower humidity")</f>
        <v>higher humidity</v>
      </c>
      <c r="L402">
        <f t="shared" si="20"/>
        <v>5</v>
      </c>
      <c r="M402" t="str">
        <f t="shared" si="21"/>
        <v>good boking</v>
      </c>
    </row>
    <row r="403" spans="1:13" ht="15" thickBot="1" x14ac:dyDescent="0.35">
      <c r="A403" s="2">
        <v>401</v>
      </c>
      <c r="B403" s="2">
        <v>402</v>
      </c>
      <c r="C403" s="4">
        <v>40561</v>
      </c>
      <c r="D403" s="2">
        <v>0.2273</v>
      </c>
      <c r="E403" s="13">
        <v>0.82</v>
      </c>
      <c r="F403" s="2">
        <v>0.19400000000000001</v>
      </c>
      <c r="G403" s="2">
        <v>1</v>
      </c>
      <c r="H403" s="2">
        <v>124</v>
      </c>
      <c r="I403" s="2">
        <v>125</v>
      </c>
      <c r="J403" t="str">
        <f t="shared" si="19"/>
        <v>0.22</v>
      </c>
      <c r="K403" t="str" cm="1">
        <f t="array" ref="K403">_xlfn.IFS(E403&gt;55%,"higher humidity",E403&gt;=35%,"medium humidity",E403&lt;35%,"lower humidity")</f>
        <v>higher humidity</v>
      </c>
      <c r="L403">
        <f t="shared" si="20"/>
        <v>5</v>
      </c>
      <c r="M403" t="str">
        <f t="shared" si="21"/>
        <v>good boking</v>
      </c>
    </row>
    <row r="404" spans="1:13" ht="15" thickBot="1" x14ac:dyDescent="0.35">
      <c r="A404" s="2">
        <v>402</v>
      </c>
      <c r="B404" s="2">
        <v>403</v>
      </c>
      <c r="C404" s="4">
        <v>40561</v>
      </c>
      <c r="D404" s="2">
        <v>0.2273</v>
      </c>
      <c r="E404" s="13">
        <v>0.8</v>
      </c>
      <c r="F404" s="2">
        <v>0.16420000000000001</v>
      </c>
      <c r="G404" s="2">
        <v>1</v>
      </c>
      <c r="H404" s="2">
        <v>132</v>
      </c>
      <c r="I404" s="2">
        <v>133</v>
      </c>
      <c r="J404" t="str">
        <f t="shared" si="19"/>
        <v>0.22</v>
      </c>
      <c r="K404" t="str" cm="1">
        <f t="array" ref="K404">_xlfn.IFS(E404&gt;55%,"higher humidity",E404&gt;=35%,"medium humidity",E404&lt;35%,"lower humidity")</f>
        <v>higher humidity</v>
      </c>
      <c r="L404">
        <f t="shared" si="20"/>
        <v>6</v>
      </c>
      <c r="M404" t="str">
        <f t="shared" si="21"/>
        <v>good boking</v>
      </c>
    </row>
    <row r="405" spans="1:13" ht="15" thickBot="1" x14ac:dyDescent="0.35">
      <c r="A405" s="2">
        <v>403</v>
      </c>
      <c r="B405" s="2">
        <v>404</v>
      </c>
      <c r="C405" s="4">
        <v>40561</v>
      </c>
      <c r="D405" s="2">
        <v>0.2273</v>
      </c>
      <c r="E405" s="13">
        <v>0.8</v>
      </c>
      <c r="F405" s="2">
        <v>0.1343</v>
      </c>
      <c r="G405" s="2">
        <v>1</v>
      </c>
      <c r="H405" s="2">
        <v>98</v>
      </c>
      <c r="I405" s="2">
        <v>99</v>
      </c>
      <c r="J405" t="str">
        <f t="shared" si="19"/>
        <v>0.22</v>
      </c>
      <c r="K405" t="str" cm="1">
        <f t="array" ref="K405">_xlfn.IFS(E405&gt;55%,"higher humidity",E405&gt;=35%,"medium humidity",E405&lt;35%,"lower humidity")</f>
        <v>higher humidity</v>
      </c>
      <c r="L405">
        <f t="shared" si="20"/>
        <v>6</v>
      </c>
      <c r="M405" t="str">
        <f t="shared" si="21"/>
        <v>good boking</v>
      </c>
    </row>
    <row r="406" spans="1:13" ht="15" thickBot="1" x14ac:dyDescent="0.35">
      <c r="A406" s="2">
        <v>404</v>
      </c>
      <c r="B406" s="2">
        <v>405</v>
      </c>
      <c r="C406" s="4">
        <v>40561</v>
      </c>
      <c r="D406" s="2">
        <v>0.2727</v>
      </c>
      <c r="E406" s="13">
        <v>0.87</v>
      </c>
      <c r="F406" s="2">
        <v>0</v>
      </c>
      <c r="G406" s="2">
        <v>0</v>
      </c>
      <c r="H406" s="2">
        <v>83</v>
      </c>
      <c r="I406" s="2">
        <v>83</v>
      </c>
      <c r="J406" t="str">
        <f t="shared" si="19"/>
        <v>0.27</v>
      </c>
      <c r="K406" t="str" cm="1">
        <f t="array" ref="K406">_xlfn.IFS(E406&gt;55%,"higher humidity",E406&gt;=35%,"medium humidity",E406&lt;35%,"lower humidity")</f>
        <v>higher humidity</v>
      </c>
      <c r="L406">
        <f t="shared" si="20"/>
        <v>1</v>
      </c>
      <c r="M406" t="str">
        <f t="shared" si="21"/>
        <v>good boking</v>
      </c>
    </row>
    <row r="407" spans="1:13" ht="15" thickBot="1" x14ac:dyDescent="0.35">
      <c r="A407" s="2">
        <v>405</v>
      </c>
      <c r="B407" s="2">
        <v>406</v>
      </c>
      <c r="C407" s="4">
        <v>40561</v>
      </c>
      <c r="D407" s="2">
        <v>0.2424</v>
      </c>
      <c r="E407" s="13">
        <v>0.93</v>
      </c>
      <c r="F407" s="2">
        <v>0.1045</v>
      </c>
      <c r="G407" s="2">
        <v>0</v>
      </c>
      <c r="H407" s="2">
        <v>41</v>
      </c>
      <c r="I407" s="2">
        <v>41</v>
      </c>
      <c r="J407" t="str">
        <f t="shared" si="19"/>
        <v>0.24</v>
      </c>
      <c r="K407" t="str" cm="1">
        <f t="array" ref="K407">_xlfn.IFS(E407&gt;55%,"higher humidity",E407&gt;=35%,"medium humidity",E407&lt;35%,"lower humidity")</f>
        <v>higher humidity</v>
      </c>
      <c r="L407">
        <f t="shared" si="20"/>
        <v>6</v>
      </c>
      <c r="M407" t="str">
        <f t="shared" si="21"/>
        <v>good boking</v>
      </c>
    </row>
    <row r="408" spans="1:13" ht="15" thickBot="1" x14ac:dyDescent="0.35">
      <c r="A408" s="2">
        <v>406</v>
      </c>
      <c r="B408" s="2">
        <v>407</v>
      </c>
      <c r="C408" s="4">
        <v>40561</v>
      </c>
      <c r="D408" s="2">
        <v>0.2576</v>
      </c>
      <c r="E408" s="13">
        <v>0.93</v>
      </c>
      <c r="F408" s="2">
        <v>8.9599999999999999E-2</v>
      </c>
      <c r="G408" s="2">
        <v>0</v>
      </c>
      <c r="H408" s="2">
        <v>33</v>
      </c>
      <c r="I408" s="2">
        <v>33</v>
      </c>
      <c r="J408" t="str">
        <f t="shared" si="19"/>
        <v>0.25</v>
      </c>
      <c r="K408" t="str" cm="1">
        <f t="array" ref="K408">_xlfn.IFS(E408&gt;55%,"higher humidity",E408&gt;=35%,"medium humidity",E408&lt;35%,"lower humidity")</f>
        <v>higher humidity</v>
      </c>
      <c r="L408">
        <f t="shared" si="20"/>
        <v>6</v>
      </c>
      <c r="M408" t="str">
        <f t="shared" si="21"/>
        <v>good boking</v>
      </c>
    </row>
    <row r="409" spans="1:13" ht="15" thickBot="1" x14ac:dyDescent="0.35">
      <c r="A409" s="2">
        <v>407</v>
      </c>
      <c r="B409" s="2">
        <v>408</v>
      </c>
      <c r="C409" s="4">
        <v>40561</v>
      </c>
      <c r="D409" s="2">
        <v>0.2727</v>
      </c>
      <c r="E409" s="13">
        <v>0.93</v>
      </c>
      <c r="F409" s="2">
        <v>0</v>
      </c>
      <c r="G409" s="2">
        <v>1</v>
      </c>
      <c r="H409" s="2">
        <v>19</v>
      </c>
      <c r="I409" s="2">
        <v>20</v>
      </c>
      <c r="J409" t="str">
        <f t="shared" si="19"/>
        <v>0.27</v>
      </c>
      <c r="K409" t="str" cm="1">
        <f t="array" ref="K409">_xlfn.IFS(E409&gt;55%,"higher humidity",E409&gt;=35%,"medium humidity",E409&lt;35%,"lower humidity")</f>
        <v>higher humidity</v>
      </c>
      <c r="L409">
        <f t="shared" si="20"/>
        <v>1</v>
      </c>
      <c r="M409" t="str">
        <f t="shared" si="21"/>
        <v>Bad booking</v>
      </c>
    </row>
    <row r="410" spans="1:13" ht="15" thickBot="1" x14ac:dyDescent="0.35">
      <c r="A410" s="2">
        <v>408</v>
      </c>
      <c r="B410" s="2">
        <v>409</v>
      </c>
      <c r="C410" s="4">
        <v>40562</v>
      </c>
      <c r="D410" s="2">
        <v>0.2727</v>
      </c>
      <c r="E410" s="13">
        <v>0.93</v>
      </c>
      <c r="F410" s="2">
        <v>0</v>
      </c>
      <c r="G410" s="2">
        <v>0</v>
      </c>
      <c r="H410" s="2">
        <v>3</v>
      </c>
      <c r="I410" s="2">
        <v>3</v>
      </c>
      <c r="J410" t="str">
        <f t="shared" si="19"/>
        <v>0.27</v>
      </c>
      <c r="K410" t="str" cm="1">
        <f t="array" ref="K410">_xlfn.IFS(E410&gt;55%,"higher humidity",E410&gt;=35%,"medium humidity",E410&lt;35%,"lower humidity")</f>
        <v>higher humidity</v>
      </c>
      <c r="L410">
        <f t="shared" si="20"/>
        <v>1</v>
      </c>
      <c r="M410" t="str">
        <f t="shared" si="21"/>
        <v>Bad booking</v>
      </c>
    </row>
    <row r="411" spans="1:13" ht="15" thickBot="1" x14ac:dyDescent="0.35">
      <c r="A411" s="2">
        <v>409</v>
      </c>
      <c r="B411" s="2">
        <v>410</v>
      </c>
      <c r="C411" s="4">
        <v>40562</v>
      </c>
      <c r="D411" s="2">
        <v>0.2273</v>
      </c>
      <c r="E411" s="13">
        <v>0.93</v>
      </c>
      <c r="F411" s="2">
        <v>0.1343</v>
      </c>
      <c r="G411" s="2">
        <v>1</v>
      </c>
      <c r="H411" s="2">
        <v>6</v>
      </c>
      <c r="I411" s="2">
        <v>7</v>
      </c>
      <c r="J411" t="str">
        <f t="shared" si="19"/>
        <v>0.22</v>
      </c>
      <c r="K411" t="str" cm="1">
        <f t="array" ref="K411">_xlfn.IFS(E411&gt;55%,"higher humidity",E411&gt;=35%,"medium humidity",E411&lt;35%,"lower humidity")</f>
        <v>higher humidity</v>
      </c>
      <c r="L411">
        <f t="shared" si="20"/>
        <v>6</v>
      </c>
      <c r="M411" t="str">
        <f t="shared" si="21"/>
        <v>Bad booking</v>
      </c>
    </row>
    <row r="412" spans="1:13" ht="15" thickBot="1" x14ac:dyDescent="0.35">
      <c r="A412" s="2">
        <v>410</v>
      </c>
      <c r="B412" s="2">
        <v>411</v>
      </c>
      <c r="C412" s="4">
        <v>40562</v>
      </c>
      <c r="D412" s="2">
        <v>0.2273</v>
      </c>
      <c r="E412" s="13">
        <v>0.93</v>
      </c>
      <c r="F412" s="2">
        <v>0.1343</v>
      </c>
      <c r="G412" s="2">
        <v>0</v>
      </c>
      <c r="H412" s="2">
        <v>3</v>
      </c>
      <c r="I412" s="2">
        <v>3</v>
      </c>
      <c r="J412" t="str">
        <f t="shared" si="19"/>
        <v>0.22</v>
      </c>
      <c r="K412" t="str" cm="1">
        <f t="array" ref="K412">_xlfn.IFS(E412&gt;55%,"higher humidity",E412&gt;=35%,"medium humidity",E412&lt;35%,"lower humidity")</f>
        <v>higher humidity</v>
      </c>
      <c r="L412">
        <f t="shared" si="20"/>
        <v>6</v>
      </c>
      <c r="M412" t="str">
        <f t="shared" si="21"/>
        <v>Bad booking</v>
      </c>
    </row>
    <row r="413" spans="1:13" ht="15" thickBot="1" x14ac:dyDescent="0.35">
      <c r="A413" s="2">
        <v>411</v>
      </c>
      <c r="B413" s="2">
        <v>412</v>
      </c>
      <c r="C413" s="4">
        <v>40562</v>
      </c>
      <c r="D413" s="2">
        <v>0.2273</v>
      </c>
      <c r="E413" s="13">
        <v>0.93</v>
      </c>
      <c r="F413" s="2">
        <v>0.1343</v>
      </c>
      <c r="G413" s="2">
        <v>1</v>
      </c>
      <c r="H413" s="2">
        <v>1</v>
      </c>
      <c r="I413" s="2">
        <v>2</v>
      </c>
      <c r="J413" t="str">
        <f t="shared" si="19"/>
        <v>0.22</v>
      </c>
      <c r="K413" t="str" cm="1">
        <f t="array" ref="K413">_xlfn.IFS(E413&gt;55%,"higher humidity",E413&gt;=35%,"medium humidity",E413&lt;35%,"lower humidity")</f>
        <v>higher humidity</v>
      </c>
      <c r="L413">
        <f t="shared" si="20"/>
        <v>6</v>
      </c>
      <c r="M413" t="str">
        <f t="shared" si="21"/>
        <v>Bad booking</v>
      </c>
    </row>
    <row r="414" spans="1:13" ht="15" thickBot="1" x14ac:dyDescent="0.35">
      <c r="A414" s="2">
        <v>412</v>
      </c>
      <c r="B414" s="2">
        <v>413</v>
      </c>
      <c r="C414" s="4">
        <v>40562</v>
      </c>
      <c r="D414" s="2">
        <v>0.2576</v>
      </c>
      <c r="E414" s="13">
        <v>0.93</v>
      </c>
      <c r="F414" s="2">
        <v>8.9599999999999999E-2</v>
      </c>
      <c r="G414" s="2">
        <v>0</v>
      </c>
      <c r="H414" s="2">
        <v>7</v>
      </c>
      <c r="I414" s="2">
        <v>7</v>
      </c>
      <c r="J414" t="str">
        <f t="shared" si="19"/>
        <v>0.25</v>
      </c>
      <c r="K414" t="str" cm="1">
        <f t="array" ref="K414">_xlfn.IFS(E414&gt;55%,"higher humidity",E414&gt;=35%,"medium humidity",E414&lt;35%,"lower humidity")</f>
        <v>higher humidity</v>
      </c>
      <c r="L414">
        <f t="shared" si="20"/>
        <v>6</v>
      </c>
      <c r="M414" t="str">
        <f t="shared" si="21"/>
        <v>Bad booking</v>
      </c>
    </row>
    <row r="415" spans="1:13" ht="15" thickBot="1" x14ac:dyDescent="0.35">
      <c r="A415" s="2">
        <v>413</v>
      </c>
      <c r="B415" s="2">
        <v>414</v>
      </c>
      <c r="C415" s="4">
        <v>40562</v>
      </c>
      <c r="D415" s="2">
        <v>0.2576</v>
      </c>
      <c r="E415" s="13">
        <v>0.93</v>
      </c>
      <c r="F415" s="2">
        <v>8.9599999999999999E-2</v>
      </c>
      <c r="G415" s="2">
        <v>0</v>
      </c>
      <c r="H415" s="2">
        <v>32</v>
      </c>
      <c r="I415" s="2">
        <v>32</v>
      </c>
      <c r="J415" t="str">
        <f t="shared" si="19"/>
        <v>0.25</v>
      </c>
      <c r="K415" t="str" cm="1">
        <f t="array" ref="K415">_xlfn.IFS(E415&gt;55%,"higher humidity",E415&gt;=35%,"medium humidity",E415&lt;35%,"lower humidity")</f>
        <v>higher humidity</v>
      </c>
      <c r="L415">
        <f t="shared" si="20"/>
        <v>6</v>
      </c>
      <c r="M415" t="str">
        <f t="shared" si="21"/>
        <v>good boking</v>
      </c>
    </row>
    <row r="416" spans="1:13" ht="15" thickBot="1" x14ac:dyDescent="0.35">
      <c r="A416" s="2">
        <v>414</v>
      </c>
      <c r="B416" s="2">
        <v>415</v>
      </c>
      <c r="C416" s="4">
        <v>40562</v>
      </c>
      <c r="D416" s="2">
        <v>0.2576</v>
      </c>
      <c r="E416" s="13">
        <v>0.92</v>
      </c>
      <c r="F416" s="2">
        <v>0.1045</v>
      </c>
      <c r="G416" s="2">
        <v>1</v>
      </c>
      <c r="H416" s="2">
        <v>89</v>
      </c>
      <c r="I416" s="2">
        <v>90</v>
      </c>
      <c r="J416" t="str">
        <f t="shared" si="19"/>
        <v>0.25</v>
      </c>
      <c r="K416" t="str" cm="1">
        <f t="array" ref="K416">_xlfn.IFS(E416&gt;55%,"higher humidity",E416&gt;=35%,"medium humidity",E416&lt;35%,"lower humidity")</f>
        <v>higher humidity</v>
      </c>
      <c r="L416">
        <f t="shared" si="20"/>
        <v>6</v>
      </c>
      <c r="M416" t="str">
        <f t="shared" si="21"/>
        <v>good boking</v>
      </c>
    </row>
    <row r="417" spans="1:13" ht="15" thickBot="1" x14ac:dyDescent="0.35">
      <c r="A417" s="2">
        <v>415</v>
      </c>
      <c r="B417" s="2">
        <v>416</v>
      </c>
      <c r="C417" s="4">
        <v>40562</v>
      </c>
      <c r="D417" s="2">
        <v>0.2576</v>
      </c>
      <c r="E417" s="13">
        <v>0.93</v>
      </c>
      <c r="F417" s="2">
        <v>0.1045</v>
      </c>
      <c r="G417" s="2">
        <v>1</v>
      </c>
      <c r="H417" s="2">
        <v>196</v>
      </c>
      <c r="I417" s="2">
        <v>197</v>
      </c>
      <c r="J417" t="str">
        <f t="shared" si="19"/>
        <v>0.25</v>
      </c>
      <c r="K417" t="str" cm="1">
        <f t="array" ref="K417">_xlfn.IFS(E417&gt;55%,"higher humidity",E417&gt;=35%,"medium humidity",E417&lt;35%,"lower humidity")</f>
        <v>higher humidity</v>
      </c>
      <c r="L417">
        <f t="shared" si="20"/>
        <v>6</v>
      </c>
      <c r="M417" t="str">
        <f t="shared" si="21"/>
        <v>good boking</v>
      </c>
    </row>
    <row r="418" spans="1:13" ht="15" thickBot="1" x14ac:dyDescent="0.35">
      <c r="A418" s="2">
        <v>416</v>
      </c>
      <c r="B418" s="2">
        <v>417</v>
      </c>
      <c r="C418" s="4">
        <v>40562</v>
      </c>
      <c r="D418" s="2">
        <v>0.2576</v>
      </c>
      <c r="E418" s="13">
        <v>0.93</v>
      </c>
      <c r="F418" s="2">
        <v>0.1045</v>
      </c>
      <c r="G418" s="2">
        <v>2</v>
      </c>
      <c r="H418" s="2">
        <v>107</v>
      </c>
      <c r="I418" s="2">
        <v>109</v>
      </c>
      <c r="J418" t="str">
        <f t="shared" si="19"/>
        <v>0.25</v>
      </c>
      <c r="K418" t="str" cm="1">
        <f t="array" ref="K418">_xlfn.IFS(E418&gt;55%,"higher humidity",E418&gt;=35%,"medium humidity",E418&lt;35%,"lower humidity")</f>
        <v>higher humidity</v>
      </c>
      <c r="L418">
        <f t="shared" si="20"/>
        <v>6</v>
      </c>
      <c r="M418" t="str">
        <f t="shared" si="21"/>
        <v>good boking</v>
      </c>
    </row>
    <row r="419" spans="1:13" ht="15" thickBot="1" x14ac:dyDescent="0.35">
      <c r="A419" s="2">
        <v>417</v>
      </c>
      <c r="B419" s="2">
        <v>418</v>
      </c>
      <c r="C419" s="4">
        <v>40562</v>
      </c>
      <c r="D419" s="2">
        <v>0.2727</v>
      </c>
      <c r="E419" s="13">
        <v>0.93</v>
      </c>
      <c r="F419" s="2">
        <v>0.1343</v>
      </c>
      <c r="G419" s="2">
        <v>1</v>
      </c>
      <c r="H419" s="2">
        <v>46</v>
      </c>
      <c r="I419" s="2">
        <v>47</v>
      </c>
      <c r="J419" t="str">
        <f t="shared" si="19"/>
        <v>0.27</v>
      </c>
      <c r="K419" t="str" cm="1">
        <f t="array" ref="K419">_xlfn.IFS(E419&gt;55%,"higher humidity",E419&gt;=35%,"medium humidity",E419&lt;35%,"lower humidity")</f>
        <v>higher humidity</v>
      </c>
      <c r="L419">
        <f t="shared" si="20"/>
        <v>6</v>
      </c>
      <c r="M419" t="str">
        <f t="shared" si="21"/>
        <v>good boking</v>
      </c>
    </row>
    <row r="420" spans="1:13" ht="15" thickBot="1" x14ac:dyDescent="0.35">
      <c r="A420" s="2">
        <v>418</v>
      </c>
      <c r="B420" s="2">
        <v>419</v>
      </c>
      <c r="C420" s="4">
        <v>40562</v>
      </c>
      <c r="D420" s="2">
        <v>0.30299999999999999</v>
      </c>
      <c r="E420" s="13">
        <v>0.87</v>
      </c>
      <c r="F420" s="2">
        <v>8.9599999999999999E-2</v>
      </c>
      <c r="G420" s="2">
        <v>5</v>
      </c>
      <c r="H420" s="2">
        <v>47</v>
      </c>
      <c r="I420" s="2">
        <v>52</v>
      </c>
      <c r="J420" t="str">
        <f t="shared" si="19"/>
        <v>0.30</v>
      </c>
      <c r="K420" t="str" cm="1">
        <f t="array" ref="K420">_xlfn.IFS(E420&gt;55%,"higher humidity",E420&gt;=35%,"medium humidity",E420&lt;35%,"lower humidity")</f>
        <v>higher humidity</v>
      </c>
      <c r="L420">
        <f t="shared" si="20"/>
        <v>6</v>
      </c>
      <c r="M420" t="str">
        <f t="shared" si="21"/>
        <v>good boking</v>
      </c>
    </row>
    <row r="421" spans="1:13" ht="15" thickBot="1" x14ac:dyDescent="0.35">
      <c r="A421" s="2">
        <v>419</v>
      </c>
      <c r="B421" s="2">
        <v>420</v>
      </c>
      <c r="C421" s="4">
        <v>40562</v>
      </c>
      <c r="D421" s="2">
        <v>0.31819999999999998</v>
      </c>
      <c r="E421" s="13">
        <v>0.81</v>
      </c>
      <c r="F421" s="2">
        <v>8.9599999999999999E-2</v>
      </c>
      <c r="G421" s="2">
        <v>5</v>
      </c>
      <c r="H421" s="2">
        <v>65</v>
      </c>
      <c r="I421" s="2">
        <v>70</v>
      </c>
      <c r="J421" t="str">
        <f t="shared" si="19"/>
        <v>0.31</v>
      </c>
      <c r="K421" t="str" cm="1">
        <f t="array" ref="K421">_xlfn.IFS(E421&gt;55%,"higher humidity",E421&gt;=35%,"medium humidity",E421&lt;35%,"lower humidity")</f>
        <v>higher humidity</v>
      </c>
      <c r="L421">
        <f t="shared" si="20"/>
        <v>6</v>
      </c>
      <c r="M421" t="str">
        <f t="shared" si="21"/>
        <v>good boking</v>
      </c>
    </row>
    <row r="422" spans="1:13" ht="15" thickBot="1" x14ac:dyDescent="0.35">
      <c r="A422" s="2">
        <v>420</v>
      </c>
      <c r="B422" s="2">
        <v>421</v>
      </c>
      <c r="C422" s="4">
        <v>40562</v>
      </c>
      <c r="D422" s="2">
        <v>0.40910000000000002</v>
      </c>
      <c r="E422" s="13">
        <v>0.62</v>
      </c>
      <c r="F422" s="2">
        <v>0.28360000000000002</v>
      </c>
      <c r="G422" s="2">
        <v>11</v>
      </c>
      <c r="H422" s="2">
        <v>67</v>
      </c>
      <c r="I422" s="2">
        <v>78</v>
      </c>
      <c r="J422" t="str">
        <f t="shared" si="19"/>
        <v>0.40</v>
      </c>
      <c r="K422" t="str" cm="1">
        <f t="array" ref="K422">_xlfn.IFS(E422&gt;55%,"higher humidity",E422&gt;=35%,"medium humidity",E422&lt;35%,"lower humidity")</f>
        <v>higher humidity</v>
      </c>
      <c r="L422">
        <f t="shared" si="20"/>
        <v>6</v>
      </c>
      <c r="M422" t="str">
        <f t="shared" si="21"/>
        <v>good boking</v>
      </c>
    </row>
    <row r="423" spans="1:13" ht="15" thickBot="1" x14ac:dyDescent="0.35">
      <c r="A423" s="2">
        <v>421</v>
      </c>
      <c r="B423" s="2">
        <v>422</v>
      </c>
      <c r="C423" s="4">
        <v>40562</v>
      </c>
      <c r="D423" s="2">
        <v>0.40910000000000002</v>
      </c>
      <c r="E423" s="13">
        <v>0.57999999999999996</v>
      </c>
      <c r="F423" s="2">
        <v>0.25369999999999998</v>
      </c>
      <c r="G423" s="2">
        <v>7</v>
      </c>
      <c r="H423" s="2">
        <v>68</v>
      </c>
      <c r="I423" s="2">
        <v>75</v>
      </c>
      <c r="J423" t="str">
        <f t="shared" si="19"/>
        <v>0.40</v>
      </c>
      <c r="K423" t="str" cm="1">
        <f t="array" ref="K423">_xlfn.IFS(E423&gt;55%,"higher humidity",E423&gt;=35%,"medium humidity",E423&lt;35%,"lower humidity")</f>
        <v>higher humidity</v>
      </c>
      <c r="L423">
        <f t="shared" si="20"/>
        <v>6</v>
      </c>
      <c r="M423" t="str">
        <f t="shared" si="21"/>
        <v>good boking</v>
      </c>
    </row>
    <row r="424" spans="1:13" ht="15" thickBot="1" x14ac:dyDescent="0.35">
      <c r="A424" s="2">
        <v>422</v>
      </c>
      <c r="B424" s="2">
        <v>423</v>
      </c>
      <c r="C424" s="4">
        <v>40562</v>
      </c>
      <c r="D424" s="2">
        <v>0.40910000000000002</v>
      </c>
      <c r="E424" s="13">
        <v>0.54</v>
      </c>
      <c r="F424" s="2">
        <v>0.28360000000000002</v>
      </c>
      <c r="G424" s="2">
        <v>4</v>
      </c>
      <c r="H424" s="2">
        <v>78</v>
      </c>
      <c r="I424" s="2">
        <v>82</v>
      </c>
      <c r="J424" t="str">
        <f t="shared" si="19"/>
        <v>0.40</v>
      </c>
      <c r="K424" t="str" cm="1">
        <f t="array" ref="K424">_xlfn.IFS(E424&gt;55%,"higher humidity",E424&gt;=35%,"medium humidity",E424&lt;35%,"lower humidity")</f>
        <v>medium humidity</v>
      </c>
      <c r="L424">
        <f t="shared" si="20"/>
        <v>6</v>
      </c>
      <c r="M424" t="str">
        <f t="shared" si="21"/>
        <v>good boking</v>
      </c>
    </row>
    <row r="425" spans="1:13" ht="15" thickBot="1" x14ac:dyDescent="0.35">
      <c r="A425" s="2">
        <v>423</v>
      </c>
      <c r="B425" s="2">
        <v>424</v>
      </c>
      <c r="C425" s="4">
        <v>40562</v>
      </c>
      <c r="D425" s="2">
        <v>0.39389999999999997</v>
      </c>
      <c r="E425" s="13">
        <v>0.57999999999999996</v>
      </c>
      <c r="F425" s="2">
        <v>0.3881</v>
      </c>
      <c r="G425" s="2">
        <v>10</v>
      </c>
      <c r="H425" s="2">
        <v>94</v>
      </c>
      <c r="I425" s="2">
        <v>104</v>
      </c>
      <c r="J425" t="str">
        <f t="shared" si="19"/>
        <v>0.39</v>
      </c>
      <c r="K425" t="str" cm="1">
        <f t="array" ref="K425">_xlfn.IFS(E425&gt;55%,"higher humidity",E425&gt;=35%,"medium humidity",E425&lt;35%,"lower humidity")</f>
        <v>higher humidity</v>
      </c>
      <c r="L425">
        <f t="shared" si="20"/>
        <v>6</v>
      </c>
      <c r="M425" t="str">
        <f t="shared" si="21"/>
        <v>good boking</v>
      </c>
    </row>
    <row r="426" spans="1:13" ht="15" thickBot="1" x14ac:dyDescent="0.35">
      <c r="A426" s="2">
        <v>424</v>
      </c>
      <c r="B426" s="2">
        <v>425</v>
      </c>
      <c r="C426" s="4">
        <v>40562</v>
      </c>
      <c r="D426" s="2">
        <v>0.33329999999999999</v>
      </c>
      <c r="E426" s="13">
        <v>0.56999999999999995</v>
      </c>
      <c r="F426" s="2">
        <v>0.32840000000000003</v>
      </c>
      <c r="G426" s="2">
        <v>7</v>
      </c>
      <c r="H426" s="2">
        <v>190</v>
      </c>
      <c r="I426" s="2">
        <v>197</v>
      </c>
      <c r="J426" t="str">
        <f t="shared" si="19"/>
        <v>0.33</v>
      </c>
      <c r="K426" t="str" cm="1">
        <f t="array" ref="K426">_xlfn.IFS(E426&gt;55%,"higher humidity",E426&gt;=35%,"medium humidity",E426&lt;35%,"lower humidity")</f>
        <v>higher humidity</v>
      </c>
      <c r="L426">
        <f t="shared" si="20"/>
        <v>6</v>
      </c>
      <c r="M426" t="str">
        <f t="shared" si="21"/>
        <v>good boking</v>
      </c>
    </row>
    <row r="427" spans="1:13" ht="15" thickBot="1" x14ac:dyDescent="0.35">
      <c r="A427" s="2">
        <v>425</v>
      </c>
      <c r="B427" s="2">
        <v>426</v>
      </c>
      <c r="C427" s="4">
        <v>40562</v>
      </c>
      <c r="D427" s="2">
        <v>0.31819999999999998</v>
      </c>
      <c r="E427" s="13">
        <v>0.61</v>
      </c>
      <c r="F427" s="2">
        <v>0.28360000000000002</v>
      </c>
      <c r="G427" s="2">
        <v>5</v>
      </c>
      <c r="H427" s="2">
        <v>156</v>
      </c>
      <c r="I427" s="2">
        <v>161</v>
      </c>
      <c r="J427" t="str">
        <f t="shared" si="19"/>
        <v>0.31</v>
      </c>
      <c r="K427" t="str" cm="1">
        <f t="array" ref="K427">_xlfn.IFS(E427&gt;55%,"higher humidity",E427&gt;=35%,"medium humidity",E427&lt;35%,"lower humidity")</f>
        <v>higher humidity</v>
      </c>
      <c r="L427">
        <f t="shared" si="20"/>
        <v>6</v>
      </c>
      <c r="M427" t="str">
        <f t="shared" si="21"/>
        <v>good boking</v>
      </c>
    </row>
    <row r="428" spans="1:13" ht="15" thickBot="1" x14ac:dyDescent="0.35">
      <c r="A428" s="2">
        <v>426</v>
      </c>
      <c r="B428" s="2">
        <v>427</v>
      </c>
      <c r="C428" s="4">
        <v>40562</v>
      </c>
      <c r="D428" s="2">
        <v>0.28789999999999999</v>
      </c>
      <c r="E428" s="13">
        <v>0.56999999999999995</v>
      </c>
      <c r="F428" s="2">
        <v>0.41789999999999999</v>
      </c>
      <c r="G428" s="2">
        <v>4</v>
      </c>
      <c r="H428" s="2">
        <v>108</v>
      </c>
      <c r="I428" s="2">
        <v>112</v>
      </c>
      <c r="J428" t="str">
        <f t="shared" si="19"/>
        <v>0.28</v>
      </c>
      <c r="K428" t="str" cm="1">
        <f t="array" ref="K428">_xlfn.IFS(E428&gt;55%,"higher humidity",E428&gt;=35%,"medium humidity",E428&lt;35%,"lower humidity")</f>
        <v>higher humidity</v>
      </c>
      <c r="L428">
        <f t="shared" si="20"/>
        <v>6</v>
      </c>
      <c r="M428" t="str">
        <f t="shared" si="21"/>
        <v>good boking</v>
      </c>
    </row>
    <row r="429" spans="1:13" ht="15" thickBot="1" x14ac:dyDescent="0.35">
      <c r="A429" s="2">
        <v>427</v>
      </c>
      <c r="B429" s="2">
        <v>428</v>
      </c>
      <c r="C429" s="4">
        <v>40562</v>
      </c>
      <c r="D429" s="2">
        <v>0.30299999999999999</v>
      </c>
      <c r="E429" s="13">
        <v>0.49</v>
      </c>
      <c r="F429" s="2">
        <v>0.29849999999999999</v>
      </c>
      <c r="G429" s="2">
        <v>2</v>
      </c>
      <c r="H429" s="2">
        <v>74</v>
      </c>
      <c r="I429" s="2">
        <v>76</v>
      </c>
      <c r="J429" t="str">
        <f t="shared" si="19"/>
        <v>0.30</v>
      </c>
      <c r="K429" t="str" cm="1">
        <f t="array" ref="K429">_xlfn.IFS(E429&gt;55%,"higher humidity",E429&gt;=35%,"medium humidity",E429&lt;35%,"lower humidity")</f>
        <v>medium humidity</v>
      </c>
      <c r="L429">
        <f t="shared" si="20"/>
        <v>6</v>
      </c>
      <c r="M429" t="str">
        <f t="shared" si="21"/>
        <v>good boking</v>
      </c>
    </row>
    <row r="430" spans="1:13" ht="15" thickBot="1" x14ac:dyDescent="0.35">
      <c r="A430" s="2">
        <v>428</v>
      </c>
      <c r="B430" s="2">
        <v>429</v>
      </c>
      <c r="C430" s="4">
        <v>40562</v>
      </c>
      <c r="D430" s="2">
        <v>0.28789999999999999</v>
      </c>
      <c r="E430" s="13">
        <v>0.49</v>
      </c>
      <c r="F430" s="2">
        <v>0.41789999999999999</v>
      </c>
      <c r="G430" s="2">
        <v>4</v>
      </c>
      <c r="H430" s="2">
        <v>55</v>
      </c>
      <c r="I430" s="2">
        <v>59</v>
      </c>
      <c r="J430" t="str">
        <f t="shared" si="19"/>
        <v>0.28</v>
      </c>
      <c r="K430" t="str" cm="1">
        <f t="array" ref="K430">_xlfn.IFS(E430&gt;55%,"higher humidity",E430&gt;=35%,"medium humidity",E430&lt;35%,"lower humidity")</f>
        <v>medium humidity</v>
      </c>
      <c r="L430">
        <f t="shared" si="20"/>
        <v>6</v>
      </c>
      <c r="M430" t="str">
        <f t="shared" si="21"/>
        <v>good boking</v>
      </c>
    </row>
    <row r="431" spans="1:13" ht="15" thickBot="1" x14ac:dyDescent="0.35">
      <c r="A431" s="2">
        <v>429</v>
      </c>
      <c r="B431" s="2">
        <v>430</v>
      </c>
      <c r="C431" s="4">
        <v>40562</v>
      </c>
      <c r="D431" s="2">
        <v>0.30299999999999999</v>
      </c>
      <c r="E431" s="13">
        <v>0.52</v>
      </c>
      <c r="F431" s="2">
        <v>0.16420000000000001</v>
      </c>
      <c r="G431" s="2">
        <v>6</v>
      </c>
      <c r="H431" s="2">
        <v>53</v>
      </c>
      <c r="I431" s="2">
        <v>59</v>
      </c>
      <c r="J431" t="str">
        <f t="shared" si="19"/>
        <v>0.30</v>
      </c>
      <c r="K431" t="str" cm="1">
        <f t="array" ref="K431">_xlfn.IFS(E431&gt;55%,"higher humidity",E431&gt;=35%,"medium humidity",E431&lt;35%,"lower humidity")</f>
        <v>medium humidity</v>
      </c>
      <c r="L431">
        <f t="shared" si="20"/>
        <v>6</v>
      </c>
      <c r="M431" t="str">
        <f t="shared" si="21"/>
        <v>good boking</v>
      </c>
    </row>
    <row r="432" spans="1:13" ht="15" thickBot="1" x14ac:dyDescent="0.35">
      <c r="A432" s="2">
        <v>430</v>
      </c>
      <c r="B432" s="2">
        <v>431</v>
      </c>
      <c r="C432" s="4">
        <v>40562</v>
      </c>
      <c r="D432" s="2">
        <v>0.2727</v>
      </c>
      <c r="E432" s="13">
        <v>0.52</v>
      </c>
      <c r="F432" s="2">
        <v>0.4627</v>
      </c>
      <c r="G432" s="2">
        <v>1</v>
      </c>
      <c r="H432" s="2">
        <v>27</v>
      </c>
      <c r="I432" s="2">
        <v>28</v>
      </c>
      <c r="J432" t="str">
        <f t="shared" si="19"/>
        <v>0.27</v>
      </c>
      <c r="K432" t="str" cm="1">
        <f t="array" ref="K432">_xlfn.IFS(E432&gt;55%,"higher humidity",E432&gt;=35%,"medium humidity",E432&lt;35%,"lower humidity")</f>
        <v>medium humidity</v>
      </c>
      <c r="L432">
        <f t="shared" si="20"/>
        <v>6</v>
      </c>
      <c r="M432" t="str">
        <f t="shared" si="21"/>
        <v>Bad booking</v>
      </c>
    </row>
    <row r="433" spans="1:13" ht="15" thickBot="1" x14ac:dyDescent="0.35">
      <c r="A433" s="2">
        <v>431</v>
      </c>
      <c r="B433" s="2">
        <v>432</v>
      </c>
      <c r="C433" s="4">
        <v>40563</v>
      </c>
      <c r="D433" s="2">
        <v>0.2273</v>
      </c>
      <c r="E433" s="13">
        <v>0.56000000000000005</v>
      </c>
      <c r="F433" s="2">
        <v>0.3881</v>
      </c>
      <c r="G433" s="2">
        <v>5</v>
      </c>
      <c r="H433" s="2">
        <v>8</v>
      </c>
      <c r="I433" s="2">
        <v>13</v>
      </c>
      <c r="J433" t="str">
        <f t="shared" si="19"/>
        <v>0.22</v>
      </c>
      <c r="K433" t="str" cm="1">
        <f t="array" ref="K433">_xlfn.IFS(E433&gt;55%,"higher humidity",E433&gt;=35%,"medium humidity",E433&lt;35%,"lower humidity")</f>
        <v>higher humidity</v>
      </c>
      <c r="L433">
        <f t="shared" si="20"/>
        <v>6</v>
      </c>
      <c r="M433" t="str">
        <f t="shared" si="21"/>
        <v>Bad booking</v>
      </c>
    </row>
    <row r="434" spans="1:13" ht="15" thickBot="1" x14ac:dyDescent="0.35">
      <c r="A434" s="2">
        <v>432</v>
      </c>
      <c r="B434" s="2">
        <v>433</v>
      </c>
      <c r="C434" s="4">
        <v>40563</v>
      </c>
      <c r="D434" s="2">
        <v>0.2727</v>
      </c>
      <c r="E434" s="13">
        <v>0.56000000000000005</v>
      </c>
      <c r="F434" s="2">
        <v>0</v>
      </c>
      <c r="G434" s="2">
        <v>2</v>
      </c>
      <c r="H434" s="2">
        <v>3</v>
      </c>
      <c r="I434" s="2">
        <v>5</v>
      </c>
      <c r="J434" t="str">
        <f t="shared" si="19"/>
        <v>0.27</v>
      </c>
      <c r="K434" t="str" cm="1">
        <f t="array" ref="K434">_xlfn.IFS(E434&gt;55%,"higher humidity",E434&gt;=35%,"medium humidity",E434&lt;35%,"lower humidity")</f>
        <v>higher humidity</v>
      </c>
      <c r="L434">
        <f t="shared" si="20"/>
        <v>1</v>
      </c>
      <c r="M434" t="str">
        <f t="shared" si="21"/>
        <v>Bad booking</v>
      </c>
    </row>
    <row r="435" spans="1:13" ht="15" thickBot="1" x14ac:dyDescent="0.35">
      <c r="A435" s="2">
        <v>433</v>
      </c>
      <c r="B435" s="2">
        <v>434</v>
      </c>
      <c r="C435" s="4">
        <v>40563</v>
      </c>
      <c r="D435" s="2">
        <v>0.2727</v>
      </c>
      <c r="E435" s="13">
        <v>0.56000000000000005</v>
      </c>
      <c r="F435" s="2">
        <v>0</v>
      </c>
      <c r="G435" s="2">
        <v>0</v>
      </c>
      <c r="H435" s="2">
        <v>2</v>
      </c>
      <c r="I435" s="2">
        <v>2</v>
      </c>
      <c r="J435" t="str">
        <f t="shared" si="19"/>
        <v>0.27</v>
      </c>
      <c r="K435" t="str" cm="1">
        <f t="array" ref="K435">_xlfn.IFS(E435&gt;55%,"higher humidity",E435&gt;=35%,"medium humidity",E435&lt;35%,"lower humidity")</f>
        <v>higher humidity</v>
      </c>
      <c r="L435">
        <f t="shared" si="20"/>
        <v>1</v>
      </c>
      <c r="M435" t="str">
        <f t="shared" si="21"/>
        <v>Bad booking</v>
      </c>
    </row>
    <row r="436" spans="1:13" ht="15" thickBot="1" x14ac:dyDescent="0.35">
      <c r="A436" s="2">
        <v>434</v>
      </c>
      <c r="B436" s="2">
        <v>435</v>
      </c>
      <c r="C436" s="4">
        <v>40563</v>
      </c>
      <c r="D436" s="2">
        <v>0.2576</v>
      </c>
      <c r="E436" s="13">
        <v>0.56000000000000005</v>
      </c>
      <c r="F436" s="2">
        <v>0.16420000000000001</v>
      </c>
      <c r="G436" s="2">
        <v>0</v>
      </c>
      <c r="H436" s="2">
        <v>1</v>
      </c>
      <c r="I436" s="2">
        <v>1</v>
      </c>
      <c r="J436" t="str">
        <f t="shared" si="19"/>
        <v>0.25</v>
      </c>
      <c r="K436" t="str" cm="1">
        <f t="array" ref="K436">_xlfn.IFS(E436&gt;55%,"higher humidity",E436&gt;=35%,"medium humidity",E436&lt;35%,"lower humidity")</f>
        <v>higher humidity</v>
      </c>
      <c r="L436">
        <f t="shared" si="20"/>
        <v>6</v>
      </c>
      <c r="M436" t="str">
        <f t="shared" si="21"/>
        <v>Bad booking</v>
      </c>
    </row>
    <row r="437" spans="1:13" ht="15" thickBot="1" x14ac:dyDescent="0.35">
      <c r="A437" s="2">
        <v>435</v>
      </c>
      <c r="B437" s="2">
        <v>436</v>
      </c>
      <c r="C437" s="4">
        <v>40563</v>
      </c>
      <c r="D437" s="2">
        <v>0.2576</v>
      </c>
      <c r="E437" s="13">
        <v>0.56000000000000005</v>
      </c>
      <c r="F437" s="2">
        <v>0.16420000000000001</v>
      </c>
      <c r="G437" s="2">
        <v>0</v>
      </c>
      <c r="H437" s="2">
        <v>1</v>
      </c>
      <c r="I437" s="2">
        <v>1</v>
      </c>
      <c r="J437" t="str">
        <f t="shared" si="19"/>
        <v>0.25</v>
      </c>
      <c r="K437" t="str" cm="1">
        <f t="array" ref="K437">_xlfn.IFS(E437&gt;55%,"higher humidity",E437&gt;=35%,"medium humidity",E437&lt;35%,"lower humidity")</f>
        <v>higher humidity</v>
      </c>
      <c r="L437">
        <f t="shared" si="20"/>
        <v>6</v>
      </c>
      <c r="M437" t="str">
        <f t="shared" si="21"/>
        <v>Bad booking</v>
      </c>
    </row>
    <row r="438" spans="1:13" ht="15" thickBot="1" x14ac:dyDescent="0.35">
      <c r="A438" s="2">
        <v>436</v>
      </c>
      <c r="B438" s="2">
        <v>437</v>
      </c>
      <c r="C438" s="4">
        <v>40563</v>
      </c>
      <c r="D438" s="2">
        <v>0.2273</v>
      </c>
      <c r="E438" s="13">
        <v>0.6</v>
      </c>
      <c r="F438" s="2">
        <v>0.22389999999999999</v>
      </c>
      <c r="G438" s="2">
        <v>0</v>
      </c>
      <c r="H438" s="2">
        <v>6</v>
      </c>
      <c r="I438" s="2">
        <v>6</v>
      </c>
      <c r="J438" t="str">
        <f t="shared" si="19"/>
        <v>0.22</v>
      </c>
      <c r="K438" t="str" cm="1">
        <f t="array" ref="K438">_xlfn.IFS(E438&gt;55%,"higher humidity",E438&gt;=35%,"medium humidity",E438&lt;35%,"lower humidity")</f>
        <v>higher humidity</v>
      </c>
      <c r="L438">
        <f t="shared" si="20"/>
        <v>6</v>
      </c>
      <c r="M438" t="str">
        <f t="shared" si="21"/>
        <v>Bad booking</v>
      </c>
    </row>
    <row r="439" spans="1:13" ht="15" thickBot="1" x14ac:dyDescent="0.35">
      <c r="A439" s="2">
        <v>437</v>
      </c>
      <c r="B439" s="2">
        <v>438</v>
      </c>
      <c r="C439" s="4">
        <v>40563</v>
      </c>
      <c r="D439" s="2">
        <v>0.21210000000000001</v>
      </c>
      <c r="E439" s="13">
        <v>0.6</v>
      </c>
      <c r="F439" s="2">
        <v>0.22389999999999999</v>
      </c>
      <c r="G439" s="2">
        <v>0</v>
      </c>
      <c r="H439" s="2">
        <v>35</v>
      </c>
      <c r="I439" s="2">
        <v>35</v>
      </c>
      <c r="J439" t="str">
        <f t="shared" si="19"/>
        <v>0.21</v>
      </c>
      <c r="K439" t="str" cm="1">
        <f t="array" ref="K439">_xlfn.IFS(E439&gt;55%,"higher humidity",E439&gt;=35%,"medium humidity",E439&lt;35%,"lower humidity")</f>
        <v>higher humidity</v>
      </c>
      <c r="L439">
        <f t="shared" si="20"/>
        <v>6</v>
      </c>
      <c r="M439" t="str">
        <f t="shared" si="21"/>
        <v>good boking</v>
      </c>
    </row>
    <row r="440" spans="1:13" ht="15" thickBot="1" x14ac:dyDescent="0.35">
      <c r="A440" s="2">
        <v>438</v>
      </c>
      <c r="B440" s="2">
        <v>439</v>
      </c>
      <c r="C440" s="4">
        <v>40563</v>
      </c>
      <c r="D440" s="2">
        <v>0.21210000000000001</v>
      </c>
      <c r="E440" s="13">
        <v>0.55000000000000004</v>
      </c>
      <c r="F440" s="2">
        <v>0.22389999999999999</v>
      </c>
      <c r="G440" s="2">
        <v>1</v>
      </c>
      <c r="H440" s="2">
        <v>100</v>
      </c>
      <c r="I440" s="2">
        <v>101</v>
      </c>
      <c r="J440" t="str">
        <f t="shared" si="19"/>
        <v>0.21</v>
      </c>
      <c r="K440" t="str" cm="1">
        <f t="array" ref="K440">_xlfn.IFS(E440&gt;55%,"higher humidity",E440&gt;=35%,"medium humidity",E440&lt;35%,"lower humidity")</f>
        <v>medium humidity</v>
      </c>
      <c r="L440">
        <f t="shared" si="20"/>
        <v>6</v>
      </c>
      <c r="M440" t="str">
        <f t="shared" si="21"/>
        <v>good boking</v>
      </c>
    </row>
    <row r="441" spans="1:13" ht="15" thickBot="1" x14ac:dyDescent="0.35">
      <c r="A441" s="2">
        <v>439</v>
      </c>
      <c r="B441" s="2">
        <v>440</v>
      </c>
      <c r="C441" s="4">
        <v>40563</v>
      </c>
      <c r="D441" s="2">
        <v>0.21210000000000001</v>
      </c>
      <c r="E441" s="13">
        <v>0.55000000000000004</v>
      </c>
      <c r="F441" s="2">
        <v>0.28360000000000002</v>
      </c>
      <c r="G441" s="2">
        <v>2</v>
      </c>
      <c r="H441" s="2">
        <v>247</v>
      </c>
      <c r="I441" s="2">
        <v>249</v>
      </c>
      <c r="J441" t="str">
        <f t="shared" si="19"/>
        <v>0.21</v>
      </c>
      <c r="K441" t="str" cm="1">
        <f t="array" ref="K441">_xlfn.IFS(E441&gt;55%,"higher humidity",E441&gt;=35%,"medium humidity",E441&lt;35%,"lower humidity")</f>
        <v>medium humidity</v>
      </c>
      <c r="L441">
        <f t="shared" si="20"/>
        <v>6</v>
      </c>
      <c r="M441" t="str">
        <f t="shared" si="21"/>
        <v>good boking</v>
      </c>
    </row>
    <row r="442" spans="1:13" ht="15" thickBot="1" x14ac:dyDescent="0.35">
      <c r="A442" s="2">
        <v>440</v>
      </c>
      <c r="B442" s="2">
        <v>441</v>
      </c>
      <c r="C442" s="4">
        <v>40563</v>
      </c>
      <c r="D442" s="2">
        <v>0.2273</v>
      </c>
      <c r="E442" s="13">
        <v>0.52</v>
      </c>
      <c r="F442" s="2">
        <v>0.22389999999999999</v>
      </c>
      <c r="G442" s="2">
        <v>3</v>
      </c>
      <c r="H442" s="2">
        <v>140</v>
      </c>
      <c r="I442" s="2">
        <v>143</v>
      </c>
      <c r="J442" t="str">
        <f t="shared" si="19"/>
        <v>0.22</v>
      </c>
      <c r="K442" t="str" cm="1">
        <f t="array" ref="K442">_xlfn.IFS(E442&gt;55%,"higher humidity",E442&gt;=35%,"medium humidity",E442&lt;35%,"lower humidity")</f>
        <v>medium humidity</v>
      </c>
      <c r="L442">
        <f t="shared" si="20"/>
        <v>6</v>
      </c>
      <c r="M442" t="str">
        <f t="shared" si="21"/>
        <v>good boking</v>
      </c>
    </row>
    <row r="443" spans="1:13" ht="15" thickBot="1" x14ac:dyDescent="0.35">
      <c r="A443" s="2">
        <v>441</v>
      </c>
      <c r="B443" s="2">
        <v>442</v>
      </c>
      <c r="C443" s="4">
        <v>40563</v>
      </c>
      <c r="D443" s="2">
        <v>0.2273</v>
      </c>
      <c r="E443" s="13">
        <v>0.48</v>
      </c>
      <c r="F443" s="2">
        <v>0.29849999999999999</v>
      </c>
      <c r="G443" s="2">
        <v>1</v>
      </c>
      <c r="H443" s="2">
        <v>56</v>
      </c>
      <c r="I443" s="2">
        <v>57</v>
      </c>
      <c r="J443" t="str">
        <f t="shared" si="19"/>
        <v>0.22</v>
      </c>
      <c r="K443" t="str" cm="1">
        <f t="array" ref="K443">_xlfn.IFS(E443&gt;55%,"higher humidity",E443&gt;=35%,"medium humidity",E443&lt;35%,"lower humidity")</f>
        <v>medium humidity</v>
      </c>
      <c r="L443">
        <f t="shared" si="20"/>
        <v>6</v>
      </c>
      <c r="M443" t="str">
        <f t="shared" si="21"/>
        <v>good boking</v>
      </c>
    </row>
    <row r="444" spans="1:13" ht="15" thickBot="1" x14ac:dyDescent="0.35">
      <c r="A444" s="2">
        <v>442</v>
      </c>
      <c r="B444" s="2">
        <v>443</v>
      </c>
      <c r="C444" s="4">
        <v>40563</v>
      </c>
      <c r="D444" s="2">
        <v>0.2727</v>
      </c>
      <c r="E444" s="13">
        <v>0.45</v>
      </c>
      <c r="F444" s="2">
        <v>0.16420000000000001</v>
      </c>
      <c r="G444" s="2">
        <v>5</v>
      </c>
      <c r="H444" s="2">
        <v>63</v>
      </c>
      <c r="I444" s="2">
        <v>68</v>
      </c>
      <c r="J444" t="str">
        <f t="shared" si="19"/>
        <v>0.27</v>
      </c>
      <c r="K444" t="str" cm="1">
        <f t="array" ref="K444">_xlfn.IFS(E444&gt;55%,"higher humidity",E444&gt;=35%,"medium humidity",E444&lt;35%,"lower humidity")</f>
        <v>medium humidity</v>
      </c>
      <c r="L444">
        <f t="shared" si="20"/>
        <v>6</v>
      </c>
      <c r="M444" t="str">
        <f t="shared" si="21"/>
        <v>good boking</v>
      </c>
    </row>
    <row r="445" spans="1:13" ht="15" thickBot="1" x14ac:dyDescent="0.35">
      <c r="A445" s="2">
        <v>443</v>
      </c>
      <c r="B445" s="2">
        <v>444</v>
      </c>
      <c r="C445" s="4">
        <v>40563</v>
      </c>
      <c r="D445" s="2">
        <v>0.33329999999999999</v>
      </c>
      <c r="E445" s="13">
        <v>0.42</v>
      </c>
      <c r="F445" s="2">
        <v>0</v>
      </c>
      <c r="G445" s="2">
        <v>7</v>
      </c>
      <c r="H445" s="2">
        <v>77</v>
      </c>
      <c r="I445" s="2">
        <v>84</v>
      </c>
      <c r="J445" t="str">
        <f t="shared" si="19"/>
        <v>0.33</v>
      </c>
      <c r="K445" t="str" cm="1">
        <f t="array" ref="K445">_xlfn.IFS(E445&gt;55%,"higher humidity",E445&gt;=35%,"medium humidity",E445&lt;35%,"lower humidity")</f>
        <v>medium humidity</v>
      </c>
      <c r="L445">
        <f t="shared" si="20"/>
        <v>1</v>
      </c>
      <c r="M445" t="str">
        <f t="shared" si="21"/>
        <v>good boking</v>
      </c>
    </row>
    <row r="446" spans="1:13" ht="15" thickBot="1" x14ac:dyDescent="0.35">
      <c r="A446" s="2">
        <v>444</v>
      </c>
      <c r="B446" s="2">
        <v>445</v>
      </c>
      <c r="C446" s="4">
        <v>40563</v>
      </c>
      <c r="D446" s="2">
        <v>0.28789999999999999</v>
      </c>
      <c r="E446" s="13">
        <v>0.45</v>
      </c>
      <c r="F446" s="2">
        <v>0.1045</v>
      </c>
      <c r="G446" s="2">
        <v>12</v>
      </c>
      <c r="H446" s="2">
        <v>86</v>
      </c>
      <c r="I446" s="2">
        <v>98</v>
      </c>
      <c r="J446" t="str">
        <f t="shared" si="19"/>
        <v>0.28</v>
      </c>
      <c r="K446" t="str" cm="1">
        <f t="array" ref="K446">_xlfn.IFS(E446&gt;55%,"higher humidity",E446&gt;=35%,"medium humidity",E446&lt;35%,"lower humidity")</f>
        <v>medium humidity</v>
      </c>
      <c r="L446">
        <f t="shared" si="20"/>
        <v>6</v>
      </c>
      <c r="M446" t="str">
        <f t="shared" si="21"/>
        <v>good boking</v>
      </c>
    </row>
    <row r="447" spans="1:13" ht="15" thickBot="1" x14ac:dyDescent="0.35">
      <c r="A447" s="2">
        <v>445</v>
      </c>
      <c r="B447" s="2">
        <v>446</v>
      </c>
      <c r="C447" s="4">
        <v>40563</v>
      </c>
      <c r="D447" s="2">
        <v>0.30299999999999999</v>
      </c>
      <c r="E447" s="13">
        <v>0.45</v>
      </c>
      <c r="F447" s="2">
        <v>0.1343</v>
      </c>
      <c r="G447" s="2">
        <v>6</v>
      </c>
      <c r="H447" s="2">
        <v>75</v>
      </c>
      <c r="I447" s="2">
        <v>81</v>
      </c>
      <c r="J447" t="str">
        <f t="shared" si="19"/>
        <v>0.30</v>
      </c>
      <c r="K447" t="str" cm="1">
        <f t="array" ref="K447">_xlfn.IFS(E447&gt;55%,"higher humidity",E447&gt;=35%,"medium humidity",E447&lt;35%,"lower humidity")</f>
        <v>medium humidity</v>
      </c>
      <c r="L447">
        <f t="shared" si="20"/>
        <v>6</v>
      </c>
      <c r="M447" t="str">
        <f t="shared" si="21"/>
        <v>good boking</v>
      </c>
    </row>
    <row r="448" spans="1:13" ht="15" thickBot="1" x14ac:dyDescent="0.35">
      <c r="A448" s="2">
        <v>446</v>
      </c>
      <c r="B448" s="2">
        <v>447</v>
      </c>
      <c r="C448" s="4">
        <v>40563</v>
      </c>
      <c r="D448" s="2">
        <v>0.31819999999999998</v>
      </c>
      <c r="E448" s="13">
        <v>0.45</v>
      </c>
      <c r="F448" s="2">
        <v>0.19400000000000001</v>
      </c>
      <c r="G448" s="2">
        <v>8</v>
      </c>
      <c r="H448" s="2">
        <v>62</v>
      </c>
      <c r="I448" s="2">
        <v>70</v>
      </c>
      <c r="J448" t="str">
        <f t="shared" si="19"/>
        <v>0.31</v>
      </c>
      <c r="K448" t="str" cm="1">
        <f t="array" ref="K448">_xlfn.IFS(E448&gt;55%,"higher humidity",E448&gt;=35%,"medium humidity",E448&lt;35%,"lower humidity")</f>
        <v>medium humidity</v>
      </c>
      <c r="L448">
        <f t="shared" si="20"/>
        <v>5</v>
      </c>
      <c r="M448" t="str">
        <f t="shared" si="21"/>
        <v>good boking</v>
      </c>
    </row>
    <row r="449" spans="1:13" ht="15" thickBot="1" x14ac:dyDescent="0.35">
      <c r="A449" s="2">
        <v>447</v>
      </c>
      <c r="B449" s="2">
        <v>448</v>
      </c>
      <c r="C449" s="4">
        <v>40563</v>
      </c>
      <c r="D449" s="2">
        <v>0.30299999999999999</v>
      </c>
      <c r="E449" s="13">
        <v>0.49</v>
      </c>
      <c r="F449" s="2">
        <v>0.1343</v>
      </c>
      <c r="G449" s="2">
        <v>8</v>
      </c>
      <c r="H449" s="2">
        <v>83</v>
      </c>
      <c r="I449" s="2">
        <v>91</v>
      </c>
      <c r="J449" t="str">
        <f t="shared" si="19"/>
        <v>0.30</v>
      </c>
      <c r="K449" t="str" cm="1">
        <f t="array" ref="K449">_xlfn.IFS(E449&gt;55%,"higher humidity",E449&gt;=35%,"medium humidity",E449&lt;35%,"lower humidity")</f>
        <v>medium humidity</v>
      </c>
      <c r="L449">
        <f t="shared" si="20"/>
        <v>6</v>
      </c>
      <c r="M449" t="str">
        <f t="shared" si="21"/>
        <v>good boking</v>
      </c>
    </row>
    <row r="450" spans="1:13" ht="15" thickBot="1" x14ac:dyDescent="0.35">
      <c r="A450" s="2">
        <v>448</v>
      </c>
      <c r="B450" s="2">
        <v>449</v>
      </c>
      <c r="C450" s="4">
        <v>40563</v>
      </c>
      <c r="D450" s="2">
        <v>0.31819999999999998</v>
      </c>
      <c r="E450" s="13">
        <v>0.49</v>
      </c>
      <c r="F450" s="2">
        <v>0.1045</v>
      </c>
      <c r="G450" s="2">
        <v>8</v>
      </c>
      <c r="H450" s="2">
        <v>207</v>
      </c>
      <c r="I450" s="2">
        <v>215</v>
      </c>
      <c r="J450" t="str">
        <f t="shared" si="19"/>
        <v>0.31</v>
      </c>
      <c r="K450" t="str" cm="1">
        <f t="array" ref="K450">_xlfn.IFS(E450&gt;55%,"higher humidity",E450&gt;=35%,"medium humidity",E450&lt;35%,"lower humidity")</f>
        <v>medium humidity</v>
      </c>
      <c r="L450">
        <f t="shared" si="20"/>
        <v>6</v>
      </c>
      <c r="M450" t="str">
        <f t="shared" si="21"/>
        <v>good boking</v>
      </c>
    </row>
    <row r="451" spans="1:13" ht="15" thickBot="1" x14ac:dyDescent="0.35">
      <c r="A451" s="2">
        <v>449</v>
      </c>
      <c r="B451" s="2">
        <v>450</v>
      </c>
      <c r="C451" s="4">
        <v>40563</v>
      </c>
      <c r="D451" s="2">
        <v>0.2576</v>
      </c>
      <c r="E451" s="13">
        <v>0.56000000000000005</v>
      </c>
      <c r="F451" s="2">
        <v>0.19400000000000001</v>
      </c>
      <c r="G451" s="2">
        <v>1</v>
      </c>
      <c r="H451" s="2">
        <v>184</v>
      </c>
      <c r="I451" s="2">
        <v>185</v>
      </c>
      <c r="J451" t="str">
        <f t="shared" ref="J451:J514" si="22">LEFT(D451,4)</f>
        <v>0.25</v>
      </c>
      <c r="K451" t="str" cm="1">
        <f t="array" ref="K451">_xlfn.IFS(E451&gt;55%,"higher humidity",E451&gt;=35%,"medium humidity",E451&lt;35%,"lower humidity")</f>
        <v>higher humidity</v>
      </c>
      <c r="L451">
        <f t="shared" ref="L451:L514" si="23">LEN(F451)</f>
        <v>5</v>
      </c>
      <c r="M451" t="str">
        <f t="shared" ref="M451:M514" si="24">IF(H451&gt;30,"good boking","Bad booking")</f>
        <v>good boking</v>
      </c>
    </row>
    <row r="452" spans="1:13" ht="15" thickBot="1" x14ac:dyDescent="0.35">
      <c r="A452" s="2">
        <v>450</v>
      </c>
      <c r="B452" s="2">
        <v>451</v>
      </c>
      <c r="C452" s="4">
        <v>40563</v>
      </c>
      <c r="D452" s="2">
        <v>0.2273</v>
      </c>
      <c r="E452" s="13">
        <v>0.56000000000000005</v>
      </c>
      <c r="F452" s="2">
        <v>0.32840000000000003</v>
      </c>
      <c r="G452" s="2">
        <v>6</v>
      </c>
      <c r="H452" s="2">
        <v>146</v>
      </c>
      <c r="I452" s="2">
        <v>152</v>
      </c>
      <c r="J452" t="str">
        <f t="shared" si="22"/>
        <v>0.22</v>
      </c>
      <c r="K452" t="str" cm="1">
        <f t="array" ref="K452">_xlfn.IFS(E452&gt;55%,"higher humidity",E452&gt;=35%,"medium humidity",E452&lt;35%,"lower humidity")</f>
        <v>higher humidity</v>
      </c>
      <c r="L452">
        <f t="shared" si="23"/>
        <v>6</v>
      </c>
      <c r="M452" t="str">
        <f t="shared" si="24"/>
        <v>good boking</v>
      </c>
    </row>
    <row r="453" spans="1:13" ht="15" thickBot="1" x14ac:dyDescent="0.35">
      <c r="A453" s="2">
        <v>451</v>
      </c>
      <c r="B453" s="2">
        <v>452</v>
      </c>
      <c r="C453" s="4">
        <v>40563</v>
      </c>
      <c r="D453" s="2">
        <v>0.2424</v>
      </c>
      <c r="E453" s="13">
        <v>0.6</v>
      </c>
      <c r="F453" s="2">
        <v>0.28360000000000002</v>
      </c>
      <c r="G453" s="2">
        <v>2</v>
      </c>
      <c r="H453" s="2">
        <v>124</v>
      </c>
      <c r="I453" s="2">
        <v>126</v>
      </c>
      <c r="J453" t="str">
        <f t="shared" si="22"/>
        <v>0.24</v>
      </c>
      <c r="K453" t="str" cm="1">
        <f t="array" ref="K453">_xlfn.IFS(E453&gt;55%,"higher humidity",E453&gt;=35%,"medium humidity",E453&lt;35%,"lower humidity")</f>
        <v>higher humidity</v>
      </c>
      <c r="L453">
        <f t="shared" si="23"/>
        <v>6</v>
      </c>
      <c r="M453" t="str">
        <f t="shared" si="24"/>
        <v>good boking</v>
      </c>
    </row>
    <row r="454" spans="1:13" ht="15" thickBot="1" x14ac:dyDescent="0.35">
      <c r="A454" s="2">
        <v>452</v>
      </c>
      <c r="B454" s="2">
        <v>453</v>
      </c>
      <c r="C454" s="4">
        <v>40563</v>
      </c>
      <c r="D454" s="2">
        <v>0.2273</v>
      </c>
      <c r="E454" s="13">
        <v>0.6</v>
      </c>
      <c r="F454" s="2">
        <v>0.25369999999999998</v>
      </c>
      <c r="G454" s="2">
        <v>3</v>
      </c>
      <c r="H454" s="2">
        <v>54</v>
      </c>
      <c r="I454" s="2">
        <v>57</v>
      </c>
      <c r="J454" t="str">
        <f t="shared" si="22"/>
        <v>0.22</v>
      </c>
      <c r="K454" t="str" cm="1">
        <f t="array" ref="K454">_xlfn.IFS(E454&gt;55%,"higher humidity",E454&gt;=35%,"medium humidity",E454&lt;35%,"lower humidity")</f>
        <v>higher humidity</v>
      </c>
      <c r="L454">
        <f t="shared" si="23"/>
        <v>6</v>
      </c>
      <c r="M454" t="str">
        <f t="shared" si="24"/>
        <v>good boking</v>
      </c>
    </row>
    <row r="455" spans="1:13" ht="15" thickBot="1" x14ac:dyDescent="0.35">
      <c r="A455" s="2">
        <v>453</v>
      </c>
      <c r="B455" s="2">
        <v>454</v>
      </c>
      <c r="C455" s="4">
        <v>40563</v>
      </c>
      <c r="D455" s="2">
        <v>0.21210000000000001</v>
      </c>
      <c r="E455" s="13">
        <v>0.65</v>
      </c>
      <c r="F455" s="2">
        <v>0.28360000000000002</v>
      </c>
      <c r="G455" s="2">
        <v>0</v>
      </c>
      <c r="H455" s="2">
        <v>56</v>
      </c>
      <c r="I455" s="2">
        <v>56</v>
      </c>
      <c r="J455" t="str">
        <f t="shared" si="22"/>
        <v>0.21</v>
      </c>
      <c r="K455" t="str" cm="1">
        <f t="array" ref="K455">_xlfn.IFS(E455&gt;55%,"higher humidity",E455&gt;=35%,"medium humidity",E455&lt;35%,"lower humidity")</f>
        <v>higher humidity</v>
      </c>
      <c r="L455">
        <f t="shared" si="23"/>
        <v>6</v>
      </c>
      <c r="M455" t="str">
        <f t="shared" si="24"/>
        <v>good boking</v>
      </c>
    </row>
    <row r="456" spans="1:13" ht="15" thickBot="1" x14ac:dyDescent="0.35">
      <c r="A456" s="2">
        <v>454</v>
      </c>
      <c r="B456" s="2">
        <v>455</v>
      </c>
      <c r="C456" s="4">
        <v>40563</v>
      </c>
      <c r="D456" s="2">
        <v>0.21210000000000001</v>
      </c>
      <c r="E456" s="13">
        <v>0.65</v>
      </c>
      <c r="F456" s="2">
        <v>0.32840000000000003</v>
      </c>
      <c r="G456" s="2">
        <v>3</v>
      </c>
      <c r="H456" s="2">
        <v>28</v>
      </c>
      <c r="I456" s="2">
        <v>31</v>
      </c>
      <c r="J456" t="str">
        <f t="shared" si="22"/>
        <v>0.21</v>
      </c>
      <c r="K456" t="str" cm="1">
        <f t="array" ref="K456">_xlfn.IFS(E456&gt;55%,"higher humidity",E456&gt;=35%,"medium humidity",E456&lt;35%,"lower humidity")</f>
        <v>higher humidity</v>
      </c>
      <c r="L456">
        <f t="shared" si="23"/>
        <v>6</v>
      </c>
      <c r="M456" t="str">
        <f t="shared" si="24"/>
        <v>Bad booking</v>
      </c>
    </row>
    <row r="457" spans="1:13" ht="15" thickBot="1" x14ac:dyDescent="0.35">
      <c r="A457" s="2">
        <v>455</v>
      </c>
      <c r="B457" s="2">
        <v>456</v>
      </c>
      <c r="C457" s="4">
        <v>40564</v>
      </c>
      <c r="D457" s="2">
        <v>0.2273</v>
      </c>
      <c r="E457" s="13">
        <v>0.7</v>
      </c>
      <c r="F457" s="2">
        <v>0.25369999999999998</v>
      </c>
      <c r="G457" s="2">
        <v>1</v>
      </c>
      <c r="H457" s="2">
        <v>20</v>
      </c>
      <c r="I457" s="2">
        <v>21</v>
      </c>
      <c r="J457" t="str">
        <f t="shared" si="22"/>
        <v>0.22</v>
      </c>
      <c r="K457" t="str" cm="1">
        <f t="array" ref="K457">_xlfn.IFS(E457&gt;55%,"higher humidity",E457&gt;=35%,"medium humidity",E457&lt;35%,"lower humidity")</f>
        <v>higher humidity</v>
      </c>
      <c r="L457">
        <f t="shared" si="23"/>
        <v>6</v>
      </c>
      <c r="M457" t="str">
        <f t="shared" si="24"/>
        <v>Bad booking</v>
      </c>
    </row>
    <row r="458" spans="1:13" ht="15" thickBot="1" x14ac:dyDescent="0.35">
      <c r="A458" s="2">
        <v>456</v>
      </c>
      <c r="B458" s="2">
        <v>457</v>
      </c>
      <c r="C458" s="4">
        <v>40564</v>
      </c>
      <c r="D458" s="2">
        <v>0.2273</v>
      </c>
      <c r="E458" s="13">
        <v>0.7</v>
      </c>
      <c r="F458" s="2">
        <v>0.25369999999999998</v>
      </c>
      <c r="G458" s="2">
        <v>0</v>
      </c>
      <c r="H458" s="2">
        <v>6</v>
      </c>
      <c r="I458" s="2">
        <v>6</v>
      </c>
      <c r="J458" t="str">
        <f t="shared" si="22"/>
        <v>0.22</v>
      </c>
      <c r="K458" t="str" cm="1">
        <f t="array" ref="K458">_xlfn.IFS(E458&gt;55%,"higher humidity",E458&gt;=35%,"medium humidity",E458&lt;35%,"lower humidity")</f>
        <v>higher humidity</v>
      </c>
      <c r="L458">
        <f t="shared" si="23"/>
        <v>6</v>
      </c>
      <c r="M458" t="str">
        <f t="shared" si="24"/>
        <v>Bad booking</v>
      </c>
    </row>
    <row r="459" spans="1:13" ht="15" thickBot="1" x14ac:dyDescent="0.35">
      <c r="A459" s="2">
        <v>457</v>
      </c>
      <c r="B459" s="2">
        <v>458</v>
      </c>
      <c r="C459" s="4">
        <v>40564</v>
      </c>
      <c r="D459" s="2">
        <v>0.2424</v>
      </c>
      <c r="E459" s="13">
        <v>0.75</v>
      </c>
      <c r="F459" s="2">
        <v>0.16420000000000001</v>
      </c>
      <c r="G459" s="2">
        <v>0</v>
      </c>
      <c r="H459" s="2">
        <v>2</v>
      </c>
      <c r="I459" s="2">
        <v>2</v>
      </c>
      <c r="J459" t="str">
        <f t="shared" si="22"/>
        <v>0.24</v>
      </c>
      <c r="K459" t="str" cm="1">
        <f t="array" ref="K459">_xlfn.IFS(E459&gt;55%,"higher humidity",E459&gt;=35%,"medium humidity",E459&lt;35%,"lower humidity")</f>
        <v>higher humidity</v>
      </c>
      <c r="L459">
        <f t="shared" si="23"/>
        <v>6</v>
      </c>
      <c r="M459" t="str">
        <f t="shared" si="24"/>
        <v>Bad booking</v>
      </c>
    </row>
    <row r="460" spans="1:13" ht="15" thickBot="1" x14ac:dyDescent="0.35">
      <c r="A460" s="2">
        <v>458</v>
      </c>
      <c r="B460" s="2">
        <v>459</v>
      </c>
      <c r="C460" s="4">
        <v>40564</v>
      </c>
      <c r="D460" s="2">
        <v>0.21210000000000001</v>
      </c>
      <c r="E460" s="13">
        <v>0.8</v>
      </c>
      <c r="F460" s="2">
        <v>0.29849999999999999</v>
      </c>
      <c r="G460" s="2">
        <v>0</v>
      </c>
      <c r="H460" s="2">
        <v>1</v>
      </c>
      <c r="I460" s="2">
        <v>1</v>
      </c>
      <c r="J460" t="str">
        <f t="shared" si="22"/>
        <v>0.21</v>
      </c>
      <c r="K460" t="str" cm="1">
        <f t="array" ref="K460">_xlfn.IFS(E460&gt;55%,"higher humidity",E460&gt;=35%,"medium humidity",E460&lt;35%,"lower humidity")</f>
        <v>higher humidity</v>
      </c>
      <c r="L460">
        <f t="shared" si="23"/>
        <v>6</v>
      </c>
      <c r="M460" t="str">
        <f t="shared" si="24"/>
        <v>Bad booking</v>
      </c>
    </row>
    <row r="461" spans="1:13" ht="15" thickBot="1" x14ac:dyDescent="0.35">
      <c r="A461" s="2">
        <v>459</v>
      </c>
      <c r="B461" s="2">
        <v>460</v>
      </c>
      <c r="C461" s="4">
        <v>40564</v>
      </c>
      <c r="D461" s="2">
        <v>0.2576</v>
      </c>
      <c r="E461" s="13">
        <v>0.87</v>
      </c>
      <c r="F461" s="2">
        <v>8.9599999999999999E-2</v>
      </c>
      <c r="G461" s="2">
        <v>0</v>
      </c>
      <c r="H461" s="2">
        <v>1</v>
      </c>
      <c r="I461" s="2">
        <v>1</v>
      </c>
      <c r="J461" t="str">
        <f t="shared" si="22"/>
        <v>0.25</v>
      </c>
      <c r="K461" t="str" cm="1">
        <f t="array" ref="K461">_xlfn.IFS(E461&gt;55%,"higher humidity",E461&gt;=35%,"medium humidity",E461&lt;35%,"lower humidity")</f>
        <v>higher humidity</v>
      </c>
      <c r="L461">
        <f t="shared" si="23"/>
        <v>6</v>
      </c>
      <c r="M461" t="str">
        <f t="shared" si="24"/>
        <v>Bad booking</v>
      </c>
    </row>
    <row r="462" spans="1:13" ht="15" thickBot="1" x14ac:dyDescent="0.35">
      <c r="A462" s="2">
        <v>460</v>
      </c>
      <c r="B462" s="2">
        <v>461</v>
      </c>
      <c r="C462" s="4">
        <v>40564</v>
      </c>
      <c r="D462" s="2">
        <v>0.19700000000000001</v>
      </c>
      <c r="E462" s="13">
        <v>0.6</v>
      </c>
      <c r="F462" s="2">
        <v>0.41789999999999999</v>
      </c>
      <c r="G462" s="2">
        <v>1</v>
      </c>
      <c r="H462" s="2">
        <v>4</v>
      </c>
      <c r="I462" s="2">
        <v>5</v>
      </c>
      <c r="J462" t="str">
        <f t="shared" si="22"/>
        <v>0.19</v>
      </c>
      <c r="K462" t="str" cm="1">
        <f t="array" ref="K462">_xlfn.IFS(E462&gt;55%,"higher humidity",E462&gt;=35%,"medium humidity",E462&lt;35%,"lower humidity")</f>
        <v>higher humidity</v>
      </c>
      <c r="L462">
        <f t="shared" si="23"/>
        <v>6</v>
      </c>
      <c r="M462" t="str">
        <f t="shared" si="24"/>
        <v>Bad booking</v>
      </c>
    </row>
    <row r="463" spans="1:13" ht="15" thickBot="1" x14ac:dyDescent="0.35">
      <c r="A463" s="2">
        <v>461</v>
      </c>
      <c r="B463" s="2">
        <v>462</v>
      </c>
      <c r="C463" s="4">
        <v>40564</v>
      </c>
      <c r="D463" s="2">
        <v>0.21210000000000001</v>
      </c>
      <c r="E463" s="13">
        <v>0.55000000000000004</v>
      </c>
      <c r="F463" s="2">
        <v>0.25369999999999998</v>
      </c>
      <c r="G463" s="2">
        <v>0</v>
      </c>
      <c r="H463" s="2">
        <v>27</v>
      </c>
      <c r="I463" s="2">
        <v>27</v>
      </c>
      <c r="J463" t="str">
        <f t="shared" si="22"/>
        <v>0.21</v>
      </c>
      <c r="K463" t="str" cm="1">
        <f t="array" ref="K463">_xlfn.IFS(E463&gt;55%,"higher humidity",E463&gt;=35%,"medium humidity",E463&lt;35%,"lower humidity")</f>
        <v>medium humidity</v>
      </c>
      <c r="L463">
        <f t="shared" si="23"/>
        <v>6</v>
      </c>
      <c r="M463" t="str">
        <f t="shared" si="24"/>
        <v>Bad booking</v>
      </c>
    </row>
    <row r="464" spans="1:13" ht="15" thickBot="1" x14ac:dyDescent="0.35">
      <c r="A464" s="2">
        <v>462</v>
      </c>
      <c r="B464" s="2">
        <v>463</v>
      </c>
      <c r="C464" s="4">
        <v>40564</v>
      </c>
      <c r="D464" s="2">
        <v>0.18179999999999999</v>
      </c>
      <c r="E464" s="13">
        <v>0.51</v>
      </c>
      <c r="F464" s="2">
        <v>0.28360000000000002</v>
      </c>
      <c r="G464" s="2">
        <v>2</v>
      </c>
      <c r="H464" s="2">
        <v>66</v>
      </c>
      <c r="I464" s="2">
        <v>68</v>
      </c>
      <c r="J464" t="str">
        <f t="shared" si="22"/>
        <v>0.18</v>
      </c>
      <c r="K464" t="str" cm="1">
        <f t="array" ref="K464">_xlfn.IFS(E464&gt;55%,"higher humidity",E464&gt;=35%,"medium humidity",E464&lt;35%,"lower humidity")</f>
        <v>medium humidity</v>
      </c>
      <c r="L464">
        <f t="shared" si="23"/>
        <v>6</v>
      </c>
      <c r="M464" t="str">
        <f t="shared" si="24"/>
        <v>good boking</v>
      </c>
    </row>
    <row r="465" spans="1:13" ht="15" thickBot="1" x14ac:dyDescent="0.35">
      <c r="A465" s="2">
        <v>463</v>
      </c>
      <c r="B465" s="2">
        <v>464</v>
      </c>
      <c r="C465" s="4">
        <v>40564</v>
      </c>
      <c r="D465" s="2">
        <v>0.18179999999999999</v>
      </c>
      <c r="E465" s="13">
        <v>0.47</v>
      </c>
      <c r="F465" s="2">
        <v>0.32840000000000003</v>
      </c>
      <c r="G465" s="2">
        <v>7</v>
      </c>
      <c r="H465" s="2">
        <v>210</v>
      </c>
      <c r="I465" s="2">
        <v>217</v>
      </c>
      <c r="J465" t="str">
        <f t="shared" si="22"/>
        <v>0.18</v>
      </c>
      <c r="K465" t="str" cm="1">
        <f t="array" ref="K465">_xlfn.IFS(E465&gt;55%,"higher humidity",E465&gt;=35%,"medium humidity",E465&lt;35%,"lower humidity")</f>
        <v>medium humidity</v>
      </c>
      <c r="L465">
        <f t="shared" si="23"/>
        <v>6</v>
      </c>
      <c r="M465" t="str">
        <f t="shared" si="24"/>
        <v>good boking</v>
      </c>
    </row>
    <row r="466" spans="1:13" ht="15" thickBot="1" x14ac:dyDescent="0.35">
      <c r="A466" s="2">
        <v>464</v>
      </c>
      <c r="B466" s="2">
        <v>465</v>
      </c>
      <c r="C466" s="4">
        <v>40564</v>
      </c>
      <c r="D466" s="2">
        <v>0.18179999999999999</v>
      </c>
      <c r="E466" s="13">
        <v>0.51</v>
      </c>
      <c r="F466" s="2">
        <v>0.35820000000000002</v>
      </c>
      <c r="G466" s="2">
        <v>7</v>
      </c>
      <c r="H466" s="2">
        <v>159</v>
      </c>
      <c r="I466" s="2">
        <v>166</v>
      </c>
      <c r="J466" t="str">
        <f t="shared" si="22"/>
        <v>0.18</v>
      </c>
      <c r="K466" t="str" cm="1">
        <f t="array" ref="K466">_xlfn.IFS(E466&gt;55%,"higher humidity",E466&gt;=35%,"medium humidity",E466&lt;35%,"lower humidity")</f>
        <v>medium humidity</v>
      </c>
      <c r="L466">
        <f t="shared" si="23"/>
        <v>6</v>
      </c>
      <c r="M466" t="str">
        <f t="shared" si="24"/>
        <v>good boking</v>
      </c>
    </row>
    <row r="467" spans="1:13" ht="15" thickBot="1" x14ac:dyDescent="0.35">
      <c r="A467" s="2">
        <v>465</v>
      </c>
      <c r="B467" s="2">
        <v>466</v>
      </c>
      <c r="C467" s="4">
        <v>40564</v>
      </c>
      <c r="D467" s="2">
        <v>0.16669999999999999</v>
      </c>
      <c r="E467" s="13">
        <v>0.47</v>
      </c>
      <c r="F467" s="2">
        <v>0.4627</v>
      </c>
      <c r="G467" s="2">
        <v>6</v>
      </c>
      <c r="H467" s="2">
        <v>57</v>
      </c>
      <c r="I467" s="2">
        <v>63</v>
      </c>
      <c r="J467" t="str">
        <f t="shared" si="22"/>
        <v>0.16</v>
      </c>
      <c r="K467" t="str" cm="1">
        <f t="array" ref="K467">_xlfn.IFS(E467&gt;55%,"higher humidity",E467&gt;=35%,"medium humidity",E467&lt;35%,"lower humidity")</f>
        <v>medium humidity</v>
      </c>
      <c r="L467">
        <f t="shared" si="23"/>
        <v>6</v>
      </c>
      <c r="M467" t="str">
        <f t="shared" si="24"/>
        <v>good boking</v>
      </c>
    </row>
    <row r="468" spans="1:13" ht="15" thickBot="1" x14ac:dyDescent="0.35">
      <c r="A468" s="2">
        <v>466</v>
      </c>
      <c r="B468" s="2">
        <v>467</v>
      </c>
      <c r="C468" s="4">
        <v>40564</v>
      </c>
      <c r="D468" s="2">
        <v>0.18179999999999999</v>
      </c>
      <c r="E468" s="13">
        <v>0.41</v>
      </c>
      <c r="F468" s="2">
        <v>0.4627</v>
      </c>
      <c r="G468" s="2">
        <v>6</v>
      </c>
      <c r="H468" s="2">
        <v>53</v>
      </c>
      <c r="I468" s="2">
        <v>59</v>
      </c>
      <c r="J468" t="str">
        <f t="shared" si="22"/>
        <v>0.18</v>
      </c>
      <c r="K468" t="str" cm="1">
        <f t="array" ref="K468">_xlfn.IFS(E468&gt;55%,"higher humidity",E468&gt;=35%,"medium humidity",E468&lt;35%,"lower humidity")</f>
        <v>medium humidity</v>
      </c>
      <c r="L468">
        <f t="shared" si="23"/>
        <v>6</v>
      </c>
      <c r="M468" t="str">
        <f t="shared" si="24"/>
        <v>good boking</v>
      </c>
    </row>
    <row r="469" spans="1:13" ht="15" thickBot="1" x14ac:dyDescent="0.35">
      <c r="A469" s="2">
        <v>467</v>
      </c>
      <c r="B469" s="2">
        <v>468</v>
      </c>
      <c r="C469" s="4">
        <v>40564</v>
      </c>
      <c r="D469" s="2">
        <v>0.18179999999999999</v>
      </c>
      <c r="E469" s="13">
        <v>0.27</v>
      </c>
      <c r="F469" s="2">
        <v>0.58209999999999995</v>
      </c>
      <c r="G469" s="2">
        <v>11</v>
      </c>
      <c r="H469" s="2">
        <v>67</v>
      </c>
      <c r="I469" s="2">
        <v>78</v>
      </c>
      <c r="J469" t="str">
        <f t="shared" si="22"/>
        <v>0.18</v>
      </c>
      <c r="K469" t="str" cm="1">
        <f t="array" ref="K469">_xlfn.IFS(E469&gt;55%,"higher humidity",E469&gt;=35%,"medium humidity",E469&lt;35%,"lower humidity")</f>
        <v>lower humidity</v>
      </c>
      <c r="L469">
        <f t="shared" si="23"/>
        <v>6</v>
      </c>
      <c r="M469" t="str">
        <f t="shared" si="24"/>
        <v>good boking</v>
      </c>
    </row>
    <row r="470" spans="1:13" ht="15" thickBot="1" x14ac:dyDescent="0.35">
      <c r="A470" s="2">
        <v>468</v>
      </c>
      <c r="B470" s="2">
        <v>469</v>
      </c>
      <c r="C470" s="4">
        <v>40564</v>
      </c>
      <c r="D470" s="2">
        <v>0.1515</v>
      </c>
      <c r="E470" s="13">
        <v>0.21</v>
      </c>
      <c r="F470" s="2">
        <v>0.58209999999999995</v>
      </c>
      <c r="G470" s="2">
        <v>8</v>
      </c>
      <c r="H470" s="2">
        <v>65</v>
      </c>
      <c r="I470" s="2">
        <v>73</v>
      </c>
      <c r="J470" t="str">
        <f t="shared" si="22"/>
        <v>0.15</v>
      </c>
      <c r="K470" t="str" cm="1">
        <f t="array" ref="K470">_xlfn.IFS(E470&gt;55%,"higher humidity",E470&gt;=35%,"medium humidity",E470&lt;35%,"lower humidity")</f>
        <v>lower humidity</v>
      </c>
      <c r="L470">
        <f t="shared" si="23"/>
        <v>6</v>
      </c>
      <c r="M470" t="str">
        <f t="shared" si="24"/>
        <v>good boking</v>
      </c>
    </row>
    <row r="471" spans="1:13" ht="15" thickBot="1" x14ac:dyDescent="0.35">
      <c r="A471" s="2">
        <v>469</v>
      </c>
      <c r="B471" s="2">
        <v>470</v>
      </c>
      <c r="C471" s="4">
        <v>40564</v>
      </c>
      <c r="D471" s="2">
        <v>0.1515</v>
      </c>
      <c r="E471" s="13">
        <v>0.25</v>
      </c>
      <c r="F471" s="2">
        <v>0.52239999999999998</v>
      </c>
      <c r="G471" s="2">
        <v>6</v>
      </c>
      <c r="H471" s="2">
        <v>56</v>
      </c>
      <c r="I471" s="2">
        <v>62</v>
      </c>
      <c r="J471" t="str">
        <f t="shared" si="22"/>
        <v>0.15</v>
      </c>
      <c r="K471" t="str" cm="1">
        <f t="array" ref="K471">_xlfn.IFS(E471&gt;55%,"higher humidity",E471&gt;=35%,"medium humidity",E471&lt;35%,"lower humidity")</f>
        <v>lower humidity</v>
      </c>
      <c r="L471">
        <f t="shared" si="23"/>
        <v>6</v>
      </c>
      <c r="M471" t="str">
        <f t="shared" si="24"/>
        <v>good boking</v>
      </c>
    </row>
    <row r="472" spans="1:13" ht="15" thickBot="1" x14ac:dyDescent="0.35">
      <c r="A472" s="2">
        <v>470</v>
      </c>
      <c r="B472" s="2">
        <v>471</v>
      </c>
      <c r="C472" s="4">
        <v>40564</v>
      </c>
      <c r="D472" s="2">
        <v>0.1212</v>
      </c>
      <c r="E472" s="13">
        <v>0.26</v>
      </c>
      <c r="F472" s="2">
        <v>0.44779999999999998</v>
      </c>
      <c r="G472" s="2">
        <v>4</v>
      </c>
      <c r="H472" s="2">
        <v>61</v>
      </c>
      <c r="I472" s="2">
        <v>65</v>
      </c>
      <c r="J472" t="str">
        <f t="shared" si="22"/>
        <v>0.12</v>
      </c>
      <c r="K472" t="str" cm="1">
        <f t="array" ref="K472">_xlfn.IFS(E472&gt;55%,"higher humidity",E472&gt;=35%,"medium humidity",E472&lt;35%,"lower humidity")</f>
        <v>lower humidity</v>
      </c>
      <c r="L472">
        <f t="shared" si="23"/>
        <v>6</v>
      </c>
      <c r="M472" t="str">
        <f t="shared" si="24"/>
        <v>good boking</v>
      </c>
    </row>
    <row r="473" spans="1:13" ht="15" thickBot="1" x14ac:dyDescent="0.35">
      <c r="A473" s="2">
        <v>471</v>
      </c>
      <c r="B473" s="2">
        <v>472</v>
      </c>
      <c r="C473" s="4">
        <v>40564</v>
      </c>
      <c r="D473" s="2">
        <v>0.13639999999999999</v>
      </c>
      <c r="E473" s="13">
        <v>0.26</v>
      </c>
      <c r="F473" s="2">
        <v>0.35820000000000002</v>
      </c>
      <c r="G473" s="2">
        <v>0</v>
      </c>
      <c r="H473" s="2">
        <v>97</v>
      </c>
      <c r="I473" s="2">
        <v>97</v>
      </c>
      <c r="J473" t="str">
        <f t="shared" si="22"/>
        <v>0.13</v>
      </c>
      <c r="K473" t="str" cm="1">
        <f t="array" ref="K473">_xlfn.IFS(E473&gt;55%,"higher humidity",E473&gt;=35%,"medium humidity",E473&lt;35%,"lower humidity")</f>
        <v>lower humidity</v>
      </c>
      <c r="L473">
        <f t="shared" si="23"/>
        <v>6</v>
      </c>
      <c r="M473" t="str">
        <f t="shared" si="24"/>
        <v>good boking</v>
      </c>
    </row>
    <row r="474" spans="1:13" ht="15" thickBot="1" x14ac:dyDescent="0.35">
      <c r="A474" s="2">
        <v>472</v>
      </c>
      <c r="B474" s="2">
        <v>473</v>
      </c>
      <c r="C474" s="4">
        <v>40564</v>
      </c>
      <c r="D474" s="2">
        <v>0.1212</v>
      </c>
      <c r="E474" s="13">
        <v>0.28000000000000003</v>
      </c>
      <c r="F474" s="2">
        <v>0.35820000000000002</v>
      </c>
      <c r="G474" s="2">
        <v>10</v>
      </c>
      <c r="H474" s="2">
        <v>151</v>
      </c>
      <c r="I474" s="2">
        <v>161</v>
      </c>
      <c r="J474" t="str">
        <f t="shared" si="22"/>
        <v>0.12</v>
      </c>
      <c r="K474" t="str" cm="1">
        <f t="array" ref="K474">_xlfn.IFS(E474&gt;55%,"higher humidity",E474&gt;=35%,"medium humidity",E474&lt;35%,"lower humidity")</f>
        <v>lower humidity</v>
      </c>
      <c r="L474">
        <f t="shared" si="23"/>
        <v>6</v>
      </c>
      <c r="M474" t="str">
        <f t="shared" si="24"/>
        <v>good boking</v>
      </c>
    </row>
    <row r="475" spans="1:13" ht="15" thickBot="1" x14ac:dyDescent="0.35">
      <c r="A475" s="2">
        <v>473</v>
      </c>
      <c r="B475" s="2">
        <v>474</v>
      </c>
      <c r="C475" s="4">
        <v>40564</v>
      </c>
      <c r="D475" s="2">
        <v>0.1212</v>
      </c>
      <c r="E475" s="13">
        <v>0.3</v>
      </c>
      <c r="F475" s="2">
        <v>0.25369999999999998</v>
      </c>
      <c r="G475" s="2">
        <v>1</v>
      </c>
      <c r="H475" s="2">
        <v>119</v>
      </c>
      <c r="I475" s="2">
        <v>120</v>
      </c>
      <c r="J475" t="str">
        <f t="shared" si="22"/>
        <v>0.12</v>
      </c>
      <c r="K475" t="str" cm="1">
        <f t="array" ref="K475">_xlfn.IFS(E475&gt;55%,"higher humidity",E475&gt;=35%,"medium humidity",E475&lt;35%,"lower humidity")</f>
        <v>lower humidity</v>
      </c>
      <c r="L475">
        <f t="shared" si="23"/>
        <v>6</v>
      </c>
      <c r="M475" t="str">
        <f t="shared" si="24"/>
        <v>good boking</v>
      </c>
    </row>
    <row r="476" spans="1:13" ht="15" thickBot="1" x14ac:dyDescent="0.35">
      <c r="A476" s="2">
        <v>474</v>
      </c>
      <c r="B476" s="2">
        <v>475</v>
      </c>
      <c r="C476" s="4">
        <v>40564</v>
      </c>
      <c r="D476" s="2">
        <v>0.1061</v>
      </c>
      <c r="E476" s="13">
        <v>0.3</v>
      </c>
      <c r="F476" s="2">
        <v>0.32840000000000003</v>
      </c>
      <c r="G476" s="2">
        <v>3</v>
      </c>
      <c r="H476" s="2">
        <v>93</v>
      </c>
      <c r="I476" s="2">
        <v>96</v>
      </c>
      <c r="J476" t="str">
        <f t="shared" si="22"/>
        <v>0.10</v>
      </c>
      <c r="K476" t="str" cm="1">
        <f t="array" ref="K476">_xlfn.IFS(E476&gt;55%,"higher humidity",E476&gt;=35%,"medium humidity",E476&lt;35%,"lower humidity")</f>
        <v>lower humidity</v>
      </c>
      <c r="L476">
        <f t="shared" si="23"/>
        <v>6</v>
      </c>
      <c r="M476" t="str">
        <f t="shared" si="24"/>
        <v>good boking</v>
      </c>
    </row>
    <row r="477" spans="1:13" ht="15" thickBot="1" x14ac:dyDescent="0.35">
      <c r="A477" s="2">
        <v>475</v>
      </c>
      <c r="B477" s="2">
        <v>476</v>
      </c>
      <c r="C477" s="4">
        <v>40564</v>
      </c>
      <c r="D477" s="2">
        <v>7.5800000000000006E-2</v>
      </c>
      <c r="E477" s="13">
        <v>0.33</v>
      </c>
      <c r="F477" s="2">
        <v>0.41789999999999999</v>
      </c>
      <c r="G477" s="2">
        <v>1</v>
      </c>
      <c r="H477" s="2">
        <v>52</v>
      </c>
      <c r="I477" s="2">
        <v>53</v>
      </c>
      <c r="J477" t="str">
        <f t="shared" si="22"/>
        <v>0.07</v>
      </c>
      <c r="K477" t="str" cm="1">
        <f t="array" ref="K477">_xlfn.IFS(E477&gt;55%,"higher humidity",E477&gt;=35%,"medium humidity",E477&lt;35%,"lower humidity")</f>
        <v>lower humidity</v>
      </c>
      <c r="L477">
        <f t="shared" si="23"/>
        <v>6</v>
      </c>
      <c r="M477" t="str">
        <f t="shared" si="24"/>
        <v>good boking</v>
      </c>
    </row>
    <row r="478" spans="1:13" ht="15" thickBot="1" x14ac:dyDescent="0.35">
      <c r="A478" s="2">
        <v>476</v>
      </c>
      <c r="B478" s="2">
        <v>477</v>
      </c>
      <c r="C478" s="4">
        <v>40564</v>
      </c>
      <c r="D478" s="2">
        <v>7.5800000000000006E-2</v>
      </c>
      <c r="E478" s="13">
        <v>0.38</v>
      </c>
      <c r="F478" s="2">
        <v>0.28360000000000002</v>
      </c>
      <c r="G478" s="2">
        <v>0</v>
      </c>
      <c r="H478" s="2">
        <v>41</v>
      </c>
      <c r="I478" s="2">
        <v>41</v>
      </c>
      <c r="J478" t="str">
        <f t="shared" si="22"/>
        <v>0.07</v>
      </c>
      <c r="K478" t="str" cm="1">
        <f t="array" ref="K478">_xlfn.IFS(E478&gt;55%,"higher humidity",E478&gt;=35%,"medium humidity",E478&lt;35%,"lower humidity")</f>
        <v>medium humidity</v>
      </c>
      <c r="L478">
        <f t="shared" si="23"/>
        <v>6</v>
      </c>
      <c r="M478" t="str">
        <f t="shared" si="24"/>
        <v>good boking</v>
      </c>
    </row>
    <row r="479" spans="1:13" ht="15" thickBot="1" x14ac:dyDescent="0.35">
      <c r="A479" s="2">
        <v>477</v>
      </c>
      <c r="B479" s="2">
        <v>478</v>
      </c>
      <c r="C479" s="4">
        <v>40564</v>
      </c>
      <c r="D479" s="2">
        <v>3.0300000000000001E-2</v>
      </c>
      <c r="E479" s="13">
        <v>0.41</v>
      </c>
      <c r="F479" s="2">
        <v>0.3881</v>
      </c>
      <c r="G479" s="2">
        <v>1</v>
      </c>
      <c r="H479" s="2">
        <v>33</v>
      </c>
      <c r="I479" s="2">
        <v>34</v>
      </c>
      <c r="J479" t="str">
        <f t="shared" si="22"/>
        <v>0.03</v>
      </c>
      <c r="K479" t="str" cm="1">
        <f t="array" ref="K479">_xlfn.IFS(E479&gt;55%,"higher humidity",E479&gt;=35%,"medium humidity",E479&lt;35%,"lower humidity")</f>
        <v>medium humidity</v>
      </c>
      <c r="L479">
        <f t="shared" si="23"/>
        <v>6</v>
      </c>
      <c r="M479" t="str">
        <f t="shared" si="24"/>
        <v>good boking</v>
      </c>
    </row>
    <row r="480" spans="1:13" ht="15" thickBot="1" x14ac:dyDescent="0.35">
      <c r="A480" s="2">
        <v>478</v>
      </c>
      <c r="B480" s="2">
        <v>479</v>
      </c>
      <c r="C480" s="4">
        <v>40564</v>
      </c>
      <c r="D480" s="2">
        <v>4.5499999999999999E-2</v>
      </c>
      <c r="E480" s="13">
        <v>0.38</v>
      </c>
      <c r="F480" s="2">
        <v>0.32840000000000003</v>
      </c>
      <c r="G480" s="2">
        <v>0</v>
      </c>
      <c r="H480" s="2">
        <v>27</v>
      </c>
      <c r="I480" s="2">
        <v>27</v>
      </c>
      <c r="J480" t="str">
        <f t="shared" si="22"/>
        <v>0.04</v>
      </c>
      <c r="K480" t="str" cm="1">
        <f t="array" ref="K480">_xlfn.IFS(E480&gt;55%,"higher humidity",E480&gt;=35%,"medium humidity",E480&lt;35%,"lower humidity")</f>
        <v>medium humidity</v>
      </c>
      <c r="L480">
        <f t="shared" si="23"/>
        <v>6</v>
      </c>
      <c r="M480" t="str">
        <f t="shared" si="24"/>
        <v>Bad booking</v>
      </c>
    </row>
    <row r="481" spans="1:13" ht="15" thickBot="1" x14ac:dyDescent="0.35">
      <c r="A481" s="2">
        <v>479</v>
      </c>
      <c r="B481" s="2">
        <v>480</v>
      </c>
      <c r="C481" s="4">
        <v>40565</v>
      </c>
      <c r="D481" s="2">
        <v>3.0300000000000001E-2</v>
      </c>
      <c r="E481" s="13">
        <v>0.45</v>
      </c>
      <c r="F481" s="2">
        <v>0.25369999999999998</v>
      </c>
      <c r="G481" s="2">
        <v>0</v>
      </c>
      <c r="H481" s="2">
        <v>13</v>
      </c>
      <c r="I481" s="2">
        <v>13</v>
      </c>
      <c r="J481" t="str">
        <f t="shared" si="22"/>
        <v>0.03</v>
      </c>
      <c r="K481" t="str" cm="1">
        <f t="array" ref="K481">_xlfn.IFS(E481&gt;55%,"higher humidity",E481&gt;=35%,"medium humidity",E481&lt;35%,"lower humidity")</f>
        <v>medium humidity</v>
      </c>
      <c r="L481">
        <f t="shared" si="23"/>
        <v>6</v>
      </c>
      <c r="M481" t="str">
        <f t="shared" si="24"/>
        <v>Bad booking</v>
      </c>
    </row>
    <row r="482" spans="1:13" ht="15" thickBot="1" x14ac:dyDescent="0.35">
      <c r="A482" s="2">
        <v>480</v>
      </c>
      <c r="B482" s="2">
        <v>481</v>
      </c>
      <c r="C482" s="4">
        <v>40565</v>
      </c>
      <c r="D482" s="2">
        <v>0</v>
      </c>
      <c r="E482" s="13">
        <v>0.41</v>
      </c>
      <c r="F482" s="2">
        <v>0.3881</v>
      </c>
      <c r="G482" s="2">
        <v>3</v>
      </c>
      <c r="H482" s="2">
        <v>9</v>
      </c>
      <c r="I482" s="2">
        <v>12</v>
      </c>
      <c r="J482" t="str">
        <f t="shared" si="22"/>
        <v>0</v>
      </c>
      <c r="K482" t="str" cm="1">
        <f t="array" ref="K482">_xlfn.IFS(E482&gt;55%,"higher humidity",E482&gt;=35%,"medium humidity",E482&lt;35%,"lower humidity")</f>
        <v>medium humidity</v>
      </c>
      <c r="L482">
        <f t="shared" si="23"/>
        <v>6</v>
      </c>
      <c r="M482" t="str">
        <f t="shared" si="24"/>
        <v>Bad booking</v>
      </c>
    </row>
    <row r="483" spans="1:13" ht="15" thickBot="1" x14ac:dyDescent="0.35">
      <c r="A483" s="2">
        <v>481</v>
      </c>
      <c r="B483" s="2">
        <v>482</v>
      </c>
      <c r="C483" s="4">
        <v>40565</v>
      </c>
      <c r="D483" s="2">
        <v>3.0300000000000001E-2</v>
      </c>
      <c r="E483" s="13">
        <v>0.41</v>
      </c>
      <c r="F483" s="2">
        <v>0.25369999999999998</v>
      </c>
      <c r="G483" s="2">
        <v>0</v>
      </c>
      <c r="H483" s="2">
        <v>11</v>
      </c>
      <c r="I483" s="2">
        <v>11</v>
      </c>
      <c r="J483" t="str">
        <f t="shared" si="22"/>
        <v>0.03</v>
      </c>
      <c r="K483" t="str" cm="1">
        <f t="array" ref="K483">_xlfn.IFS(E483&gt;55%,"higher humidity",E483&gt;=35%,"medium humidity",E483&lt;35%,"lower humidity")</f>
        <v>medium humidity</v>
      </c>
      <c r="L483">
        <f t="shared" si="23"/>
        <v>6</v>
      </c>
      <c r="M483" t="str">
        <f t="shared" si="24"/>
        <v>Bad booking</v>
      </c>
    </row>
    <row r="484" spans="1:13" ht="15" thickBot="1" x14ac:dyDescent="0.35">
      <c r="A484" s="2">
        <v>482</v>
      </c>
      <c r="B484" s="2">
        <v>483</v>
      </c>
      <c r="C484" s="4">
        <v>40565</v>
      </c>
      <c r="D484" s="2">
        <v>3.0300000000000001E-2</v>
      </c>
      <c r="E484" s="13">
        <v>0.41</v>
      </c>
      <c r="F484" s="2">
        <v>0.28360000000000002</v>
      </c>
      <c r="G484" s="2">
        <v>1</v>
      </c>
      <c r="H484" s="2">
        <v>6</v>
      </c>
      <c r="I484" s="2">
        <v>7</v>
      </c>
      <c r="J484" t="str">
        <f t="shared" si="22"/>
        <v>0.03</v>
      </c>
      <c r="K484" t="str" cm="1">
        <f t="array" ref="K484">_xlfn.IFS(E484&gt;55%,"higher humidity",E484&gt;=35%,"medium humidity",E484&lt;35%,"lower humidity")</f>
        <v>medium humidity</v>
      </c>
      <c r="L484">
        <f t="shared" si="23"/>
        <v>6</v>
      </c>
      <c r="M484" t="str">
        <f t="shared" si="24"/>
        <v>Bad booking</v>
      </c>
    </row>
    <row r="485" spans="1:13" ht="15" thickBot="1" x14ac:dyDescent="0.35">
      <c r="A485" s="2">
        <v>483</v>
      </c>
      <c r="B485" s="2">
        <v>484</v>
      </c>
      <c r="C485" s="4">
        <v>40565</v>
      </c>
      <c r="D485" s="2">
        <v>1.52E-2</v>
      </c>
      <c r="E485" s="13">
        <v>0.48</v>
      </c>
      <c r="F485" s="2">
        <v>0.29849999999999999</v>
      </c>
      <c r="G485" s="2">
        <v>0</v>
      </c>
      <c r="H485" s="2">
        <v>3</v>
      </c>
      <c r="I485" s="2">
        <v>3</v>
      </c>
      <c r="J485" t="str">
        <f t="shared" si="22"/>
        <v>0.01</v>
      </c>
      <c r="K485" t="str" cm="1">
        <f t="array" ref="K485">_xlfn.IFS(E485&gt;55%,"higher humidity",E485&gt;=35%,"medium humidity",E485&lt;35%,"lower humidity")</f>
        <v>medium humidity</v>
      </c>
      <c r="L485">
        <f t="shared" si="23"/>
        <v>6</v>
      </c>
      <c r="M485" t="str">
        <f t="shared" si="24"/>
        <v>Bad booking</v>
      </c>
    </row>
    <row r="486" spans="1:13" ht="15" thickBot="1" x14ac:dyDescent="0.35">
      <c r="A486" s="2">
        <v>484</v>
      </c>
      <c r="B486" s="2">
        <v>485</v>
      </c>
      <c r="C486" s="4">
        <v>40565</v>
      </c>
      <c r="D486" s="2">
        <v>3.0300000000000001E-2</v>
      </c>
      <c r="E486" s="13">
        <v>0.44</v>
      </c>
      <c r="F486" s="2">
        <v>0.22389999999999999</v>
      </c>
      <c r="G486" s="2">
        <v>0</v>
      </c>
      <c r="H486" s="2">
        <v>2</v>
      </c>
      <c r="I486" s="2">
        <v>2</v>
      </c>
      <c r="J486" t="str">
        <f t="shared" si="22"/>
        <v>0.03</v>
      </c>
      <c r="K486" t="str" cm="1">
        <f t="array" ref="K486">_xlfn.IFS(E486&gt;55%,"higher humidity",E486&gt;=35%,"medium humidity",E486&lt;35%,"lower humidity")</f>
        <v>medium humidity</v>
      </c>
      <c r="L486">
        <f t="shared" si="23"/>
        <v>6</v>
      </c>
      <c r="M486" t="str">
        <f t="shared" si="24"/>
        <v>Bad booking</v>
      </c>
    </row>
    <row r="487" spans="1:13" ht="15" thickBot="1" x14ac:dyDescent="0.35">
      <c r="A487" s="2">
        <v>485</v>
      </c>
      <c r="B487" s="2">
        <v>486</v>
      </c>
      <c r="C487" s="4">
        <v>40565</v>
      </c>
      <c r="D487" s="2">
        <v>1.52E-2</v>
      </c>
      <c r="E487" s="13">
        <v>0.44</v>
      </c>
      <c r="F487" s="2">
        <v>0.28360000000000002</v>
      </c>
      <c r="G487" s="2">
        <v>0</v>
      </c>
      <c r="H487" s="2">
        <v>8</v>
      </c>
      <c r="I487" s="2">
        <v>8</v>
      </c>
      <c r="J487" t="str">
        <f t="shared" si="22"/>
        <v>0.01</v>
      </c>
      <c r="K487" t="str" cm="1">
        <f t="array" ref="K487">_xlfn.IFS(E487&gt;55%,"higher humidity",E487&gt;=35%,"medium humidity",E487&lt;35%,"lower humidity")</f>
        <v>medium humidity</v>
      </c>
      <c r="L487">
        <f t="shared" si="23"/>
        <v>6</v>
      </c>
      <c r="M487" t="str">
        <f t="shared" si="24"/>
        <v>Bad booking</v>
      </c>
    </row>
    <row r="488" spans="1:13" ht="15" thickBot="1" x14ac:dyDescent="0.35">
      <c r="A488" s="2">
        <v>486</v>
      </c>
      <c r="B488" s="2">
        <v>487</v>
      </c>
      <c r="C488" s="4">
        <v>40565</v>
      </c>
      <c r="D488" s="2">
        <v>0</v>
      </c>
      <c r="E488" s="13">
        <v>0.44</v>
      </c>
      <c r="F488" s="2">
        <v>0.32840000000000003</v>
      </c>
      <c r="G488" s="2">
        <v>1</v>
      </c>
      <c r="H488" s="2">
        <v>26</v>
      </c>
      <c r="I488" s="2">
        <v>27</v>
      </c>
      <c r="J488" t="str">
        <f t="shared" si="22"/>
        <v>0</v>
      </c>
      <c r="K488" t="str" cm="1">
        <f t="array" ref="K488">_xlfn.IFS(E488&gt;55%,"higher humidity",E488&gt;=35%,"medium humidity",E488&lt;35%,"lower humidity")</f>
        <v>medium humidity</v>
      </c>
      <c r="L488">
        <f t="shared" si="23"/>
        <v>6</v>
      </c>
      <c r="M488" t="str">
        <f t="shared" si="24"/>
        <v>Bad booking</v>
      </c>
    </row>
    <row r="489" spans="1:13" ht="15" thickBot="1" x14ac:dyDescent="0.35">
      <c r="A489" s="2">
        <v>487</v>
      </c>
      <c r="B489" s="2">
        <v>488</v>
      </c>
      <c r="C489" s="4">
        <v>40565</v>
      </c>
      <c r="D489" s="2">
        <v>3.0300000000000001E-2</v>
      </c>
      <c r="E489" s="13">
        <v>0.41</v>
      </c>
      <c r="F489" s="2">
        <v>0.25369999999999998</v>
      </c>
      <c r="G489" s="2">
        <v>3</v>
      </c>
      <c r="H489" s="2">
        <v>37</v>
      </c>
      <c r="I489" s="2">
        <v>40</v>
      </c>
      <c r="J489" t="str">
        <f t="shared" si="22"/>
        <v>0.03</v>
      </c>
      <c r="K489" t="str" cm="1">
        <f t="array" ref="K489">_xlfn.IFS(E489&gt;55%,"higher humidity",E489&gt;=35%,"medium humidity",E489&lt;35%,"lower humidity")</f>
        <v>medium humidity</v>
      </c>
      <c r="L489">
        <f t="shared" si="23"/>
        <v>6</v>
      </c>
      <c r="M489" t="str">
        <f t="shared" si="24"/>
        <v>good boking</v>
      </c>
    </row>
    <row r="490" spans="1:13" ht="15" thickBot="1" x14ac:dyDescent="0.35">
      <c r="A490" s="2">
        <v>488</v>
      </c>
      <c r="B490" s="2">
        <v>489</v>
      </c>
      <c r="C490" s="4">
        <v>40565</v>
      </c>
      <c r="D490" s="2">
        <v>6.0600000000000001E-2</v>
      </c>
      <c r="E490" s="13">
        <v>0.41</v>
      </c>
      <c r="F490" s="2">
        <v>0.16420000000000001</v>
      </c>
      <c r="G490" s="2">
        <v>3</v>
      </c>
      <c r="H490" s="2">
        <v>50</v>
      </c>
      <c r="I490" s="2">
        <v>53</v>
      </c>
      <c r="J490" t="str">
        <f t="shared" si="22"/>
        <v>0.06</v>
      </c>
      <c r="K490" t="str" cm="1">
        <f t="array" ref="K490">_xlfn.IFS(E490&gt;55%,"higher humidity",E490&gt;=35%,"medium humidity",E490&lt;35%,"lower humidity")</f>
        <v>medium humidity</v>
      </c>
      <c r="L490">
        <f t="shared" si="23"/>
        <v>6</v>
      </c>
      <c r="M490" t="str">
        <f t="shared" si="24"/>
        <v>good boking</v>
      </c>
    </row>
    <row r="491" spans="1:13" ht="15" thickBot="1" x14ac:dyDescent="0.35">
      <c r="A491" s="2">
        <v>489</v>
      </c>
      <c r="B491" s="2">
        <v>490</v>
      </c>
      <c r="C491" s="4">
        <v>40565</v>
      </c>
      <c r="D491" s="2">
        <v>7.5800000000000006E-2</v>
      </c>
      <c r="E491" s="13">
        <v>0.38</v>
      </c>
      <c r="F491" s="2">
        <v>0.1343</v>
      </c>
      <c r="G491" s="2">
        <v>4</v>
      </c>
      <c r="H491" s="2">
        <v>59</v>
      </c>
      <c r="I491" s="2">
        <v>63</v>
      </c>
      <c r="J491" t="str">
        <f t="shared" si="22"/>
        <v>0.07</v>
      </c>
      <c r="K491" t="str" cm="1">
        <f t="array" ref="K491">_xlfn.IFS(E491&gt;55%,"higher humidity",E491&gt;=35%,"medium humidity",E491&lt;35%,"lower humidity")</f>
        <v>medium humidity</v>
      </c>
      <c r="L491">
        <f t="shared" si="23"/>
        <v>6</v>
      </c>
      <c r="M491" t="str">
        <f t="shared" si="24"/>
        <v>good boking</v>
      </c>
    </row>
    <row r="492" spans="1:13" ht="15" thickBot="1" x14ac:dyDescent="0.35">
      <c r="A492" s="2">
        <v>490</v>
      </c>
      <c r="B492" s="2">
        <v>491</v>
      </c>
      <c r="C492" s="4">
        <v>40565</v>
      </c>
      <c r="D492" s="2">
        <v>0.1061</v>
      </c>
      <c r="E492" s="13">
        <v>0.38</v>
      </c>
      <c r="F492" s="2">
        <v>0.1045</v>
      </c>
      <c r="G492" s="2">
        <v>10</v>
      </c>
      <c r="H492" s="2">
        <v>60</v>
      </c>
      <c r="I492" s="2">
        <v>70</v>
      </c>
      <c r="J492" t="str">
        <f t="shared" si="22"/>
        <v>0.10</v>
      </c>
      <c r="K492" t="str" cm="1">
        <f t="array" ref="K492">_xlfn.IFS(E492&gt;55%,"higher humidity",E492&gt;=35%,"medium humidity",E492&lt;35%,"lower humidity")</f>
        <v>medium humidity</v>
      </c>
      <c r="L492">
        <f t="shared" si="23"/>
        <v>6</v>
      </c>
      <c r="M492" t="str">
        <f t="shared" si="24"/>
        <v>good boking</v>
      </c>
    </row>
    <row r="493" spans="1:13" ht="15" thickBot="1" x14ac:dyDescent="0.35">
      <c r="A493" s="2">
        <v>491</v>
      </c>
      <c r="B493" s="2">
        <v>492</v>
      </c>
      <c r="C493" s="4">
        <v>40565</v>
      </c>
      <c r="D493" s="2">
        <v>0.16669999999999999</v>
      </c>
      <c r="E493" s="13">
        <v>0.35</v>
      </c>
      <c r="F493" s="2">
        <v>0</v>
      </c>
      <c r="G493" s="2">
        <v>12</v>
      </c>
      <c r="H493" s="2">
        <v>72</v>
      </c>
      <c r="I493" s="2">
        <v>84</v>
      </c>
      <c r="J493" t="str">
        <f t="shared" si="22"/>
        <v>0.16</v>
      </c>
      <c r="K493" t="str" cm="1">
        <f t="array" ref="K493">_xlfn.IFS(E493&gt;55%,"higher humidity",E493&gt;=35%,"medium humidity",E493&lt;35%,"lower humidity")</f>
        <v>medium humidity</v>
      </c>
      <c r="L493">
        <f t="shared" si="23"/>
        <v>1</v>
      </c>
      <c r="M493" t="str">
        <f t="shared" si="24"/>
        <v>good boking</v>
      </c>
    </row>
    <row r="494" spans="1:13" ht="15" thickBot="1" x14ac:dyDescent="0.35">
      <c r="A494" s="2">
        <v>492</v>
      </c>
      <c r="B494" s="2">
        <v>493</v>
      </c>
      <c r="C494" s="4">
        <v>40565</v>
      </c>
      <c r="D494" s="2">
        <v>0.13639999999999999</v>
      </c>
      <c r="E494" s="13">
        <v>0.33</v>
      </c>
      <c r="F494" s="2">
        <v>0.1045</v>
      </c>
      <c r="G494" s="2">
        <v>11</v>
      </c>
      <c r="H494" s="2">
        <v>64</v>
      </c>
      <c r="I494" s="2">
        <v>75</v>
      </c>
      <c r="J494" t="str">
        <f t="shared" si="22"/>
        <v>0.13</v>
      </c>
      <c r="K494" t="str" cm="1">
        <f t="array" ref="K494">_xlfn.IFS(E494&gt;55%,"higher humidity",E494&gt;=35%,"medium humidity",E494&lt;35%,"lower humidity")</f>
        <v>lower humidity</v>
      </c>
      <c r="L494">
        <f t="shared" si="23"/>
        <v>6</v>
      </c>
      <c r="M494" t="str">
        <f t="shared" si="24"/>
        <v>good boking</v>
      </c>
    </row>
    <row r="495" spans="1:13" ht="15" thickBot="1" x14ac:dyDescent="0.35">
      <c r="A495" s="2">
        <v>493</v>
      </c>
      <c r="B495" s="2">
        <v>494</v>
      </c>
      <c r="C495" s="4">
        <v>40565</v>
      </c>
      <c r="D495" s="2">
        <v>0.1515</v>
      </c>
      <c r="E495" s="13">
        <v>0.28000000000000003</v>
      </c>
      <c r="F495" s="2">
        <v>0</v>
      </c>
      <c r="G495" s="2">
        <v>10</v>
      </c>
      <c r="H495" s="2">
        <v>93</v>
      </c>
      <c r="I495" s="2">
        <v>103</v>
      </c>
      <c r="J495" t="str">
        <f t="shared" si="22"/>
        <v>0.15</v>
      </c>
      <c r="K495" t="str" cm="1">
        <f t="array" ref="K495">_xlfn.IFS(E495&gt;55%,"higher humidity",E495&gt;=35%,"medium humidity",E495&lt;35%,"lower humidity")</f>
        <v>lower humidity</v>
      </c>
      <c r="L495">
        <f t="shared" si="23"/>
        <v>1</v>
      </c>
      <c r="M495" t="str">
        <f t="shared" si="24"/>
        <v>good boking</v>
      </c>
    </row>
    <row r="496" spans="1:13" ht="15" thickBot="1" x14ac:dyDescent="0.35">
      <c r="A496" s="2">
        <v>494</v>
      </c>
      <c r="B496" s="2">
        <v>495</v>
      </c>
      <c r="C496" s="4">
        <v>40565</v>
      </c>
      <c r="D496" s="2">
        <v>0.13639999999999999</v>
      </c>
      <c r="E496" s="13">
        <v>0.28000000000000003</v>
      </c>
      <c r="F496" s="2">
        <v>0.19400000000000001</v>
      </c>
      <c r="G496" s="2">
        <v>11</v>
      </c>
      <c r="H496" s="2">
        <v>72</v>
      </c>
      <c r="I496" s="2">
        <v>83</v>
      </c>
      <c r="J496" t="str">
        <f t="shared" si="22"/>
        <v>0.13</v>
      </c>
      <c r="K496" t="str" cm="1">
        <f t="array" ref="K496">_xlfn.IFS(E496&gt;55%,"higher humidity",E496&gt;=35%,"medium humidity",E496&lt;35%,"lower humidity")</f>
        <v>lower humidity</v>
      </c>
      <c r="L496">
        <f t="shared" si="23"/>
        <v>5</v>
      </c>
      <c r="M496" t="str">
        <f t="shared" si="24"/>
        <v>good boking</v>
      </c>
    </row>
    <row r="497" spans="1:13" ht="15" thickBot="1" x14ac:dyDescent="0.35">
      <c r="A497" s="2">
        <v>495</v>
      </c>
      <c r="B497" s="2">
        <v>496</v>
      </c>
      <c r="C497" s="4">
        <v>40565</v>
      </c>
      <c r="D497" s="2">
        <v>0.19700000000000001</v>
      </c>
      <c r="E497" s="13">
        <v>0.28000000000000003</v>
      </c>
      <c r="F497" s="2">
        <v>0</v>
      </c>
      <c r="G497" s="2">
        <v>8</v>
      </c>
      <c r="H497" s="2">
        <v>59</v>
      </c>
      <c r="I497" s="2">
        <v>67</v>
      </c>
      <c r="J497" t="str">
        <f t="shared" si="22"/>
        <v>0.19</v>
      </c>
      <c r="K497" t="str" cm="1">
        <f t="array" ref="K497">_xlfn.IFS(E497&gt;55%,"higher humidity",E497&gt;=35%,"medium humidity",E497&lt;35%,"lower humidity")</f>
        <v>lower humidity</v>
      </c>
      <c r="L497">
        <f t="shared" si="23"/>
        <v>1</v>
      </c>
      <c r="M497" t="str">
        <f t="shared" si="24"/>
        <v>good boking</v>
      </c>
    </row>
    <row r="498" spans="1:13" ht="15" thickBot="1" x14ac:dyDescent="0.35">
      <c r="A498" s="2">
        <v>496</v>
      </c>
      <c r="B498" s="2">
        <v>497</v>
      </c>
      <c r="C498" s="4">
        <v>40565</v>
      </c>
      <c r="D498" s="2">
        <v>9.0899999999999995E-2</v>
      </c>
      <c r="E498" s="13">
        <v>0.35</v>
      </c>
      <c r="F498" s="2">
        <v>0.19400000000000001</v>
      </c>
      <c r="G498" s="2">
        <v>0</v>
      </c>
      <c r="H498" s="2">
        <v>54</v>
      </c>
      <c r="I498" s="2">
        <v>54</v>
      </c>
      <c r="J498" t="str">
        <f t="shared" si="22"/>
        <v>0.09</v>
      </c>
      <c r="K498" t="str" cm="1">
        <f t="array" ref="K498">_xlfn.IFS(E498&gt;55%,"higher humidity",E498&gt;=35%,"medium humidity",E498&lt;35%,"lower humidity")</f>
        <v>medium humidity</v>
      </c>
      <c r="L498">
        <f t="shared" si="23"/>
        <v>5</v>
      </c>
      <c r="M498" t="str">
        <f t="shared" si="24"/>
        <v>good boking</v>
      </c>
    </row>
    <row r="499" spans="1:13" ht="15" thickBot="1" x14ac:dyDescent="0.35">
      <c r="A499" s="2">
        <v>497</v>
      </c>
      <c r="B499" s="2">
        <v>498</v>
      </c>
      <c r="C499" s="4">
        <v>40565</v>
      </c>
      <c r="D499" s="2">
        <v>0.1061</v>
      </c>
      <c r="E499" s="13">
        <v>0.35</v>
      </c>
      <c r="F499" s="2">
        <v>0.1343</v>
      </c>
      <c r="G499" s="2">
        <v>6</v>
      </c>
      <c r="H499" s="2">
        <v>53</v>
      </c>
      <c r="I499" s="2">
        <v>59</v>
      </c>
      <c r="J499" t="str">
        <f t="shared" si="22"/>
        <v>0.10</v>
      </c>
      <c r="K499" t="str" cm="1">
        <f t="array" ref="K499">_xlfn.IFS(E499&gt;55%,"higher humidity",E499&gt;=35%,"medium humidity",E499&lt;35%,"lower humidity")</f>
        <v>medium humidity</v>
      </c>
      <c r="L499">
        <f t="shared" si="23"/>
        <v>6</v>
      </c>
      <c r="M499" t="str">
        <f t="shared" si="24"/>
        <v>good boking</v>
      </c>
    </row>
    <row r="500" spans="1:13" ht="15" thickBot="1" x14ac:dyDescent="0.35">
      <c r="A500" s="2">
        <v>498</v>
      </c>
      <c r="B500" s="2">
        <v>499</v>
      </c>
      <c r="C500" s="4">
        <v>40565</v>
      </c>
      <c r="D500" s="2">
        <v>7.5800000000000006E-2</v>
      </c>
      <c r="E500" s="13">
        <v>0.45</v>
      </c>
      <c r="F500" s="2">
        <v>0.16420000000000001</v>
      </c>
      <c r="G500" s="2">
        <v>1</v>
      </c>
      <c r="H500" s="2">
        <v>44</v>
      </c>
      <c r="I500" s="2">
        <v>45</v>
      </c>
      <c r="J500" t="str">
        <f t="shared" si="22"/>
        <v>0.07</v>
      </c>
      <c r="K500" t="str" cm="1">
        <f t="array" ref="K500">_xlfn.IFS(E500&gt;55%,"higher humidity",E500&gt;=35%,"medium humidity",E500&lt;35%,"lower humidity")</f>
        <v>medium humidity</v>
      </c>
      <c r="L500">
        <f t="shared" si="23"/>
        <v>6</v>
      </c>
      <c r="M500" t="str">
        <f t="shared" si="24"/>
        <v>good boking</v>
      </c>
    </row>
    <row r="501" spans="1:13" ht="15" thickBot="1" x14ac:dyDescent="0.35">
      <c r="A501" s="2">
        <v>499</v>
      </c>
      <c r="B501" s="2">
        <v>500</v>
      </c>
      <c r="C501" s="4">
        <v>40565</v>
      </c>
      <c r="D501" s="2">
        <v>0.1061</v>
      </c>
      <c r="E501" s="13">
        <v>0.41</v>
      </c>
      <c r="F501" s="2">
        <v>8.9599999999999999E-2</v>
      </c>
      <c r="G501" s="2">
        <v>0</v>
      </c>
      <c r="H501" s="2">
        <v>39</v>
      </c>
      <c r="I501" s="2">
        <v>39</v>
      </c>
      <c r="J501" t="str">
        <f t="shared" si="22"/>
        <v>0.10</v>
      </c>
      <c r="K501" t="str" cm="1">
        <f t="array" ref="K501">_xlfn.IFS(E501&gt;55%,"higher humidity",E501&gt;=35%,"medium humidity",E501&lt;35%,"lower humidity")</f>
        <v>medium humidity</v>
      </c>
      <c r="L501">
        <f t="shared" si="23"/>
        <v>6</v>
      </c>
      <c r="M501" t="str">
        <f t="shared" si="24"/>
        <v>good boking</v>
      </c>
    </row>
    <row r="502" spans="1:13" ht="15" thickBot="1" x14ac:dyDescent="0.35">
      <c r="A502" s="2">
        <v>500</v>
      </c>
      <c r="B502" s="2">
        <v>501</v>
      </c>
      <c r="C502" s="4">
        <v>40565</v>
      </c>
      <c r="D502" s="2">
        <v>0.1515</v>
      </c>
      <c r="E502" s="13">
        <v>0.49</v>
      </c>
      <c r="F502" s="2">
        <v>0</v>
      </c>
      <c r="G502" s="2">
        <v>7</v>
      </c>
      <c r="H502" s="2">
        <v>23</v>
      </c>
      <c r="I502" s="2">
        <v>30</v>
      </c>
      <c r="J502" t="str">
        <f t="shared" si="22"/>
        <v>0.15</v>
      </c>
      <c r="K502" t="str" cm="1">
        <f t="array" ref="K502">_xlfn.IFS(E502&gt;55%,"higher humidity",E502&gt;=35%,"medium humidity",E502&lt;35%,"lower humidity")</f>
        <v>medium humidity</v>
      </c>
      <c r="L502">
        <f t="shared" si="23"/>
        <v>1</v>
      </c>
      <c r="M502" t="str">
        <f t="shared" si="24"/>
        <v>Bad booking</v>
      </c>
    </row>
    <row r="503" spans="1:13" ht="15" thickBot="1" x14ac:dyDescent="0.35">
      <c r="A503" s="2">
        <v>501</v>
      </c>
      <c r="B503" s="2">
        <v>502</v>
      </c>
      <c r="C503" s="4">
        <v>40565</v>
      </c>
      <c r="D503" s="2">
        <v>7.5800000000000006E-2</v>
      </c>
      <c r="E503" s="13">
        <v>0.56999999999999995</v>
      </c>
      <c r="F503" s="2">
        <v>0.1045</v>
      </c>
      <c r="G503" s="2">
        <v>2</v>
      </c>
      <c r="H503" s="2">
        <v>31</v>
      </c>
      <c r="I503" s="2">
        <v>33</v>
      </c>
      <c r="J503" t="str">
        <f t="shared" si="22"/>
        <v>0.07</v>
      </c>
      <c r="K503" t="str" cm="1">
        <f t="array" ref="K503">_xlfn.IFS(E503&gt;55%,"higher humidity",E503&gt;=35%,"medium humidity",E503&lt;35%,"lower humidity")</f>
        <v>higher humidity</v>
      </c>
      <c r="L503">
        <f t="shared" si="23"/>
        <v>6</v>
      </c>
      <c r="M503" t="str">
        <f t="shared" si="24"/>
        <v>good boking</v>
      </c>
    </row>
    <row r="504" spans="1:13" ht="15" thickBot="1" x14ac:dyDescent="0.35">
      <c r="A504" s="2">
        <v>502</v>
      </c>
      <c r="B504" s="2">
        <v>503</v>
      </c>
      <c r="C504" s="4">
        <v>40566</v>
      </c>
      <c r="D504" s="2">
        <v>7.5800000000000006E-2</v>
      </c>
      <c r="E504" s="13">
        <v>0.56999999999999995</v>
      </c>
      <c r="F504" s="2">
        <v>0.1045</v>
      </c>
      <c r="G504" s="2">
        <v>2</v>
      </c>
      <c r="H504" s="2">
        <v>20</v>
      </c>
      <c r="I504" s="2">
        <v>22</v>
      </c>
      <c r="J504" t="str">
        <f t="shared" si="22"/>
        <v>0.07</v>
      </c>
      <c r="K504" t="str" cm="1">
        <f t="array" ref="K504">_xlfn.IFS(E504&gt;55%,"higher humidity",E504&gt;=35%,"medium humidity",E504&lt;35%,"lower humidity")</f>
        <v>higher humidity</v>
      </c>
      <c r="L504">
        <f t="shared" si="23"/>
        <v>6</v>
      </c>
      <c r="M504" t="str">
        <f t="shared" si="24"/>
        <v>Bad booking</v>
      </c>
    </row>
    <row r="505" spans="1:13" ht="15" thickBot="1" x14ac:dyDescent="0.35">
      <c r="A505" s="2">
        <v>503</v>
      </c>
      <c r="B505" s="2">
        <v>504</v>
      </c>
      <c r="C505" s="4">
        <v>40566</v>
      </c>
      <c r="D505" s="2">
        <v>7.5800000000000006E-2</v>
      </c>
      <c r="E505" s="13">
        <v>0.56999999999999995</v>
      </c>
      <c r="F505" s="2">
        <v>0.1045</v>
      </c>
      <c r="G505" s="2">
        <v>1</v>
      </c>
      <c r="H505" s="2">
        <v>12</v>
      </c>
      <c r="I505" s="2">
        <v>13</v>
      </c>
      <c r="J505" t="str">
        <f t="shared" si="22"/>
        <v>0.07</v>
      </c>
      <c r="K505" t="str" cm="1">
        <f t="array" ref="K505">_xlfn.IFS(E505&gt;55%,"higher humidity",E505&gt;=35%,"medium humidity",E505&lt;35%,"lower humidity")</f>
        <v>higher humidity</v>
      </c>
      <c r="L505">
        <f t="shared" si="23"/>
        <v>6</v>
      </c>
      <c r="M505" t="str">
        <f t="shared" si="24"/>
        <v>Bad booking</v>
      </c>
    </row>
    <row r="506" spans="1:13" ht="15" thickBot="1" x14ac:dyDescent="0.35">
      <c r="A506" s="2">
        <v>504</v>
      </c>
      <c r="B506" s="2">
        <v>505</v>
      </c>
      <c r="C506" s="4">
        <v>40566</v>
      </c>
      <c r="D506" s="2">
        <v>6.0600000000000001E-2</v>
      </c>
      <c r="E506" s="13">
        <v>0.62</v>
      </c>
      <c r="F506" s="2">
        <v>0.1343</v>
      </c>
      <c r="G506" s="2">
        <v>3</v>
      </c>
      <c r="H506" s="2">
        <v>15</v>
      </c>
      <c r="I506" s="2">
        <v>18</v>
      </c>
      <c r="J506" t="str">
        <f t="shared" si="22"/>
        <v>0.06</v>
      </c>
      <c r="K506" t="str" cm="1">
        <f t="array" ref="K506">_xlfn.IFS(E506&gt;55%,"higher humidity",E506&gt;=35%,"medium humidity",E506&lt;35%,"lower humidity")</f>
        <v>higher humidity</v>
      </c>
      <c r="L506">
        <f t="shared" si="23"/>
        <v>6</v>
      </c>
      <c r="M506" t="str">
        <f t="shared" si="24"/>
        <v>Bad booking</v>
      </c>
    </row>
    <row r="507" spans="1:13" ht="15" thickBot="1" x14ac:dyDescent="0.35">
      <c r="A507" s="2">
        <v>505</v>
      </c>
      <c r="B507" s="2">
        <v>506</v>
      </c>
      <c r="C507" s="4">
        <v>40566</v>
      </c>
      <c r="D507" s="2">
        <v>6.0600000000000001E-2</v>
      </c>
      <c r="E507" s="13">
        <v>0.62</v>
      </c>
      <c r="F507" s="2">
        <v>0.1343</v>
      </c>
      <c r="G507" s="2">
        <v>1</v>
      </c>
      <c r="H507" s="2">
        <v>4</v>
      </c>
      <c r="I507" s="2">
        <v>5</v>
      </c>
      <c r="J507" t="str">
        <f t="shared" si="22"/>
        <v>0.06</v>
      </c>
      <c r="K507" t="str" cm="1">
        <f t="array" ref="K507">_xlfn.IFS(E507&gt;55%,"higher humidity",E507&gt;=35%,"medium humidity",E507&lt;35%,"lower humidity")</f>
        <v>higher humidity</v>
      </c>
      <c r="L507">
        <f t="shared" si="23"/>
        <v>6</v>
      </c>
      <c r="M507" t="str">
        <f t="shared" si="24"/>
        <v>Bad booking</v>
      </c>
    </row>
    <row r="508" spans="1:13" ht="15" thickBot="1" x14ac:dyDescent="0.35">
      <c r="A508" s="2">
        <v>506</v>
      </c>
      <c r="B508" s="2">
        <v>507</v>
      </c>
      <c r="C508" s="4">
        <v>40566</v>
      </c>
      <c r="D508" s="2">
        <v>7.5800000000000006E-2</v>
      </c>
      <c r="E508" s="13">
        <v>0.56999999999999995</v>
      </c>
      <c r="F508" s="2">
        <v>0.1045</v>
      </c>
      <c r="G508" s="2">
        <v>0</v>
      </c>
      <c r="H508" s="2">
        <v>3</v>
      </c>
      <c r="I508" s="2">
        <v>3</v>
      </c>
      <c r="J508" t="str">
        <f t="shared" si="22"/>
        <v>0.07</v>
      </c>
      <c r="K508" t="str" cm="1">
        <f t="array" ref="K508">_xlfn.IFS(E508&gt;55%,"higher humidity",E508&gt;=35%,"medium humidity",E508&lt;35%,"lower humidity")</f>
        <v>higher humidity</v>
      </c>
      <c r="L508">
        <f t="shared" si="23"/>
        <v>6</v>
      </c>
      <c r="M508" t="str">
        <f t="shared" si="24"/>
        <v>Bad booking</v>
      </c>
    </row>
    <row r="509" spans="1:13" ht="15" thickBot="1" x14ac:dyDescent="0.35">
      <c r="A509" s="2">
        <v>507</v>
      </c>
      <c r="B509" s="2">
        <v>508</v>
      </c>
      <c r="C509" s="4">
        <v>40566</v>
      </c>
      <c r="D509" s="2">
        <v>7.5800000000000006E-2</v>
      </c>
      <c r="E509" s="13">
        <v>0.56999999999999995</v>
      </c>
      <c r="F509" s="2">
        <v>0.1045</v>
      </c>
      <c r="G509" s="2">
        <v>0</v>
      </c>
      <c r="H509" s="2">
        <v>1</v>
      </c>
      <c r="I509" s="2">
        <v>1</v>
      </c>
      <c r="J509" t="str">
        <f t="shared" si="22"/>
        <v>0.07</v>
      </c>
      <c r="K509" t="str" cm="1">
        <f t="array" ref="K509">_xlfn.IFS(E509&gt;55%,"higher humidity",E509&gt;=35%,"medium humidity",E509&lt;35%,"lower humidity")</f>
        <v>higher humidity</v>
      </c>
      <c r="L509">
        <f t="shared" si="23"/>
        <v>6</v>
      </c>
      <c r="M509" t="str">
        <f t="shared" si="24"/>
        <v>Bad booking</v>
      </c>
    </row>
    <row r="510" spans="1:13" ht="15" thickBot="1" x14ac:dyDescent="0.35">
      <c r="A510" s="2">
        <v>508</v>
      </c>
      <c r="B510" s="2">
        <v>509</v>
      </c>
      <c r="C510" s="4">
        <v>40566</v>
      </c>
      <c r="D510" s="2">
        <v>0.1061</v>
      </c>
      <c r="E510" s="13">
        <v>0.57999999999999996</v>
      </c>
      <c r="F510" s="2">
        <v>0.16420000000000001</v>
      </c>
      <c r="G510" s="2">
        <v>1</v>
      </c>
      <c r="H510" s="2">
        <v>1</v>
      </c>
      <c r="I510" s="2">
        <v>2</v>
      </c>
      <c r="J510" t="str">
        <f t="shared" si="22"/>
        <v>0.10</v>
      </c>
      <c r="K510" t="str" cm="1">
        <f t="array" ref="K510">_xlfn.IFS(E510&gt;55%,"higher humidity",E510&gt;=35%,"medium humidity",E510&lt;35%,"lower humidity")</f>
        <v>higher humidity</v>
      </c>
      <c r="L510">
        <f t="shared" si="23"/>
        <v>6</v>
      </c>
      <c r="M510" t="str">
        <f t="shared" si="24"/>
        <v>Bad booking</v>
      </c>
    </row>
    <row r="511" spans="1:13" ht="15" thickBot="1" x14ac:dyDescent="0.35">
      <c r="A511" s="2">
        <v>509</v>
      </c>
      <c r="B511" s="2">
        <v>510</v>
      </c>
      <c r="C511" s="4">
        <v>40566</v>
      </c>
      <c r="D511" s="2">
        <v>7.5800000000000006E-2</v>
      </c>
      <c r="E511" s="13">
        <v>0.62</v>
      </c>
      <c r="F511" s="2">
        <v>0.16420000000000001</v>
      </c>
      <c r="G511" s="2">
        <v>2</v>
      </c>
      <c r="H511" s="2">
        <v>17</v>
      </c>
      <c r="I511" s="2">
        <v>19</v>
      </c>
      <c r="J511" t="str">
        <f t="shared" si="22"/>
        <v>0.07</v>
      </c>
      <c r="K511" t="str" cm="1">
        <f t="array" ref="K511">_xlfn.IFS(E511&gt;55%,"higher humidity",E511&gt;=35%,"medium humidity",E511&lt;35%,"lower humidity")</f>
        <v>higher humidity</v>
      </c>
      <c r="L511">
        <f t="shared" si="23"/>
        <v>6</v>
      </c>
      <c r="M511" t="str">
        <f t="shared" si="24"/>
        <v>Bad booking</v>
      </c>
    </row>
    <row r="512" spans="1:13" ht="15" thickBot="1" x14ac:dyDescent="0.35">
      <c r="A512" s="2">
        <v>510</v>
      </c>
      <c r="B512" s="2">
        <v>511</v>
      </c>
      <c r="C512" s="4">
        <v>40566</v>
      </c>
      <c r="D512" s="2">
        <v>7.5800000000000006E-2</v>
      </c>
      <c r="E512" s="13">
        <v>0.54</v>
      </c>
      <c r="F512" s="2">
        <v>0.35820000000000002</v>
      </c>
      <c r="G512" s="2">
        <v>3</v>
      </c>
      <c r="H512" s="2">
        <v>25</v>
      </c>
      <c r="I512" s="2">
        <v>28</v>
      </c>
      <c r="J512" t="str">
        <f t="shared" si="22"/>
        <v>0.07</v>
      </c>
      <c r="K512" t="str" cm="1">
        <f t="array" ref="K512">_xlfn.IFS(E512&gt;55%,"higher humidity",E512&gt;=35%,"medium humidity",E512&lt;35%,"lower humidity")</f>
        <v>medium humidity</v>
      </c>
      <c r="L512">
        <f t="shared" si="23"/>
        <v>6</v>
      </c>
      <c r="M512" t="str">
        <f t="shared" si="24"/>
        <v>Bad booking</v>
      </c>
    </row>
    <row r="513" spans="1:13" ht="15" thickBot="1" x14ac:dyDescent="0.35">
      <c r="A513" s="2">
        <v>511</v>
      </c>
      <c r="B513" s="2">
        <v>512</v>
      </c>
      <c r="C513" s="4">
        <v>40566</v>
      </c>
      <c r="D513" s="2">
        <v>0.1061</v>
      </c>
      <c r="E513" s="13">
        <v>0.46</v>
      </c>
      <c r="F513" s="2">
        <v>0.3881</v>
      </c>
      <c r="G513" s="2">
        <v>7</v>
      </c>
      <c r="H513" s="2">
        <v>51</v>
      </c>
      <c r="I513" s="2">
        <v>58</v>
      </c>
      <c r="J513" t="str">
        <f t="shared" si="22"/>
        <v>0.10</v>
      </c>
      <c r="K513" t="str" cm="1">
        <f t="array" ref="K513">_xlfn.IFS(E513&gt;55%,"higher humidity",E513&gt;=35%,"medium humidity",E513&lt;35%,"lower humidity")</f>
        <v>medium humidity</v>
      </c>
      <c r="L513">
        <f t="shared" si="23"/>
        <v>6</v>
      </c>
      <c r="M513" t="str">
        <f t="shared" si="24"/>
        <v>good boking</v>
      </c>
    </row>
    <row r="514" spans="1:13" ht="15" thickBot="1" x14ac:dyDescent="0.35">
      <c r="A514" s="2">
        <v>512</v>
      </c>
      <c r="B514" s="2">
        <v>513</v>
      </c>
      <c r="C514" s="4">
        <v>40566</v>
      </c>
      <c r="D514" s="2">
        <v>0.13639999999999999</v>
      </c>
      <c r="E514" s="13">
        <v>0.43</v>
      </c>
      <c r="F514" s="2">
        <v>0.22389999999999999</v>
      </c>
      <c r="G514" s="2">
        <v>22</v>
      </c>
      <c r="H514" s="2">
        <v>77</v>
      </c>
      <c r="I514" s="2">
        <v>99</v>
      </c>
      <c r="J514" t="str">
        <f t="shared" si="22"/>
        <v>0.13</v>
      </c>
      <c r="K514" t="str" cm="1">
        <f t="array" ref="K514">_xlfn.IFS(E514&gt;55%,"higher humidity",E514&gt;=35%,"medium humidity",E514&lt;35%,"lower humidity")</f>
        <v>medium humidity</v>
      </c>
      <c r="L514">
        <f t="shared" si="23"/>
        <v>6</v>
      </c>
      <c r="M514" t="str">
        <f t="shared" si="24"/>
        <v>good boking</v>
      </c>
    </row>
    <row r="515" spans="1:13" ht="15" thickBot="1" x14ac:dyDescent="0.35">
      <c r="A515" s="2">
        <v>513</v>
      </c>
      <c r="B515" s="2">
        <v>514</v>
      </c>
      <c r="C515" s="4">
        <v>40566</v>
      </c>
      <c r="D515" s="2">
        <v>0.1212</v>
      </c>
      <c r="E515" s="13">
        <v>0.37</v>
      </c>
      <c r="F515" s="2">
        <v>0.4627</v>
      </c>
      <c r="G515" s="2">
        <v>24</v>
      </c>
      <c r="H515" s="2">
        <v>92</v>
      </c>
      <c r="I515" s="2">
        <v>116</v>
      </c>
      <c r="J515" t="str">
        <f t="shared" ref="J515:J578" si="25">LEFT(D515,4)</f>
        <v>0.12</v>
      </c>
      <c r="K515" t="str" cm="1">
        <f t="array" ref="K515">_xlfn.IFS(E515&gt;55%,"higher humidity",E515&gt;=35%,"medium humidity",E515&lt;35%,"lower humidity")</f>
        <v>medium humidity</v>
      </c>
      <c r="L515">
        <f t="shared" ref="L515:L578" si="26">LEN(F515)</f>
        <v>6</v>
      </c>
      <c r="M515" t="str">
        <f t="shared" ref="M515:M578" si="27">IF(H515&gt;30,"good boking","Bad booking")</f>
        <v>good boking</v>
      </c>
    </row>
    <row r="516" spans="1:13" ht="15" thickBot="1" x14ac:dyDescent="0.35">
      <c r="A516" s="2">
        <v>514</v>
      </c>
      <c r="B516" s="2">
        <v>515</v>
      </c>
      <c r="C516" s="4">
        <v>40566</v>
      </c>
      <c r="D516" s="2">
        <v>0.1061</v>
      </c>
      <c r="E516" s="13">
        <v>0.33</v>
      </c>
      <c r="F516" s="2">
        <v>0.3881</v>
      </c>
      <c r="G516" s="2">
        <v>12</v>
      </c>
      <c r="H516" s="2">
        <v>75</v>
      </c>
      <c r="I516" s="2">
        <v>87</v>
      </c>
      <c r="J516" t="str">
        <f t="shared" si="25"/>
        <v>0.10</v>
      </c>
      <c r="K516" t="str" cm="1">
        <f t="array" ref="K516">_xlfn.IFS(E516&gt;55%,"higher humidity",E516&gt;=35%,"medium humidity",E516&lt;35%,"lower humidity")</f>
        <v>lower humidity</v>
      </c>
      <c r="L516">
        <f t="shared" si="26"/>
        <v>6</v>
      </c>
      <c r="M516" t="str">
        <f t="shared" si="27"/>
        <v>good boking</v>
      </c>
    </row>
    <row r="517" spans="1:13" ht="15" thickBot="1" x14ac:dyDescent="0.35">
      <c r="A517" s="2">
        <v>515</v>
      </c>
      <c r="B517" s="2">
        <v>516</v>
      </c>
      <c r="C517" s="4">
        <v>40566</v>
      </c>
      <c r="D517" s="2">
        <v>0.13639999999999999</v>
      </c>
      <c r="E517" s="13">
        <v>0.28000000000000003</v>
      </c>
      <c r="F517" s="2">
        <v>0.35820000000000002</v>
      </c>
      <c r="G517" s="2">
        <v>17</v>
      </c>
      <c r="H517" s="2">
        <v>93</v>
      </c>
      <c r="I517" s="2">
        <v>110</v>
      </c>
      <c r="J517" t="str">
        <f t="shared" si="25"/>
        <v>0.13</v>
      </c>
      <c r="K517" t="str" cm="1">
        <f t="array" ref="K517">_xlfn.IFS(E517&gt;55%,"higher humidity",E517&gt;=35%,"medium humidity",E517&lt;35%,"lower humidity")</f>
        <v>lower humidity</v>
      </c>
      <c r="L517">
        <f t="shared" si="26"/>
        <v>6</v>
      </c>
      <c r="M517" t="str">
        <f t="shared" si="27"/>
        <v>good boking</v>
      </c>
    </row>
    <row r="518" spans="1:13" ht="15" thickBot="1" x14ac:dyDescent="0.35">
      <c r="A518" s="2">
        <v>516</v>
      </c>
      <c r="B518" s="2">
        <v>517</v>
      </c>
      <c r="C518" s="4">
        <v>40566</v>
      </c>
      <c r="D518" s="2">
        <v>0.13639999999999999</v>
      </c>
      <c r="E518" s="13">
        <v>0.28000000000000003</v>
      </c>
      <c r="F518" s="2">
        <v>0.35820000000000002</v>
      </c>
      <c r="G518" s="2">
        <v>13</v>
      </c>
      <c r="H518" s="2">
        <v>64</v>
      </c>
      <c r="I518" s="2">
        <v>77</v>
      </c>
      <c r="J518" t="str">
        <f t="shared" si="25"/>
        <v>0.13</v>
      </c>
      <c r="K518" t="str" cm="1">
        <f t="array" ref="K518">_xlfn.IFS(E518&gt;55%,"higher humidity",E518&gt;=35%,"medium humidity",E518&lt;35%,"lower humidity")</f>
        <v>lower humidity</v>
      </c>
      <c r="L518">
        <f t="shared" si="26"/>
        <v>6</v>
      </c>
      <c r="M518" t="str">
        <f t="shared" si="27"/>
        <v>good boking</v>
      </c>
    </row>
    <row r="519" spans="1:13" ht="15" thickBot="1" x14ac:dyDescent="0.35">
      <c r="A519" s="2">
        <v>517</v>
      </c>
      <c r="B519" s="2">
        <v>518</v>
      </c>
      <c r="C519" s="4">
        <v>40566</v>
      </c>
      <c r="D519" s="2">
        <v>0.13639999999999999</v>
      </c>
      <c r="E519" s="13">
        <v>0.26</v>
      </c>
      <c r="F519" s="2">
        <v>0.32840000000000003</v>
      </c>
      <c r="G519" s="2">
        <v>9</v>
      </c>
      <c r="H519" s="2">
        <v>56</v>
      </c>
      <c r="I519" s="2">
        <v>65</v>
      </c>
      <c r="J519" t="str">
        <f t="shared" si="25"/>
        <v>0.13</v>
      </c>
      <c r="K519" t="str" cm="1">
        <f t="array" ref="K519">_xlfn.IFS(E519&gt;55%,"higher humidity",E519&gt;=35%,"medium humidity",E519&lt;35%,"lower humidity")</f>
        <v>lower humidity</v>
      </c>
      <c r="L519">
        <f t="shared" si="26"/>
        <v>6</v>
      </c>
      <c r="M519" t="str">
        <f t="shared" si="27"/>
        <v>good boking</v>
      </c>
    </row>
    <row r="520" spans="1:13" ht="15" thickBot="1" x14ac:dyDescent="0.35">
      <c r="A520" s="2">
        <v>518</v>
      </c>
      <c r="B520" s="2">
        <v>519</v>
      </c>
      <c r="C520" s="4">
        <v>40566</v>
      </c>
      <c r="D520" s="2">
        <v>0.1061</v>
      </c>
      <c r="E520" s="13">
        <v>0.26</v>
      </c>
      <c r="F520" s="2">
        <v>0.3881</v>
      </c>
      <c r="G520" s="2">
        <v>5</v>
      </c>
      <c r="H520" s="2">
        <v>50</v>
      </c>
      <c r="I520" s="2">
        <v>55</v>
      </c>
      <c r="J520" t="str">
        <f t="shared" si="25"/>
        <v>0.10</v>
      </c>
      <c r="K520" t="str" cm="1">
        <f t="array" ref="K520">_xlfn.IFS(E520&gt;55%,"higher humidity",E520&gt;=35%,"medium humidity",E520&lt;35%,"lower humidity")</f>
        <v>lower humidity</v>
      </c>
      <c r="L520">
        <f t="shared" si="26"/>
        <v>6</v>
      </c>
      <c r="M520" t="str">
        <f t="shared" si="27"/>
        <v>good boking</v>
      </c>
    </row>
    <row r="521" spans="1:13" ht="15" thickBot="1" x14ac:dyDescent="0.35">
      <c r="A521" s="2">
        <v>519</v>
      </c>
      <c r="B521" s="2">
        <v>520</v>
      </c>
      <c r="C521" s="4">
        <v>40566</v>
      </c>
      <c r="D521" s="2">
        <v>0.1212</v>
      </c>
      <c r="E521" s="13">
        <v>0.3</v>
      </c>
      <c r="F521" s="2">
        <v>0.25369999999999998</v>
      </c>
      <c r="G521" s="2">
        <v>5</v>
      </c>
      <c r="H521" s="2">
        <v>44</v>
      </c>
      <c r="I521" s="2">
        <v>49</v>
      </c>
      <c r="J521" t="str">
        <f t="shared" si="25"/>
        <v>0.12</v>
      </c>
      <c r="K521" t="str" cm="1">
        <f t="array" ref="K521">_xlfn.IFS(E521&gt;55%,"higher humidity",E521&gt;=35%,"medium humidity",E521&lt;35%,"lower humidity")</f>
        <v>lower humidity</v>
      </c>
      <c r="L521">
        <f t="shared" si="26"/>
        <v>6</v>
      </c>
      <c r="M521" t="str">
        <f t="shared" si="27"/>
        <v>good boking</v>
      </c>
    </row>
    <row r="522" spans="1:13" ht="15" thickBot="1" x14ac:dyDescent="0.35">
      <c r="A522" s="2">
        <v>520</v>
      </c>
      <c r="B522" s="2">
        <v>521</v>
      </c>
      <c r="C522" s="4">
        <v>40566</v>
      </c>
      <c r="D522" s="2">
        <v>0.1212</v>
      </c>
      <c r="E522" s="13">
        <v>0.3</v>
      </c>
      <c r="F522" s="2">
        <v>0.28360000000000002</v>
      </c>
      <c r="G522" s="2">
        <v>5</v>
      </c>
      <c r="H522" s="2">
        <v>45</v>
      </c>
      <c r="I522" s="2">
        <v>50</v>
      </c>
      <c r="J522" t="str">
        <f t="shared" si="25"/>
        <v>0.12</v>
      </c>
      <c r="K522" t="str" cm="1">
        <f t="array" ref="K522">_xlfn.IFS(E522&gt;55%,"higher humidity",E522&gt;=35%,"medium humidity",E522&lt;35%,"lower humidity")</f>
        <v>lower humidity</v>
      </c>
      <c r="L522">
        <f t="shared" si="26"/>
        <v>6</v>
      </c>
      <c r="M522" t="str">
        <f t="shared" si="27"/>
        <v>good boking</v>
      </c>
    </row>
    <row r="523" spans="1:13" ht="15" thickBot="1" x14ac:dyDescent="0.35">
      <c r="A523" s="2">
        <v>521</v>
      </c>
      <c r="B523" s="2">
        <v>522</v>
      </c>
      <c r="C523" s="4">
        <v>40566</v>
      </c>
      <c r="D523" s="2">
        <v>0.1061</v>
      </c>
      <c r="E523" s="13">
        <v>0.36</v>
      </c>
      <c r="F523" s="2">
        <v>0.25369999999999998</v>
      </c>
      <c r="G523" s="2">
        <v>4</v>
      </c>
      <c r="H523" s="2">
        <v>31</v>
      </c>
      <c r="I523" s="2">
        <v>35</v>
      </c>
      <c r="J523" t="str">
        <f t="shared" si="25"/>
        <v>0.10</v>
      </c>
      <c r="K523" t="str" cm="1">
        <f t="array" ref="K523">_xlfn.IFS(E523&gt;55%,"higher humidity",E523&gt;=35%,"medium humidity",E523&lt;35%,"lower humidity")</f>
        <v>medium humidity</v>
      </c>
      <c r="L523">
        <f t="shared" si="26"/>
        <v>6</v>
      </c>
      <c r="M523" t="str">
        <f t="shared" si="27"/>
        <v>good boking</v>
      </c>
    </row>
    <row r="524" spans="1:13" ht="15" thickBot="1" x14ac:dyDescent="0.35">
      <c r="A524" s="2">
        <v>522</v>
      </c>
      <c r="B524" s="2">
        <v>523</v>
      </c>
      <c r="C524" s="4">
        <v>40566</v>
      </c>
      <c r="D524" s="2">
        <v>0.1061</v>
      </c>
      <c r="E524" s="13">
        <v>0.36</v>
      </c>
      <c r="F524" s="2">
        <v>0.19400000000000001</v>
      </c>
      <c r="G524" s="2">
        <v>5</v>
      </c>
      <c r="H524" s="2">
        <v>20</v>
      </c>
      <c r="I524" s="2">
        <v>25</v>
      </c>
      <c r="J524" t="str">
        <f t="shared" si="25"/>
        <v>0.10</v>
      </c>
      <c r="K524" t="str" cm="1">
        <f t="array" ref="K524">_xlfn.IFS(E524&gt;55%,"higher humidity",E524&gt;=35%,"medium humidity",E524&lt;35%,"lower humidity")</f>
        <v>medium humidity</v>
      </c>
      <c r="L524">
        <f t="shared" si="26"/>
        <v>5</v>
      </c>
      <c r="M524" t="str">
        <f t="shared" si="27"/>
        <v>Bad booking</v>
      </c>
    </row>
    <row r="525" spans="1:13" ht="15" thickBot="1" x14ac:dyDescent="0.35">
      <c r="A525" s="2">
        <v>523</v>
      </c>
      <c r="B525" s="2">
        <v>524</v>
      </c>
      <c r="C525" s="4">
        <v>40566</v>
      </c>
      <c r="D525" s="2">
        <v>9.0899999999999995E-2</v>
      </c>
      <c r="E525" s="13">
        <v>0.38</v>
      </c>
      <c r="F525" s="2">
        <v>0.19400000000000001</v>
      </c>
      <c r="G525" s="2">
        <v>5</v>
      </c>
      <c r="H525" s="2">
        <v>23</v>
      </c>
      <c r="I525" s="2">
        <v>28</v>
      </c>
      <c r="J525" t="str">
        <f t="shared" si="25"/>
        <v>0.09</v>
      </c>
      <c r="K525" t="str" cm="1">
        <f t="array" ref="K525">_xlfn.IFS(E525&gt;55%,"higher humidity",E525&gt;=35%,"medium humidity",E525&lt;35%,"lower humidity")</f>
        <v>medium humidity</v>
      </c>
      <c r="L525">
        <f t="shared" si="26"/>
        <v>5</v>
      </c>
      <c r="M525" t="str">
        <f t="shared" si="27"/>
        <v>Bad booking</v>
      </c>
    </row>
    <row r="526" spans="1:13" ht="15" thickBot="1" x14ac:dyDescent="0.35">
      <c r="A526" s="2">
        <v>524</v>
      </c>
      <c r="B526" s="2">
        <v>525</v>
      </c>
      <c r="C526" s="4">
        <v>40566</v>
      </c>
      <c r="D526" s="2">
        <v>6.0600000000000001E-2</v>
      </c>
      <c r="E526" s="13">
        <v>0.41</v>
      </c>
      <c r="F526" s="2">
        <v>0.22389999999999999</v>
      </c>
      <c r="G526" s="2">
        <v>4</v>
      </c>
      <c r="H526" s="2">
        <v>17</v>
      </c>
      <c r="I526" s="2">
        <v>21</v>
      </c>
      <c r="J526" t="str">
        <f t="shared" si="25"/>
        <v>0.06</v>
      </c>
      <c r="K526" t="str" cm="1">
        <f t="array" ref="K526">_xlfn.IFS(E526&gt;55%,"higher humidity",E526&gt;=35%,"medium humidity",E526&lt;35%,"lower humidity")</f>
        <v>medium humidity</v>
      </c>
      <c r="L526">
        <f t="shared" si="26"/>
        <v>6</v>
      </c>
      <c r="M526" t="str">
        <f t="shared" si="27"/>
        <v>Bad booking</v>
      </c>
    </row>
    <row r="527" spans="1:13" ht="15" thickBot="1" x14ac:dyDescent="0.35">
      <c r="A527" s="2">
        <v>525</v>
      </c>
      <c r="B527" s="2">
        <v>526</v>
      </c>
      <c r="C527" s="4">
        <v>40567</v>
      </c>
      <c r="D527" s="2">
        <v>6.0600000000000001E-2</v>
      </c>
      <c r="E527" s="13">
        <v>0.41</v>
      </c>
      <c r="F527" s="2">
        <v>0.19400000000000001</v>
      </c>
      <c r="G527" s="2">
        <v>0</v>
      </c>
      <c r="H527" s="2">
        <v>7</v>
      </c>
      <c r="I527" s="2">
        <v>7</v>
      </c>
      <c r="J527" t="str">
        <f t="shared" si="25"/>
        <v>0.06</v>
      </c>
      <c r="K527" t="str" cm="1">
        <f t="array" ref="K527">_xlfn.IFS(E527&gt;55%,"higher humidity",E527&gt;=35%,"medium humidity",E527&lt;35%,"lower humidity")</f>
        <v>medium humidity</v>
      </c>
      <c r="L527">
        <f t="shared" si="26"/>
        <v>5</v>
      </c>
      <c r="M527" t="str">
        <f t="shared" si="27"/>
        <v>Bad booking</v>
      </c>
    </row>
    <row r="528" spans="1:13" ht="15" thickBot="1" x14ac:dyDescent="0.35">
      <c r="A528" s="2">
        <v>526</v>
      </c>
      <c r="B528" s="2">
        <v>527</v>
      </c>
      <c r="C528" s="4">
        <v>40567</v>
      </c>
      <c r="D528" s="2">
        <v>4.5499999999999999E-2</v>
      </c>
      <c r="E528" s="13">
        <v>0.45</v>
      </c>
      <c r="F528" s="2">
        <v>0.19400000000000001</v>
      </c>
      <c r="G528" s="2">
        <v>0</v>
      </c>
      <c r="H528" s="2">
        <v>1</v>
      </c>
      <c r="I528" s="2">
        <v>1</v>
      </c>
      <c r="J528" t="str">
        <f t="shared" si="25"/>
        <v>0.04</v>
      </c>
      <c r="K528" t="str" cm="1">
        <f t="array" ref="K528">_xlfn.IFS(E528&gt;55%,"higher humidity",E528&gt;=35%,"medium humidity",E528&lt;35%,"lower humidity")</f>
        <v>medium humidity</v>
      </c>
      <c r="L528">
        <f t="shared" si="26"/>
        <v>5</v>
      </c>
      <c r="M528" t="str">
        <f t="shared" si="27"/>
        <v>Bad booking</v>
      </c>
    </row>
    <row r="529" spans="1:13" ht="15" thickBot="1" x14ac:dyDescent="0.35">
      <c r="A529" s="2">
        <v>527</v>
      </c>
      <c r="B529" s="2">
        <v>528</v>
      </c>
      <c r="C529" s="4">
        <v>40567</v>
      </c>
      <c r="D529" s="2">
        <v>3.0300000000000001E-2</v>
      </c>
      <c r="E529" s="13">
        <v>0.45</v>
      </c>
      <c r="F529" s="2">
        <v>0.25369999999999998</v>
      </c>
      <c r="G529" s="2">
        <v>0</v>
      </c>
      <c r="H529" s="2">
        <v>1</v>
      </c>
      <c r="I529" s="2">
        <v>1</v>
      </c>
      <c r="J529" t="str">
        <f t="shared" si="25"/>
        <v>0.03</v>
      </c>
      <c r="K529" t="str" cm="1">
        <f t="array" ref="K529">_xlfn.IFS(E529&gt;55%,"higher humidity",E529&gt;=35%,"medium humidity",E529&lt;35%,"lower humidity")</f>
        <v>medium humidity</v>
      </c>
      <c r="L529">
        <f t="shared" si="26"/>
        <v>6</v>
      </c>
      <c r="M529" t="str">
        <f t="shared" si="27"/>
        <v>Bad booking</v>
      </c>
    </row>
    <row r="530" spans="1:13" ht="15" thickBot="1" x14ac:dyDescent="0.35">
      <c r="A530" s="2">
        <v>528</v>
      </c>
      <c r="B530" s="2">
        <v>529</v>
      </c>
      <c r="C530" s="4">
        <v>40567</v>
      </c>
      <c r="D530" s="2">
        <v>6.0600000000000001E-2</v>
      </c>
      <c r="E530" s="13">
        <v>0.48</v>
      </c>
      <c r="F530" s="2">
        <v>0.1343</v>
      </c>
      <c r="G530" s="2">
        <v>0</v>
      </c>
      <c r="H530" s="2">
        <v>1</v>
      </c>
      <c r="I530" s="2">
        <v>1</v>
      </c>
      <c r="J530" t="str">
        <f t="shared" si="25"/>
        <v>0.06</v>
      </c>
      <c r="K530" t="str" cm="1">
        <f t="array" ref="K530">_xlfn.IFS(E530&gt;55%,"higher humidity",E530&gt;=35%,"medium humidity",E530&lt;35%,"lower humidity")</f>
        <v>medium humidity</v>
      </c>
      <c r="L530">
        <f t="shared" si="26"/>
        <v>6</v>
      </c>
      <c r="M530" t="str">
        <f t="shared" si="27"/>
        <v>Bad booking</v>
      </c>
    </row>
    <row r="531" spans="1:13" ht="15" thickBot="1" x14ac:dyDescent="0.35">
      <c r="A531" s="2">
        <v>529</v>
      </c>
      <c r="B531" s="2">
        <v>530</v>
      </c>
      <c r="C531" s="4">
        <v>40567</v>
      </c>
      <c r="D531" s="2">
        <v>6.0600000000000001E-2</v>
      </c>
      <c r="E531" s="13">
        <v>0.48</v>
      </c>
      <c r="F531" s="2">
        <v>0.1343</v>
      </c>
      <c r="G531" s="2">
        <v>0</v>
      </c>
      <c r="H531" s="2">
        <v>5</v>
      </c>
      <c r="I531" s="2">
        <v>5</v>
      </c>
      <c r="J531" t="str">
        <f t="shared" si="25"/>
        <v>0.06</v>
      </c>
      <c r="K531" t="str" cm="1">
        <f t="array" ref="K531">_xlfn.IFS(E531&gt;55%,"higher humidity",E531&gt;=35%,"medium humidity",E531&lt;35%,"lower humidity")</f>
        <v>medium humidity</v>
      </c>
      <c r="L531">
        <f t="shared" si="26"/>
        <v>6</v>
      </c>
      <c r="M531" t="str">
        <f t="shared" si="27"/>
        <v>Bad booking</v>
      </c>
    </row>
    <row r="532" spans="1:13" ht="15" thickBot="1" x14ac:dyDescent="0.35">
      <c r="A532" s="2">
        <v>530</v>
      </c>
      <c r="B532" s="2">
        <v>531</v>
      </c>
      <c r="C532" s="4">
        <v>40567</v>
      </c>
      <c r="D532" s="2">
        <v>7.5800000000000006E-2</v>
      </c>
      <c r="E532" s="13">
        <v>0.48</v>
      </c>
      <c r="F532" s="2">
        <v>8.9599999999999999E-2</v>
      </c>
      <c r="G532" s="2">
        <v>0</v>
      </c>
      <c r="H532" s="2">
        <v>15</v>
      </c>
      <c r="I532" s="2">
        <v>15</v>
      </c>
      <c r="J532" t="str">
        <f t="shared" si="25"/>
        <v>0.07</v>
      </c>
      <c r="K532" t="str" cm="1">
        <f t="array" ref="K532">_xlfn.IFS(E532&gt;55%,"higher humidity",E532&gt;=35%,"medium humidity",E532&lt;35%,"lower humidity")</f>
        <v>medium humidity</v>
      </c>
      <c r="L532">
        <f t="shared" si="26"/>
        <v>6</v>
      </c>
      <c r="M532" t="str">
        <f t="shared" si="27"/>
        <v>Bad booking</v>
      </c>
    </row>
    <row r="533" spans="1:13" ht="15" thickBot="1" x14ac:dyDescent="0.35">
      <c r="A533" s="2">
        <v>531</v>
      </c>
      <c r="B533" s="2">
        <v>532</v>
      </c>
      <c r="C533" s="4">
        <v>40567</v>
      </c>
      <c r="D533" s="2">
        <v>0.1212</v>
      </c>
      <c r="E533" s="13">
        <v>0.48</v>
      </c>
      <c r="F533" s="2">
        <v>0</v>
      </c>
      <c r="G533" s="2">
        <v>5</v>
      </c>
      <c r="H533" s="2">
        <v>79</v>
      </c>
      <c r="I533" s="2">
        <v>84</v>
      </c>
      <c r="J533" t="str">
        <f t="shared" si="25"/>
        <v>0.12</v>
      </c>
      <c r="K533" t="str" cm="1">
        <f t="array" ref="K533">_xlfn.IFS(E533&gt;55%,"higher humidity",E533&gt;=35%,"medium humidity",E533&lt;35%,"lower humidity")</f>
        <v>medium humidity</v>
      </c>
      <c r="L533">
        <f t="shared" si="26"/>
        <v>1</v>
      </c>
      <c r="M533" t="str">
        <f t="shared" si="27"/>
        <v>good boking</v>
      </c>
    </row>
    <row r="534" spans="1:13" ht="15" thickBot="1" x14ac:dyDescent="0.35">
      <c r="A534" s="2">
        <v>532</v>
      </c>
      <c r="B534" s="2">
        <v>533</v>
      </c>
      <c r="C534" s="4">
        <v>40567</v>
      </c>
      <c r="D534" s="2">
        <v>0.13639999999999999</v>
      </c>
      <c r="E534" s="13">
        <v>0.49</v>
      </c>
      <c r="F534" s="2">
        <v>0</v>
      </c>
      <c r="G534" s="2">
        <v>6</v>
      </c>
      <c r="H534" s="2">
        <v>171</v>
      </c>
      <c r="I534" s="2">
        <v>177</v>
      </c>
      <c r="J534" t="str">
        <f t="shared" si="25"/>
        <v>0.13</v>
      </c>
      <c r="K534" t="str" cm="1">
        <f t="array" ref="K534">_xlfn.IFS(E534&gt;55%,"higher humidity",E534&gt;=35%,"medium humidity",E534&lt;35%,"lower humidity")</f>
        <v>medium humidity</v>
      </c>
      <c r="L534">
        <f t="shared" si="26"/>
        <v>1</v>
      </c>
      <c r="M534" t="str">
        <f t="shared" si="27"/>
        <v>good boking</v>
      </c>
    </row>
    <row r="535" spans="1:13" ht="15" thickBot="1" x14ac:dyDescent="0.35">
      <c r="A535" s="2">
        <v>533</v>
      </c>
      <c r="B535" s="2">
        <v>534</v>
      </c>
      <c r="C535" s="4">
        <v>40567</v>
      </c>
      <c r="D535" s="2">
        <v>0.1515</v>
      </c>
      <c r="E535" s="13">
        <v>0.41</v>
      </c>
      <c r="F535" s="2">
        <v>0</v>
      </c>
      <c r="G535" s="2">
        <v>4</v>
      </c>
      <c r="H535" s="2">
        <v>98</v>
      </c>
      <c r="I535" s="2">
        <v>102</v>
      </c>
      <c r="J535" t="str">
        <f t="shared" si="25"/>
        <v>0.15</v>
      </c>
      <c r="K535" t="str" cm="1">
        <f t="array" ref="K535">_xlfn.IFS(E535&gt;55%,"higher humidity",E535&gt;=35%,"medium humidity",E535&lt;35%,"lower humidity")</f>
        <v>medium humidity</v>
      </c>
      <c r="L535">
        <f t="shared" si="26"/>
        <v>1</v>
      </c>
      <c r="M535" t="str">
        <f t="shared" si="27"/>
        <v>good boking</v>
      </c>
    </row>
    <row r="536" spans="1:13" ht="15" thickBot="1" x14ac:dyDescent="0.35">
      <c r="A536" s="2">
        <v>534</v>
      </c>
      <c r="B536" s="2">
        <v>535</v>
      </c>
      <c r="C536" s="4">
        <v>40567</v>
      </c>
      <c r="D536" s="2">
        <v>0.13639999999999999</v>
      </c>
      <c r="E536" s="13">
        <v>0.42</v>
      </c>
      <c r="F536" s="2">
        <v>0</v>
      </c>
      <c r="G536" s="2">
        <v>6</v>
      </c>
      <c r="H536" s="2">
        <v>34</v>
      </c>
      <c r="I536" s="2">
        <v>40</v>
      </c>
      <c r="J536" t="str">
        <f t="shared" si="25"/>
        <v>0.13</v>
      </c>
      <c r="K536" t="str" cm="1">
        <f t="array" ref="K536">_xlfn.IFS(E536&gt;55%,"higher humidity",E536&gt;=35%,"medium humidity",E536&lt;35%,"lower humidity")</f>
        <v>medium humidity</v>
      </c>
      <c r="L536">
        <f t="shared" si="26"/>
        <v>1</v>
      </c>
      <c r="M536" t="str">
        <f t="shared" si="27"/>
        <v>good boking</v>
      </c>
    </row>
    <row r="537" spans="1:13" ht="15" thickBot="1" x14ac:dyDescent="0.35">
      <c r="A537" s="2">
        <v>535</v>
      </c>
      <c r="B537" s="2">
        <v>536</v>
      </c>
      <c r="C537" s="4">
        <v>40567</v>
      </c>
      <c r="D537" s="2">
        <v>0.1212</v>
      </c>
      <c r="E537" s="13">
        <v>0.46</v>
      </c>
      <c r="F537" s="2">
        <v>0.1343</v>
      </c>
      <c r="G537" s="2">
        <v>3</v>
      </c>
      <c r="H537" s="2">
        <v>43</v>
      </c>
      <c r="I537" s="2">
        <v>46</v>
      </c>
      <c r="J537" t="str">
        <f t="shared" si="25"/>
        <v>0.12</v>
      </c>
      <c r="K537" t="str" cm="1">
        <f t="array" ref="K537">_xlfn.IFS(E537&gt;55%,"higher humidity",E537&gt;=35%,"medium humidity",E537&lt;35%,"lower humidity")</f>
        <v>medium humidity</v>
      </c>
      <c r="L537">
        <f t="shared" si="26"/>
        <v>6</v>
      </c>
      <c r="M537" t="str">
        <f t="shared" si="27"/>
        <v>good boking</v>
      </c>
    </row>
    <row r="538" spans="1:13" ht="15" thickBot="1" x14ac:dyDescent="0.35">
      <c r="A538" s="2">
        <v>536</v>
      </c>
      <c r="B538" s="2">
        <v>537</v>
      </c>
      <c r="C538" s="4">
        <v>40567</v>
      </c>
      <c r="D538" s="2">
        <v>0.13639999999999999</v>
      </c>
      <c r="E538" s="13">
        <v>0.42</v>
      </c>
      <c r="F538" s="2">
        <v>0.19400000000000001</v>
      </c>
      <c r="G538" s="2">
        <v>11</v>
      </c>
      <c r="H538" s="2">
        <v>52</v>
      </c>
      <c r="I538" s="2">
        <v>63</v>
      </c>
      <c r="J538" t="str">
        <f t="shared" si="25"/>
        <v>0.13</v>
      </c>
      <c r="K538" t="str" cm="1">
        <f t="array" ref="K538">_xlfn.IFS(E538&gt;55%,"higher humidity",E538&gt;=35%,"medium humidity",E538&lt;35%,"lower humidity")</f>
        <v>medium humidity</v>
      </c>
      <c r="L538">
        <f t="shared" si="26"/>
        <v>5</v>
      </c>
      <c r="M538" t="str">
        <f t="shared" si="27"/>
        <v>good boking</v>
      </c>
    </row>
    <row r="539" spans="1:13" ht="15" thickBot="1" x14ac:dyDescent="0.35">
      <c r="A539" s="2">
        <v>537</v>
      </c>
      <c r="B539" s="2">
        <v>538</v>
      </c>
      <c r="C539" s="4">
        <v>40567</v>
      </c>
      <c r="D539" s="2">
        <v>0.13639999999999999</v>
      </c>
      <c r="E539" s="13">
        <v>0.43</v>
      </c>
      <c r="F539" s="2">
        <v>0.22389999999999999</v>
      </c>
      <c r="G539" s="2">
        <v>6</v>
      </c>
      <c r="H539" s="2">
        <v>54</v>
      </c>
      <c r="I539" s="2">
        <v>60</v>
      </c>
      <c r="J539" t="str">
        <f t="shared" si="25"/>
        <v>0.13</v>
      </c>
      <c r="K539" t="str" cm="1">
        <f t="array" ref="K539">_xlfn.IFS(E539&gt;55%,"higher humidity",E539&gt;=35%,"medium humidity",E539&lt;35%,"lower humidity")</f>
        <v>medium humidity</v>
      </c>
      <c r="L539">
        <f t="shared" si="26"/>
        <v>6</v>
      </c>
      <c r="M539" t="str">
        <f t="shared" si="27"/>
        <v>good boking</v>
      </c>
    </row>
    <row r="540" spans="1:13" ht="15" thickBot="1" x14ac:dyDescent="0.35">
      <c r="A540" s="2">
        <v>538</v>
      </c>
      <c r="B540" s="2">
        <v>539</v>
      </c>
      <c r="C540" s="4">
        <v>40567</v>
      </c>
      <c r="D540" s="2">
        <v>0.13639999999999999</v>
      </c>
      <c r="E540" s="13">
        <v>0.46</v>
      </c>
      <c r="F540" s="2">
        <v>0.22389999999999999</v>
      </c>
      <c r="G540" s="2">
        <v>2</v>
      </c>
      <c r="H540" s="2">
        <v>43</v>
      </c>
      <c r="I540" s="2">
        <v>45</v>
      </c>
      <c r="J540" t="str">
        <f t="shared" si="25"/>
        <v>0.13</v>
      </c>
      <c r="K540" t="str" cm="1">
        <f t="array" ref="K540">_xlfn.IFS(E540&gt;55%,"higher humidity",E540&gt;=35%,"medium humidity",E540&lt;35%,"lower humidity")</f>
        <v>medium humidity</v>
      </c>
      <c r="L540">
        <f t="shared" si="26"/>
        <v>6</v>
      </c>
      <c r="M540" t="str">
        <f t="shared" si="27"/>
        <v>good boking</v>
      </c>
    </row>
    <row r="541" spans="1:13" ht="15" thickBot="1" x14ac:dyDescent="0.35">
      <c r="A541" s="2">
        <v>539</v>
      </c>
      <c r="B541" s="2">
        <v>540</v>
      </c>
      <c r="C541" s="4">
        <v>40567</v>
      </c>
      <c r="D541" s="2">
        <v>0.16669999999999999</v>
      </c>
      <c r="E541" s="13">
        <v>0.4</v>
      </c>
      <c r="F541" s="2">
        <v>0.16420000000000001</v>
      </c>
      <c r="G541" s="2">
        <v>7</v>
      </c>
      <c r="H541" s="2">
        <v>50</v>
      </c>
      <c r="I541" s="2">
        <v>57</v>
      </c>
      <c r="J541" t="str">
        <f t="shared" si="25"/>
        <v>0.16</v>
      </c>
      <c r="K541" t="str" cm="1">
        <f t="array" ref="K541">_xlfn.IFS(E541&gt;55%,"higher humidity",E541&gt;=35%,"medium humidity",E541&lt;35%,"lower humidity")</f>
        <v>medium humidity</v>
      </c>
      <c r="L541">
        <f t="shared" si="26"/>
        <v>6</v>
      </c>
      <c r="M541" t="str">
        <f t="shared" si="27"/>
        <v>good boking</v>
      </c>
    </row>
    <row r="542" spans="1:13" ht="15" thickBot="1" x14ac:dyDescent="0.35">
      <c r="A542" s="2">
        <v>540</v>
      </c>
      <c r="B542" s="2">
        <v>541</v>
      </c>
      <c r="C542" s="4">
        <v>40567</v>
      </c>
      <c r="D542" s="2">
        <v>0.1515</v>
      </c>
      <c r="E542" s="13">
        <v>0.47</v>
      </c>
      <c r="F542" s="2">
        <v>0.25369999999999998</v>
      </c>
      <c r="G542" s="2">
        <v>4</v>
      </c>
      <c r="H542" s="2">
        <v>66</v>
      </c>
      <c r="I542" s="2">
        <v>70</v>
      </c>
      <c r="J542" t="str">
        <f t="shared" si="25"/>
        <v>0.15</v>
      </c>
      <c r="K542" t="str" cm="1">
        <f t="array" ref="K542">_xlfn.IFS(E542&gt;55%,"higher humidity",E542&gt;=35%,"medium humidity",E542&lt;35%,"lower humidity")</f>
        <v>medium humidity</v>
      </c>
      <c r="L542">
        <f t="shared" si="26"/>
        <v>6</v>
      </c>
      <c r="M542" t="str">
        <f t="shared" si="27"/>
        <v>good boking</v>
      </c>
    </row>
    <row r="543" spans="1:13" ht="15" thickBot="1" x14ac:dyDescent="0.35">
      <c r="A543" s="2">
        <v>541</v>
      </c>
      <c r="B543" s="2">
        <v>542</v>
      </c>
      <c r="C543" s="4">
        <v>40567</v>
      </c>
      <c r="D543" s="2">
        <v>0.1212</v>
      </c>
      <c r="E543" s="13">
        <v>0.5</v>
      </c>
      <c r="F543" s="2">
        <v>0.25369999999999998</v>
      </c>
      <c r="G543" s="2">
        <v>6</v>
      </c>
      <c r="H543" s="2">
        <v>178</v>
      </c>
      <c r="I543" s="2">
        <v>184</v>
      </c>
      <c r="J543" t="str">
        <f t="shared" si="25"/>
        <v>0.12</v>
      </c>
      <c r="K543" t="str" cm="1">
        <f t="array" ref="K543">_xlfn.IFS(E543&gt;55%,"higher humidity",E543&gt;=35%,"medium humidity",E543&lt;35%,"lower humidity")</f>
        <v>medium humidity</v>
      </c>
      <c r="L543">
        <f t="shared" si="26"/>
        <v>6</v>
      </c>
      <c r="M543" t="str">
        <f t="shared" si="27"/>
        <v>good boking</v>
      </c>
    </row>
    <row r="544" spans="1:13" ht="15" thickBot="1" x14ac:dyDescent="0.35">
      <c r="A544" s="2">
        <v>542</v>
      </c>
      <c r="B544" s="2">
        <v>543</v>
      </c>
      <c r="C544" s="4">
        <v>40567</v>
      </c>
      <c r="D544" s="2">
        <v>0.13639999999999999</v>
      </c>
      <c r="E544" s="13">
        <v>0.59</v>
      </c>
      <c r="F544" s="2">
        <v>0.19400000000000001</v>
      </c>
      <c r="G544" s="2">
        <v>8</v>
      </c>
      <c r="H544" s="2">
        <v>145</v>
      </c>
      <c r="I544" s="2">
        <v>153</v>
      </c>
      <c r="J544" t="str">
        <f t="shared" si="25"/>
        <v>0.13</v>
      </c>
      <c r="K544" t="str" cm="1">
        <f t="array" ref="K544">_xlfn.IFS(E544&gt;55%,"higher humidity",E544&gt;=35%,"medium humidity",E544&lt;35%,"lower humidity")</f>
        <v>higher humidity</v>
      </c>
      <c r="L544">
        <f t="shared" si="26"/>
        <v>5</v>
      </c>
      <c r="M544" t="str">
        <f t="shared" si="27"/>
        <v>good boking</v>
      </c>
    </row>
    <row r="545" spans="1:13" ht="15" thickBot="1" x14ac:dyDescent="0.35">
      <c r="A545" s="2">
        <v>543</v>
      </c>
      <c r="B545" s="2">
        <v>544</v>
      </c>
      <c r="C545" s="4">
        <v>40567</v>
      </c>
      <c r="D545" s="2">
        <v>0.1515</v>
      </c>
      <c r="E545" s="13">
        <v>0.54</v>
      </c>
      <c r="F545" s="2">
        <v>0.16420000000000001</v>
      </c>
      <c r="G545" s="2">
        <v>5</v>
      </c>
      <c r="H545" s="2">
        <v>101</v>
      </c>
      <c r="I545" s="2">
        <v>106</v>
      </c>
      <c r="J545" t="str">
        <f t="shared" si="25"/>
        <v>0.15</v>
      </c>
      <c r="K545" t="str" cm="1">
        <f t="array" ref="K545">_xlfn.IFS(E545&gt;55%,"higher humidity",E545&gt;=35%,"medium humidity",E545&lt;35%,"lower humidity")</f>
        <v>medium humidity</v>
      </c>
      <c r="L545">
        <f t="shared" si="26"/>
        <v>6</v>
      </c>
      <c r="M545" t="str">
        <f t="shared" si="27"/>
        <v>good boking</v>
      </c>
    </row>
    <row r="546" spans="1:13" ht="15" thickBot="1" x14ac:dyDescent="0.35">
      <c r="A546" s="2">
        <v>544</v>
      </c>
      <c r="B546" s="2">
        <v>545</v>
      </c>
      <c r="C546" s="4">
        <v>40567</v>
      </c>
      <c r="D546" s="2">
        <v>0.13639999999999999</v>
      </c>
      <c r="E546" s="13">
        <v>0.59</v>
      </c>
      <c r="F546" s="2">
        <v>0.19400000000000001</v>
      </c>
      <c r="G546" s="2">
        <v>1</v>
      </c>
      <c r="H546" s="2">
        <v>80</v>
      </c>
      <c r="I546" s="2">
        <v>81</v>
      </c>
      <c r="J546" t="str">
        <f t="shared" si="25"/>
        <v>0.13</v>
      </c>
      <c r="K546" t="str" cm="1">
        <f t="array" ref="K546">_xlfn.IFS(E546&gt;55%,"higher humidity",E546&gt;=35%,"medium humidity",E546&lt;35%,"lower humidity")</f>
        <v>higher humidity</v>
      </c>
      <c r="L546">
        <f t="shared" si="26"/>
        <v>5</v>
      </c>
      <c r="M546" t="str">
        <f t="shared" si="27"/>
        <v>good boking</v>
      </c>
    </row>
    <row r="547" spans="1:13" ht="15" thickBot="1" x14ac:dyDescent="0.35">
      <c r="A547" s="2">
        <v>545</v>
      </c>
      <c r="B547" s="2">
        <v>546</v>
      </c>
      <c r="C547" s="4">
        <v>40567</v>
      </c>
      <c r="D547" s="2">
        <v>0.1515</v>
      </c>
      <c r="E547" s="13">
        <v>0.63</v>
      </c>
      <c r="F547" s="2">
        <v>0.16420000000000001</v>
      </c>
      <c r="G547" s="2">
        <v>6</v>
      </c>
      <c r="H547" s="2">
        <v>53</v>
      </c>
      <c r="I547" s="2">
        <v>59</v>
      </c>
      <c r="J547" t="str">
        <f t="shared" si="25"/>
        <v>0.15</v>
      </c>
      <c r="K547" t="str" cm="1">
        <f t="array" ref="K547">_xlfn.IFS(E547&gt;55%,"higher humidity",E547&gt;=35%,"medium humidity",E547&lt;35%,"lower humidity")</f>
        <v>higher humidity</v>
      </c>
      <c r="L547">
        <f t="shared" si="26"/>
        <v>6</v>
      </c>
      <c r="M547" t="str">
        <f t="shared" si="27"/>
        <v>good boking</v>
      </c>
    </row>
    <row r="548" spans="1:13" ht="15" thickBot="1" x14ac:dyDescent="0.35">
      <c r="A548" s="2">
        <v>546</v>
      </c>
      <c r="B548" s="2">
        <v>547</v>
      </c>
      <c r="C548" s="4">
        <v>40567</v>
      </c>
      <c r="D548" s="2">
        <v>0.13639999999999999</v>
      </c>
      <c r="E548" s="13">
        <v>0.63</v>
      </c>
      <c r="F548" s="2">
        <v>0.22389999999999999</v>
      </c>
      <c r="G548" s="2">
        <v>3</v>
      </c>
      <c r="H548" s="2">
        <v>32</v>
      </c>
      <c r="I548" s="2">
        <v>35</v>
      </c>
      <c r="J548" t="str">
        <f t="shared" si="25"/>
        <v>0.13</v>
      </c>
      <c r="K548" t="str" cm="1">
        <f t="array" ref="K548">_xlfn.IFS(E548&gt;55%,"higher humidity",E548&gt;=35%,"medium humidity",E548&lt;35%,"lower humidity")</f>
        <v>higher humidity</v>
      </c>
      <c r="L548">
        <f t="shared" si="26"/>
        <v>6</v>
      </c>
      <c r="M548" t="str">
        <f t="shared" si="27"/>
        <v>good boking</v>
      </c>
    </row>
    <row r="549" spans="1:13" ht="15" thickBot="1" x14ac:dyDescent="0.35">
      <c r="A549" s="2">
        <v>547</v>
      </c>
      <c r="B549" s="2">
        <v>548</v>
      </c>
      <c r="C549" s="4">
        <v>40567</v>
      </c>
      <c r="D549" s="2">
        <v>0.1515</v>
      </c>
      <c r="E549" s="13">
        <v>0.64</v>
      </c>
      <c r="F549" s="2">
        <v>0.25369999999999998</v>
      </c>
      <c r="G549" s="2">
        <v>3</v>
      </c>
      <c r="H549" s="2">
        <v>21</v>
      </c>
      <c r="I549" s="2">
        <v>24</v>
      </c>
      <c r="J549" t="str">
        <f t="shared" si="25"/>
        <v>0.15</v>
      </c>
      <c r="K549" t="str" cm="1">
        <f t="array" ref="K549">_xlfn.IFS(E549&gt;55%,"higher humidity",E549&gt;=35%,"medium humidity",E549&lt;35%,"lower humidity")</f>
        <v>higher humidity</v>
      </c>
      <c r="L549">
        <f t="shared" si="26"/>
        <v>6</v>
      </c>
      <c r="M549" t="str">
        <f t="shared" si="27"/>
        <v>Bad booking</v>
      </c>
    </row>
    <row r="550" spans="1:13" ht="15" thickBot="1" x14ac:dyDescent="0.35">
      <c r="A550" s="2">
        <v>548</v>
      </c>
      <c r="B550" s="2">
        <v>549</v>
      </c>
      <c r="C550" s="4">
        <v>40568</v>
      </c>
      <c r="D550" s="2">
        <v>0.13639999999999999</v>
      </c>
      <c r="E550" s="13">
        <v>0.69</v>
      </c>
      <c r="F550" s="2">
        <v>0.28360000000000002</v>
      </c>
      <c r="G550" s="2">
        <v>3</v>
      </c>
      <c r="H550" s="2">
        <v>6</v>
      </c>
      <c r="I550" s="2">
        <v>9</v>
      </c>
      <c r="J550" t="str">
        <f t="shared" si="25"/>
        <v>0.13</v>
      </c>
      <c r="K550" t="str" cm="1">
        <f t="array" ref="K550">_xlfn.IFS(E550&gt;55%,"higher humidity",E550&gt;=35%,"medium humidity",E550&lt;35%,"lower humidity")</f>
        <v>higher humidity</v>
      </c>
      <c r="L550">
        <f t="shared" si="26"/>
        <v>6</v>
      </c>
      <c r="M550" t="str">
        <f t="shared" si="27"/>
        <v>Bad booking</v>
      </c>
    </row>
    <row r="551" spans="1:13" ht="15" thickBot="1" x14ac:dyDescent="0.35">
      <c r="A551" s="2">
        <v>549</v>
      </c>
      <c r="B551" s="2">
        <v>550</v>
      </c>
      <c r="C551" s="4">
        <v>40568</v>
      </c>
      <c r="D551" s="2">
        <v>0.16669999999999999</v>
      </c>
      <c r="E551" s="13">
        <v>0.69</v>
      </c>
      <c r="F551" s="2">
        <v>0.16420000000000001</v>
      </c>
      <c r="G551" s="2">
        <v>0</v>
      </c>
      <c r="H551" s="2">
        <v>5</v>
      </c>
      <c r="I551" s="2">
        <v>5</v>
      </c>
      <c r="J551" t="str">
        <f t="shared" si="25"/>
        <v>0.16</v>
      </c>
      <c r="K551" t="str" cm="1">
        <f t="array" ref="K551">_xlfn.IFS(E551&gt;55%,"higher humidity",E551&gt;=35%,"medium humidity",E551&lt;35%,"lower humidity")</f>
        <v>higher humidity</v>
      </c>
      <c r="L551">
        <f t="shared" si="26"/>
        <v>6</v>
      </c>
      <c r="M551" t="str">
        <f t="shared" si="27"/>
        <v>Bad booking</v>
      </c>
    </row>
    <row r="552" spans="1:13" ht="15" thickBot="1" x14ac:dyDescent="0.35">
      <c r="A552" s="2">
        <v>550</v>
      </c>
      <c r="B552" s="2">
        <v>551</v>
      </c>
      <c r="C552" s="4">
        <v>40568</v>
      </c>
      <c r="D552" s="2">
        <v>0.1515</v>
      </c>
      <c r="E552" s="13">
        <v>0.69</v>
      </c>
      <c r="F552" s="2">
        <v>0.22389999999999999</v>
      </c>
      <c r="G552" s="2">
        <v>0</v>
      </c>
      <c r="H552" s="2">
        <v>2</v>
      </c>
      <c r="I552" s="2">
        <v>2</v>
      </c>
      <c r="J552" t="str">
        <f t="shared" si="25"/>
        <v>0.15</v>
      </c>
      <c r="K552" t="str" cm="1">
        <f t="array" ref="K552">_xlfn.IFS(E552&gt;55%,"higher humidity",E552&gt;=35%,"medium humidity",E552&lt;35%,"lower humidity")</f>
        <v>higher humidity</v>
      </c>
      <c r="L552">
        <f t="shared" si="26"/>
        <v>6</v>
      </c>
      <c r="M552" t="str">
        <f t="shared" si="27"/>
        <v>Bad booking</v>
      </c>
    </row>
    <row r="553" spans="1:13" ht="15" thickBot="1" x14ac:dyDescent="0.35">
      <c r="A553" s="2">
        <v>551</v>
      </c>
      <c r="B553" s="2">
        <v>552</v>
      </c>
      <c r="C553" s="4">
        <v>40568</v>
      </c>
      <c r="D553" s="2">
        <v>0.16669999999999999</v>
      </c>
      <c r="E553" s="13">
        <v>0.74</v>
      </c>
      <c r="F553" s="2">
        <v>0.1045</v>
      </c>
      <c r="G553" s="2">
        <v>0</v>
      </c>
      <c r="H553" s="2">
        <v>1</v>
      </c>
      <c r="I553" s="2">
        <v>1</v>
      </c>
      <c r="J553" t="str">
        <f t="shared" si="25"/>
        <v>0.16</v>
      </c>
      <c r="K553" t="str" cm="1">
        <f t="array" ref="K553">_xlfn.IFS(E553&gt;55%,"higher humidity",E553&gt;=35%,"medium humidity",E553&lt;35%,"lower humidity")</f>
        <v>higher humidity</v>
      </c>
      <c r="L553">
        <f t="shared" si="26"/>
        <v>6</v>
      </c>
      <c r="M553" t="str">
        <f t="shared" si="27"/>
        <v>Bad booking</v>
      </c>
    </row>
    <row r="554" spans="1:13" ht="15" thickBot="1" x14ac:dyDescent="0.35">
      <c r="A554" s="2">
        <v>552</v>
      </c>
      <c r="B554" s="2">
        <v>553</v>
      </c>
      <c r="C554" s="4">
        <v>40568</v>
      </c>
      <c r="D554" s="2">
        <v>0.13639999999999999</v>
      </c>
      <c r="E554" s="13">
        <v>0.74</v>
      </c>
      <c r="F554" s="2">
        <v>0.22389999999999999</v>
      </c>
      <c r="G554" s="2">
        <v>0</v>
      </c>
      <c r="H554" s="2">
        <v>9</v>
      </c>
      <c r="I554" s="2">
        <v>9</v>
      </c>
      <c r="J554" t="str">
        <f t="shared" si="25"/>
        <v>0.13</v>
      </c>
      <c r="K554" t="str" cm="1">
        <f t="array" ref="K554">_xlfn.IFS(E554&gt;55%,"higher humidity",E554&gt;=35%,"medium humidity",E554&lt;35%,"lower humidity")</f>
        <v>higher humidity</v>
      </c>
      <c r="L554">
        <f t="shared" si="26"/>
        <v>6</v>
      </c>
      <c r="M554" t="str">
        <f t="shared" si="27"/>
        <v>Bad booking</v>
      </c>
    </row>
    <row r="555" spans="1:13" ht="15" thickBot="1" x14ac:dyDescent="0.35">
      <c r="A555" s="2">
        <v>553</v>
      </c>
      <c r="B555" s="2">
        <v>554</v>
      </c>
      <c r="C555" s="4">
        <v>40568</v>
      </c>
      <c r="D555" s="2">
        <v>0.18179999999999999</v>
      </c>
      <c r="E555" s="13">
        <v>0.74</v>
      </c>
      <c r="F555" s="2">
        <v>0.1045</v>
      </c>
      <c r="G555" s="2">
        <v>1</v>
      </c>
      <c r="H555" s="2">
        <v>35</v>
      </c>
      <c r="I555" s="2">
        <v>36</v>
      </c>
      <c r="J555" t="str">
        <f t="shared" si="25"/>
        <v>0.18</v>
      </c>
      <c r="K555" t="str" cm="1">
        <f t="array" ref="K555">_xlfn.IFS(E555&gt;55%,"higher humidity",E555&gt;=35%,"medium humidity",E555&lt;35%,"lower humidity")</f>
        <v>higher humidity</v>
      </c>
      <c r="L555">
        <f t="shared" si="26"/>
        <v>6</v>
      </c>
      <c r="M555" t="str">
        <f t="shared" si="27"/>
        <v>good boking</v>
      </c>
    </row>
    <row r="556" spans="1:13" ht="15" thickBot="1" x14ac:dyDescent="0.35">
      <c r="A556" s="2">
        <v>554</v>
      </c>
      <c r="B556" s="2">
        <v>555</v>
      </c>
      <c r="C556" s="4">
        <v>40568</v>
      </c>
      <c r="D556" s="2">
        <v>0.1515</v>
      </c>
      <c r="E556" s="13">
        <v>0.74</v>
      </c>
      <c r="F556" s="2">
        <v>0.22389999999999999</v>
      </c>
      <c r="G556" s="2">
        <v>5</v>
      </c>
      <c r="H556" s="2">
        <v>103</v>
      </c>
      <c r="I556" s="2">
        <v>108</v>
      </c>
      <c r="J556" t="str">
        <f t="shared" si="25"/>
        <v>0.15</v>
      </c>
      <c r="K556" t="str" cm="1">
        <f t="array" ref="K556">_xlfn.IFS(E556&gt;55%,"higher humidity",E556&gt;=35%,"medium humidity",E556&lt;35%,"lower humidity")</f>
        <v>higher humidity</v>
      </c>
      <c r="L556">
        <f t="shared" si="26"/>
        <v>6</v>
      </c>
      <c r="M556" t="str">
        <f t="shared" si="27"/>
        <v>good boking</v>
      </c>
    </row>
    <row r="557" spans="1:13" ht="15" thickBot="1" x14ac:dyDescent="0.35">
      <c r="A557" s="2">
        <v>555</v>
      </c>
      <c r="B557" s="2">
        <v>556</v>
      </c>
      <c r="C557" s="4">
        <v>40568</v>
      </c>
      <c r="D557" s="2">
        <v>0.18179999999999999</v>
      </c>
      <c r="E557" s="13">
        <v>0.74</v>
      </c>
      <c r="F557" s="2">
        <v>0.1343</v>
      </c>
      <c r="G557" s="2">
        <v>5</v>
      </c>
      <c r="H557" s="2">
        <v>233</v>
      </c>
      <c r="I557" s="2">
        <v>238</v>
      </c>
      <c r="J557" t="str">
        <f t="shared" si="25"/>
        <v>0.18</v>
      </c>
      <c r="K557" t="str" cm="1">
        <f t="array" ref="K557">_xlfn.IFS(E557&gt;55%,"higher humidity",E557&gt;=35%,"medium humidity",E557&lt;35%,"lower humidity")</f>
        <v>higher humidity</v>
      </c>
      <c r="L557">
        <f t="shared" si="26"/>
        <v>6</v>
      </c>
      <c r="M557" t="str">
        <f t="shared" si="27"/>
        <v>good boking</v>
      </c>
    </row>
    <row r="558" spans="1:13" ht="15" thickBot="1" x14ac:dyDescent="0.35">
      <c r="A558" s="2">
        <v>556</v>
      </c>
      <c r="B558" s="2">
        <v>557</v>
      </c>
      <c r="C558" s="4">
        <v>40568</v>
      </c>
      <c r="D558" s="2">
        <v>0.2273</v>
      </c>
      <c r="E558" s="13">
        <v>0.64</v>
      </c>
      <c r="F558" s="2">
        <v>8.9599999999999999E-2</v>
      </c>
      <c r="G558" s="2">
        <v>10</v>
      </c>
      <c r="H558" s="2">
        <v>134</v>
      </c>
      <c r="I558" s="2">
        <v>144</v>
      </c>
      <c r="J558" t="str">
        <f t="shared" si="25"/>
        <v>0.22</v>
      </c>
      <c r="K558" t="str" cm="1">
        <f t="array" ref="K558">_xlfn.IFS(E558&gt;55%,"higher humidity",E558&gt;=35%,"medium humidity",E558&lt;35%,"lower humidity")</f>
        <v>higher humidity</v>
      </c>
      <c r="L558">
        <f t="shared" si="26"/>
        <v>6</v>
      </c>
      <c r="M558" t="str">
        <f t="shared" si="27"/>
        <v>good boking</v>
      </c>
    </row>
    <row r="559" spans="1:13" ht="15" thickBot="1" x14ac:dyDescent="0.35">
      <c r="A559" s="2">
        <v>557</v>
      </c>
      <c r="B559" s="2">
        <v>558</v>
      </c>
      <c r="C559" s="4">
        <v>40568</v>
      </c>
      <c r="D559" s="2">
        <v>0.2424</v>
      </c>
      <c r="E559" s="13">
        <v>0.6</v>
      </c>
      <c r="F559" s="2">
        <v>0.1045</v>
      </c>
      <c r="G559" s="2">
        <v>6</v>
      </c>
      <c r="H559" s="2">
        <v>49</v>
      </c>
      <c r="I559" s="2">
        <v>55</v>
      </c>
      <c r="J559" t="str">
        <f t="shared" si="25"/>
        <v>0.24</v>
      </c>
      <c r="K559" t="str" cm="1">
        <f t="array" ref="K559">_xlfn.IFS(E559&gt;55%,"higher humidity",E559&gt;=35%,"medium humidity",E559&lt;35%,"lower humidity")</f>
        <v>higher humidity</v>
      </c>
      <c r="L559">
        <f t="shared" si="26"/>
        <v>6</v>
      </c>
      <c r="M559" t="str">
        <f t="shared" si="27"/>
        <v>good boking</v>
      </c>
    </row>
    <row r="560" spans="1:13" ht="15" thickBot="1" x14ac:dyDescent="0.35">
      <c r="A560" s="2">
        <v>558</v>
      </c>
      <c r="B560" s="2">
        <v>559</v>
      </c>
      <c r="C560" s="4">
        <v>40568</v>
      </c>
      <c r="D560" s="2">
        <v>0.2424</v>
      </c>
      <c r="E560" s="13">
        <v>0.6</v>
      </c>
      <c r="F560" s="2">
        <v>0.1343</v>
      </c>
      <c r="G560" s="2">
        <v>6</v>
      </c>
      <c r="H560" s="2">
        <v>55</v>
      </c>
      <c r="I560" s="2">
        <v>61</v>
      </c>
      <c r="J560" t="str">
        <f t="shared" si="25"/>
        <v>0.24</v>
      </c>
      <c r="K560" t="str" cm="1">
        <f t="array" ref="K560">_xlfn.IFS(E560&gt;55%,"higher humidity",E560&gt;=35%,"medium humidity",E560&lt;35%,"lower humidity")</f>
        <v>higher humidity</v>
      </c>
      <c r="L560">
        <f t="shared" si="26"/>
        <v>6</v>
      </c>
      <c r="M560" t="str">
        <f t="shared" si="27"/>
        <v>good boking</v>
      </c>
    </row>
    <row r="561" spans="1:13" ht="15" thickBot="1" x14ac:dyDescent="0.35">
      <c r="A561" s="2">
        <v>559</v>
      </c>
      <c r="B561" s="2">
        <v>560</v>
      </c>
      <c r="C561" s="4">
        <v>40568</v>
      </c>
      <c r="D561" s="2">
        <v>0.28789999999999999</v>
      </c>
      <c r="E561" s="13">
        <v>0.56000000000000005</v>
      </c>
      <c r="F561" s="2">
        <v>8.9599999999999999E-2</v>
      </c>
      <c r="G561" s="2">
        <v>21</v>
      </c>
      <c r="H561" s="2">
        <v>85</v>
      </c>
      <c r="I561" s="2">
        <v>106</v>
      </c>
      <c r="J561" t="str">
        <f t="shared" si="25"/>
        <v>0.28</v>
      </c>
      <c r="K561" t="str" cm="1">
        <f t="array" ref="K561">_xlfn.IFS(E561&gt;55%,"higher humidity",E561&gt;=35%,"medium humidity",E561&lt;35%,"lower humidity")</f>
        <v>higher humidity</v>
      </c>
      <c r="L561">
        <f t="shared" si="26"/>
        <v>6</v>
      </c>
      <c r="M561" t="str">
        <f t="shared" si="27"/>
        <v>good boking</v>
      </c>
    </row>
    <row r="562" spans="1:13" ht="15" thickBot="1" x14ac:dyDescent="0.35">
      <c r="A562" s="2">
        <v>560</v>
      </c>
      <c r="B562" s="2">
        <v>561</v>
      </c>
      <c r="C562" s="4">
        <v>40568</v>
      </c>
      <c r="D562" s="2">
        <v>0.2727</v>
      </c>
      <c r="E562" s="13">
        <v>0.56000000000000005</v>
      </c>
      <c r="F562" s="2">
        <v>0.1343</v>
      </c>
      <c r="G562" s="2">
        <v>21</v>
      </c>
      <c r="H562" s="2">
        <v>72</v>
      </c>
      <c r="I562" s="2">
        <v>93</v>
      </c>
      <c r="J562" t="str">
        <f t="shared" si="25"/>
        <v>0.27</v>
      </c>
      <c r="K562" t="str" cm="1">
        <f t="array" ref="K562">_xlfn.IFS(E562&gt;55%,"higher humidity",E562&gt;=35%,"medium humidity",E562&lt;35%,"lower humidity")</f>
        <v>higher humidity</v>
      </c>
      <c r="L562">
        <f t="shared" si="26"/>
        <v>6</v>
      </c>
      <c r="M562" t="str">
        <f t="shared" si="27"/>
        <v>good boking</v>
      </c>
    </row>
    <row r="563" spans="1:13" ht="15" thickBot="1" x14ac:dyDescent="0.35">
      <c r="A563" s="2">
        <v>561</v>
      </c>
      <c r="B563" s="2">
        <v>562</v>
      </c>
      <c r="C563" s="4">
        <v>40568</v>
      </c>
      <c r="D563" s="2">
        <v>0.33329999999999999</v>
      </c>
      <c r="E563" s="13">
        <v>0.45</v>
      </c>
      <c r="F563" s="2">
        <v>0</v>
      </c>
      <c r="G563" s="2">
        <v>11</v>
      </c>
      <c r="H563" s="2">
        <v>57</v>
      </c>
      <c r="I563" s="2">
        <v>68</v>
      </c>
      <c r="J563" t="str">
        <f t="shared" si="25"/>
        <v>0.33</v>
      </c>
      <c r="K563" t="str" cm="1">
        <f t="array" ref="K563">_xlfn.IFS(E563&gt;55%,"higher humidity",E563&gt;=35%,"medium humidity",E563&lt;35%,"lower humidity")</f>
        <v>medium humidity</v>
      </c>
      <c r="L563">
        <f t="shared" si="26"/>
        <v>1</v>
      </c>
      <c r="M563" t="str">
        <f t="shared" si="27"/>
        <v>good boking</v>
      </c>
    </row>
    <row r="564" spans="1:13" ht="15" thickBot="1" x14ac:dyDescent="0.35">
      <c r="A564" s="2">
        <v>562</v>
      </c>
      <c r="B564" s="2">
        <v>563</v>
      </c>
      <c r="C564" s="4">
        <v>40568</v>
      </c>
      <c r="D564" s="2">
        <v>0.34849999999999998</v>
      </c>
      <c r="E564" s="13">
        <v>0.42</v>
      </c>
      <c r="F564" s="2">
        <v>0</v>
      </c>
      <c r="G564" s="2">
        <v>21</v>
      </c>
      <c r="H564" s="2">
        <v>63</v>
      </c>
      <c r="I564" s="2">
        <v>84</v>
      </c>
      <c r="J564" t="str">
        <f t="shared" si="25"/>
        <v>0.34</v>
      </c>
      <c r="K564" t="str" cm="1">
        <f t="array" ref="K564">_xlfn.IFS(E564&gt;55%,"higher humidity",E564&gt;=35%,"medium humidity",E564&lt;35%,"lower humidity")</f>
        <v>medium humidity</v>
      </c>
      <c r="L564">
        <f t="shared" si="26"/>
        <v>1</v>
      </c>
      <c r="M564" t="str">
        <f t="shared" si="27"/>
        <v>good boking</v>
      </c>
    </row>
    <row r="565" spans="1:13" ht="15" thickBot="1" x14ac:dyDescent="0.35">
      <c r="A565" s="2">
        <v>563</v>
      </c>
      <c r="B565" s="2">
        <v>564</v>
      </c>
      <c r="C565" s="4">
        <v>40568</v>
      </c>
      <c r="D565" s="2">
        <v>0.34849999999999998</v>
      </c>
      <c r="E565" s="13">
        <v>0.42</v>
      </c>
      <c r="F565" s="2">
        <v>0</v>
      </c>
      <c r="G565" s="2">
        <v>14</v>
      </c>
      <c r="H565" s="2">
        <v>102</v>
      </c>
      <c r="I565" s="2">
        <v>116</v>
      </c>
      <c r="J565" t="str">
        <f t="shared" si="25"/>
        <v>0.34</v>
      </c>
      <c r="K565" t="str" cm="1">
        <f t="array" ref="K565">_xlfn.IFS(E565&gt;55%,"higher humidity",E565&gt;=35%,"medium humidity",E565&lt;35%,"lower humidity")</f>
        <v>medium humidity</v>
      </c>
      <c r="L565">
        <f t="shared" si="26"/>
        <v>1</v>
      </c>
      <c r="M565" t="str">
        <f t="shared" si="27"/>
        <v>good boking</v>
      </c>
    </row>
    <row r="566" spans="1:13" ht="15" thickBot="1" x14ac:dyDescent="0.35">
      <c r="A566" s="2">
        <v>564</v>
      </c>
      <c r="B566" s="2">
        <v>565</v>
      </c>
      <c r="C566" s="4">
        <v>40568</v>
      </c>
      <c r="D566" s="2">
        <v>0.33329999999999999</v>
      </c>
      <c r="E566" s="13">
        <v>0.45</v>
      </c>
      <c r="F566" s="2">
        <v>0</v>
      </c>
      <c r="G566" s="2">
        <v>14</v>
      </c>
      <c r="H566" s="2">
        <v>208</v>
      </c>
      <c r="I566" s="2">
        <v>222</v>
      </c>
      <c r="J566" t="str">
        <f t="shared" si="25"/>
        <v>0.33</v>
      </c>
      <c r="K566" t="str" cm="1">
        <f t="array" ref="K566">_xlfn.IFS(E566&gt;55%,"higher humidity",E566&gt;=35%,"medium humidity",E566&lt;35%,"lower humidity")</f>
        <v>medium humidity</v>
      </c>
      <c r="L566">
        <f t="shared" si="26"/>
        <v>1</v>
      </c>
      <c r="M566" t="str">
        <f t="shared" si="27"/>
        <v>good boking</v>
      </c>
    </row>
    <row r="567" spans="1:13" ht="15" thickBot="1" x14ac:dyDescent="0.35">
      <c r="A567" s="2">
        <v>565</v>
      </c>
      <c r="B567" s="2">
        <v>566</v>
      </c>
      <c r="C567" s="4">
        <v>40568</v>
      </c>
      <c r="D567" s="2">
        <v>0.31819999999999998</v>
      </c>
      <c r="E567" s="13">
        <v>0.49</v>
      </c>
      <c r="F567" s="2">
        <v>8.9599999999999999E-2</v>
      </c>
      <c r="G567" s="2">
        <v>7</v>
      </c>
      <c r="H567" s="2">
        <v>218</v>
      </c>
      <c r="I567" s="2">
        <v>225</v>
      </c>
      <c r="J567" t="str">
        <f t="shared" si="25"/>
        <v>0.31</v>
      </c>
      <c r="K567" t="str" cm="1">
        <f t="array" ref="K567">_xlfn.IFS(E567&gt;55%,"higher humidity",E567&gt;=35%,"medium humidity",E567&lt;35%,"lower humidity")</f>
        <v>medium humidity</v>
      </c>
      <c r="L567">
        <f t="shared" si="26"/>
        <v>6</v>
      </c>
      <c r="M567" t="str">
        <f t="shared" si="27"/>
        <v>good boking</v>
      </c>
    </row>
    <row r="568" spans="1:13" ht="15" thickBot="1" x14ac:dyDescent="0.35">
      <c r="A568" s="2">
        <v>566</v>
      </c>
      <c r="B568" s="2">
        <v>567</v>
      </c>
      <c r="C568" s="4">
        <v>40568</v>
      </c>
      <c r="D568" s="2">
        <v>0.2576</v>
      </c>
      <c r="E568" s="13">
        <v>0.65</v>
      </c>
      <c r="F568" s="2">
        <v>0.16420000000000001</v>
      </c>
      <c r="G568" s="2">
        <v>13</v>
      </c>
      <c r="H568" s="2">
        <v>133</v>
      </c>
      <c r="I568" s="2">
        <v>146</v>
      </c>
      <c r="J568" t="str">
        <f t="shared" si="25"/>
        <v>0.25</v>
      </c>
      <c r="K568" t="str" cm="1">
        <f t="array" ref="K568">_xlfn.IFS(E568&gt;55%,"higher humidity",E568&gt;=35%,"medium humidity",E568&lt;35%,"lower humidity")</f>
        <v>higher humidity</v>
      </c>
      <c r="L568">
        <f t="shared" si="26"/>
        <v>6</v>
      </c>
      <c r="M568" t="str">
        <f t="shared" si="27"/>
        <v>good boking</v>
      </c>
    </row>
    <row r="569" spans="1:13" ht="15" thickBot="1" x14ac:dyDescent="0.35">
      <c r="A569" s="2">
        <v>567</v>
      </c>
      <c r="B569" s="2">
        <v>568</v>
      </c>
      <c r="C569" s="4">
        <v>40568</v>
      </c>
      <c r="D569" s="2">
        <v>0.2273</v>
      </c>
      <c r="E569" s="13">
        <v>0.65</v>
      </c>
      <c r="F569" s="2">
        <v>0.19400000000000001</v>
      </c>
      <c r="G569" s="2">
        <v>16</v>
      </c>
      <c r="H569" s="2">
        <v>103</v>
      </c>
      <c r="I569" s="2">
        <v>119</v>
      </c>
      <c r="J569" t="str">
        <f t="shared" si="25"/>
        <v>0.22</v>
      </c>
      <c r="K569" t="str" cm="1">
        <f t="array" ref="K569">_xlfn.IFS(E569&gt;55%,"higher humidity",E569&gt;=35%,"medium humidity",E569&lt;35%,"lower humidity")</f>
        <v>higher humidity</v>
      </c>
      <c r="L569">
        <f t="shared" si="26"/>
        <v>5</v>
      </c>
      <c r="M569" t="str">
        <f t="shared" si="27"/>
        <v>good boking</v>
      </c>
    </row>
    <row r="570" spans="1:13" ht="15" thickBot="1" x14ac:dyDescent="0.35">
      <c r="A570" s="2">
        <v>568</v>
      </c>
      <c r="B570" s="2">
        <v>569</v>
      </c>
      <c r="C570" s="4">
        <v>40568</v>
      </c>
      <c r="D570" s="2">
        <v>0.2273</v>
      </c>
      <c r="E570" s="13">
        <v>0.65</v>
      </c>
      <c r="F570" s="2">
        <v>0.19400000000000001</v>
      </c>
      <c r="G570" s="2">
        <v>5</v>
      </c>
      <c r="H570" s="2">
        <v>40</v>
      </c>
      <c r="I570" s="2">
        <v>45</v>
      </c>
      <c r="J570" t="str">
        <f t="shared" si="25"/>
        <v>0.22</v>
      </c>
      <c r="K570" t="str" cm="1">
        <f t="array" ref="K570">_xlfn.IFS(E570&gt;55%,"higher humidity",E570&gt;=35%,"medium humidity",E570&lt;35%,"lower humidity")</f>
        <v>higher humidity</v>
      </c>
      <c r="L570">
        <f t="shared" si="26"/>
        <v>5</v>
      </c>
      <c r="M570" t="str">
        <f t="shared" si="27"/>
        <v>good boking</v>
      </c>
    </row>
    <row r="571" spans="1:13" ht="15" thickBot="1" x14ac:dyDescent="0.35">
      <c r="A571" s="2">
        <v>569</v>
      </c>
      <c r="B571" s="2">
        <v>570</v>
      </c>
      <c r="C571" s="4">
        <v>40568</v>
      </c>
      <c r="D571" s="2">
        <v>0.2273</v>
      </c>
      <c r="E571" s="13">
        <v>0.64</v>
      </c>
      <c r="F571" s="2">
        <v>0.16420000000000001</v>
      </c>
      <c r="G571" s="2">
        <v>4</v>
      </c>
      <c r="H571" s="2">
        <v>49</v>
      </c>
      <c r="I571" s="2">
        <v>53</v>
      </c>
      <c r="J571" t="str">
        <f t="shared" si="25"/>
        <v>0.22</v>
      </c>
      <c r="K571" t="str" cm="1">
        <f t="array" ref="K571">_xlfn.IFS(E571&gt;55%,"higher humidity",E571&gt;=35%,"medium humidity",E571&lt;35%,"lower humidity")</f>
        <v>higher humidity</v>
      </c>
      <c r="L571">
        <f t="shared" si="26"/>
        <v>6</v>
      </c>
      <c r="M571" t="str">
        <f t="shared" si="27"/>
        <v>good boking</v>
      </c>
    </row>
    <row r="572" spans="1:13" ht="15" thickBot="1" x14ac:dyDescent="0.35">
      <c r="A572" s="2">
        <v>570</v>
      </c>
      <c r="B572" s="2">
        <v>571</v>
      </c>
      <c r="C572" s="4">
        <v>40568</v>
      </c>
      <c r="D572" s="2">
        <v>0.2273</v>
      </c>
      <c r="E572" s="13">
        <v>0.64</v>
      </c>
      <c r="F572" s="2">
        <v>0.16420000000000001</v>
      </c>
      <c r="G572" s="2">
        <v>3</v>
      </c>
      <c r="H572" s="2">
        <v>37</v>
      </c>
      <c r="I572" s="2">
        <v>40</v>
      </c>
      <c r="J572" t="str">
        <f t="shared" si="25"/>
        <v>0.22</v>
      </c>
      <c r="K572" t="str" cm="1">
        <f t="array" ref="K572">_xlfn.IFS(E572&gt;55%,"higher humidity",E572&gt;=35%,"medium humidity",E572&lt;35%,"lower humidity")</f>
        <v>higher humidity</v>
      </c>
      <c r="L572">
        <f t="shared" si="26"/>
        <v>6</v>
      </c>
      <c r="M572" t="str">
        <f t="shared" si="27"/>
        <v>good boking</v>
      </c>
    </row>
    <row r="573" spans="1:13" ht="15" thickBot="1" x14ac:dyDescent="0.35">
      <c r="A573" s="2">
        <v>571</v>
      </c>
      <c r="B573" s="2">
        <v>572</v>
      </c>
      <c r="C573" s="4">
        <v>40569</v>
      </c>
      <c r="D573" s="2">
        <v>0.2273</v>
      </c>
      <c r="E573" s="13">
        <v>0.69</v>
      </c>
      <c r="F573" s="2">
        <v>0.1343</v>
      </c>
      <c r="G573" s="2">
        <v>3</v>
      </c>
      <c r="H573" s="2">
        <v>14</v>
      </c>
      <c r="I573" s="2">
        <v>17</v>
      </c>
      <c r="J573" t="str">
        <f t="shared" si="25"/>
        <v>0.22</v>
      </c>
      <c r="K573" t="str" cm="1">
        <f t="array" ref="K573">_xlfn.IFS(E573&gt;55%,"higher humidity",E573&gt;=35%,"medium humidity",E573&lt;35%,"lower humidity")</f>
        <v>higher humidity</v>
      </c>
      <c r="L573">
        <f t="shared" si="26"/>
        <v>6</v>
      </c>
      <c r="M573" t="str">
        <f t="shared" si="27"/>
        <v>Bad booking</v>
      </c>
    </row>
    <row r="574" spans="1:13" ht="15" thickBot="1" x14ac:dyDescent="0.35">
      <c r="A574" s="2">
        <v>572</v>
      </c>
      <c r="B574" s="2">
        <v>573</v>
      </c>
      <c r="C574" s="4">
        <v>40569</v>
      </c>
      <c r="D574" s="2">
        <v>0.2424</v>
      </c>
      <c r="E574" s="13">
        <v>0.65</v>
      </c>
      <c r="F574" s="2">
        <v>0.1343</v>
      </c>
      <c r="G574" s="2">
        <v>0</v>
      </c>
      <c r="H574" s="2">
        <v>5</v>
      </c>
      <c r="I574" s="2">
        <v>5</v>
      </c>
      <c r="J574" t="str">
        <f t="shared" si="25"/>
        <v>0.24</v>
      </c>
      <c r="K574" t="str" cm="1">
        <f t="array" ref="K574">_xlfn.IFS(E574&gt;55%,"higher humidity",E574&gt;=35%,"medium humidity",E574&lt;35%,"lower humidity")</f>
        <v>higher humidity</v>
      </c>
      <c r="L574">
        <f t="shared" si="26"/>
        <v>6</v>
      </c>
      <c r="M574" t="str">
        <f t="shared" si="27"/>
        <v>Bad booking</v>
      </c>
    </row>
    <row r="575" spans="1:13" ht="15" thickBot="1" x14ac:dyDescent="0.35">
      <c r="A575" s="2">
        <v>573</v>
      </c>
      <c r="B575" s="2">
        <v>574</v>
      </c>
      <c r="C575" s="4">
        <v>40569</v>
      </c>
      <c r="D575" s="2">
        <v>0.2273</v>
      </c>
      <c r="E575" s="13">
        <v>0.69</v>
      </c>
      <c r="F575" s="2">
        <v>0.19400000000000001</v>
      </c>
      <c r="G575" s="2">
        <v>3</v>
      </c>
      <c r="H575" s="2">
        <v>7</v>
      </c>
      <c r="I575" s="2">
        <v>10</v>
      </c>
      <c r="J575" t="str">
        <f t="shared" si="25"/>
        <v>0.22</v>
      </c>
      <c r="K575" t="str" cm="1">
        <f t="array" ref="K575">_xlfn.IFS(E575&gt;55%,"higher humidity",E575&gt;=35%,"medium humidity",E575&lt;35%,"lower humidity")</f>
        <v>higher humidity</v>
      </c>
      <c r="L575">
        <f t="shared" si="26"/>
        <v>5</v>
      </c>
      <c r="M575" t="str">
        <f t="shared" si="27"/>
        <v>Bad booking</v>
      </c>
    </row>
    <row r="576" spans="1:13" ht="15" thickBot="1" x14ac:dyDescent="0.35">
      <c r="A576" s="2">
        <v>574</v>
      </c>
      <c r="B576" s="2">
        <v>575</v>
      </c>
      <c r="C576" s="4">
        <v>40569</v>
      </c>
      <c r="D576" s="2">
        <v>0.18179999999999999</v>
      </c>
      <c r="E576" s="13">
        <v>0.86</v>
      </c>
      <c r="F576" s="2">
        <v>0.28360000000000002</v>
      </c>
      <c r="G576" s="2">
        <v>0</v>
      </c>
      <c r="H576" s="2">
        <v>1</v>
      </c>
      <c r="I576" s="2">
        <v>1</v>
      </c>
      <c r="J576" t="str">
        <f t="shared" si="25"/>
        <v>0.18</v>
      </c>
      <c r="K576" t="str" cm="1">
        <f t="array" ref="K576">_xlfn.IFS(E576&gt;55%,"higher humidity",E576&gt;=35%,"medium humidity",E576&lt;35%,"lower humidity")</f>
        <v>higher humidity</v>
      </c>
      <c r="L576">
        <f t="shared" si="26"/>
        <v>6</v>
      </c>
      <c r="M576" t="str">
        <f t="shared" si="27"/>
        <v>Bad booking</v>
      </c>
    </row>
    <row r="577" spans="1:13" ht="15" thickBot="1" x14ac:dyDescent="0.35">
      <c r="A577" s="2">
        <v>575</v>
      </c>
      <c r="B577" s="2">
        <v>576</v>
      </c>
      <c r="C577" s="4">
        <v>40569</v>
      </c>
      <c r="D577" s="2">
        <v>0.18179999999999999</v>
      </c>
      <c r="E577" s="13">
        <v>0.86</v>
      </c>
      <c r="F577" s="2">
        <v>0.28360000000000002</v>
      </c>
      <c r="G577" s="2">
        <v>0</v>
      </c>
      <c r="H577" s="2">
        <v>8</v>
      </c>
      <c r="I577" s="2">
        <v>8</v>
      </c>
      <c r="J577" t="str">
        <f t="shared" si="25"/>
        <v>0.18</v>
      </c>
      <c r="K577" t="str" cm="1">
        <f t="array" ref="K577">_xlfn.IFS(E577&gt;55%,"higher humidity",E577&gt;=35%,"medium humidity",E577&lt;35%,"lower humidity")</f>
        <v>higher humidity</v>
      </c>
      <c r="L577">
        <f t="shared" si="26"/>
        <v>6</v>
      </c>
      <c r="M577" t="str">
        <f t="shared" si="27"/>
        <v>Bad booking</v>
      </c>
    </row>
    <row r="578" spans="1:13" ht="15" thickBot="1" x14ac:dyDescent="0.35">
      <c r="A578" s="2">
        <v>576</v>
      </c>
      <c r="B578" s="2">
        <v>577</v>
      </c>
      <c r="C578" s="4">
        <v>40569</v>
      </c>
      <c r="D578" s="2">
        <v>0.21210000000000001</v>
      </c>
      <c r="E578" s="13">
        <v>0.87</v>
      </c>
      <c r="F578" s="2">
        <v>0.29849999999999999</v>
      </c>
      <c r="G578" s="2">
        <v>1</v>
      </c>
      <c r="H578" s="2">
        <v>29</v>
      </c>
      <c r="I578" s="2">
        <v>30</v>
      </c>
      <c r="J578" t="str">
        <f t="shared" si="25"/>
        <v>0.21</v>
      </c>
      <c r="K578" t="str" cm="1">
        <f t="array" ref="K578">_xlfn.IFS(E578&gt;55%,"higher humidity",E578&gt;=35%,"medium humidity",E578&lt;35%,"lower humidity")</f>
        <v>higher humidity</v>
      </c>
      <c r="L578">
        <f t="shared" si="26"/>
        <v>6</v>
      </c>
      <c r="M578" t="str">
        <f t="shared" si="27"/>
        <v>Bad booking</v>
      </c>
    </row>
    <row r="579" spans="1:13" ht="15" thickBot="1" x14ac:dyDescent="0.35">
      <c r="A579" s="2">
        <v>577</v>
      </c>
      <c r="B579" s="2">
        <v>578</v>
      </c>
      <c r="C579" s="4">
        <v>40569</v>
      </c>
      <c r="D579" s="2">
        <v>0.21210000000000001</v>
      </c>
      <c r="E579" s="13">
        <v>0.87</v>
      </c>
      <c r="F579" s="2">
        <v>0.29849999999999999</v>
      </c>
      <c r="G579" s="2">
        <v>3</v>
      </c>
      <c r="H579" s="2">
        <v>69</v>
      </c>
      <c r="I579" s="2">
        <v>72</v>
      </c>
      <c r="J579" t="str">
        <f t="shared" ref="J579:J611" si="28">LEFT(D579,4)</f>
        <v>0.21</v>
      </c>
      <c r="K579" t="str" cm="1">
        <f t="array" ref="K579">_xlfn.IFS(E579&gt;55%,"higher humidity",E579&gt;=35%,"medium humidity",E579&lt;35%,"lower humidity")</f>
        <v>higher humidity</v>
      </c>
      <c r="L579">
        <f t="shared" ref="L579:L611" si="29">LEN(F579)</f>
        <v>6</v>
      </c>
      <c r="M579" t="str">
        <f t="shared" ref="M579:M611" si="30">IF(H579&gt;30,"good boking","Bad booking")</f>
        <v>good boking</v>
      </c>
    </row>
    <row r="580" spans="1:13" ht="15" thickBot="1" x14ac:dyDescent="0.35">
      <c r="A580" s="2">
        <v>578</v>
      </c>
      <c r="B580" s="2">
        <v>579</v>
      </c>
      <c r="C580" s="4">
        <v>40569</v>
      </c>
      <c r="D580" s="2">
        <v>0.21210000000000001</v>
      </c>
      <c r="E580" s="13">
        <v>0.87</v>
      </c>
      <c r="F580" s="2">
        <v>0.29849999999999999</v>
      </c>
      <c r="G580" s="2">
        <v>3</v>
      </c>
      <c r="H580" s="2">
        <v>55</v>
      </c>
      <c r="I580" s="2">
        <v>58</v>
      </c>
      <c r="J580" t="str">
        <f t="shared" si="28"/>
        <v>0.21</v>
      </c>
      <c r="K580" t="str" cm="1">
        <f t="array" ref="K580">_xlfn.IFS(E580&gt;55%,"higher humidity",E580&gt;=35%,"medium humidity",E580&lt;35%,"lower humidity")</f>
        <v>higher humidity</v>
      </c>
      <c r="L580">
        <f t="shared" si="29"/>
        <v>6</v>
      </c>
      <c r="M580" t="str">
        <f t="shared" si="30"/>
        <v>good boking</v>
      </c>
    </row>
    <row r="581" spans="1:13" ht="15" thickBot="1" x14ac:dyDescent="0.35">
      <c r="A581" s="2">
        <v>579</v>
      </c>
      <c r="B581" s="2">
        <v>580</v>
      </c>
      <c r="C581" s="4">
        <v>40569</v>
      </c>
      <c r="D581" s="2">
        <v>0.21210000000000001</v>
      </c>
      <c r="E581" s="13">
        <v>0.93</v>
      </c>
      <c r="F581" s="2">
        <v>0.28360000000000002</v>
      </c>
      <c r="G581" s="2">
        <v>2</v>
      </c>
      <c r="H581" s="2">
        <v>26</v>
      </c>
      <c r="I581" s="2">
        <v>28</v>
      </c>
      <c r="J581" t="str">
        <f t="shared" si="28"/>
        <v>0.21</v>
      </c>
      <c r="K581" t="str" cm="1">
        <f t="array" ref="K581">_xlfn.IFS(E581&gt;55%,"higher humidity",E581&gt;=35%,"medium humidity",E581&lt;35%,"lower humidity")</f>
        <v>higher humidity</v>
      </c>
      <c r="L581">
        <f t="shared" si="29"/>
        <v>6</v>
      </c>
      <c r="M581" t="str">
        <f t="shared" si="30"/>
        <v>Bad booking</v>
      </c>
    </row>
    <row r="582" spans="1:13" ht="15" thickBot="1" x14ac:dyDescent="0.35">
      <c r="A582" s="2">
        <v>580</v>
      </c>
      <c r="B582" s="2">
        <v>581</v>
      </c>
      <c r="C582" s="4">
        <v>40569</v>
      </c>
      <c r="D582" s="2">
        <v>0.19700000000000001</v>
      </c>
      <c r="E582" s="13">
        <v>0.93</v>
      </c>
      <c r="F582" s="2">
        <v>0.32840000000000003</v>
      </c>
      <c r="G582" s="2">
        <v>6</v>
      </c>
      <c r="H582" s="2">
        <v>35</v>
      </c>
      <c r="I582" s="2">
        <v>41</v>
      </c>
      <c r="J582" t="str">
        <f t="shared" si="28"/>
        <v>0.19</v>
      </c>
      <c r="K582" t="str" cm="1">
        <f t="array" ref="K582">_xlfn.IFS(E582&gt;55%,"higher humidity",E582&gt;=35%,"medium humidity",E582&lt;35%,"lower humidity")</f>
        <v>higher humidity</v>
      </c>
      <c r="L582">
        <f t="shared" si="29"/>
        <v>6</v>
      </c>
      <c r="M582" t="str">
        <f t="shared" si="30"/>
        <v>good boking</v>
      </c>
    </row>
    <row r="583" spans="1:13" ht="15" thickBot="1" x14ac:dyDescent="0.35">
      <c r="A583" s="2">
        <v>581</v>
      </c>
      <c r="B583" s="2">
        <v>582</v>
      </c>
      <c r="C583" s="4">
        <v>40569</v>
      </c>
      <c r="D583" s="2">
        <v>0.19700000000000001</v>
      </c>
      <c r="E583" s="13">
        <v>0.93</v>
      </c>
      <c r="F583" s="2">
        <v>0.32840000000000003</v>
      </c>
      <c r="G583" s="2">
        <v>7</v>
      </c>
      <c r="H583" s="2">
        <v>41</v>
      </c>
      <c r="I583" s="2">
        <v>48</v>
      </c>
      <c r="J583" t="str">
        <f t="shared" si="28"/>
        <v>0.19</v>
      </c>
      <c r="K583" t="str" cm="1">
        <f t="array" ref="K583">_xlfn.IFS(E583&gt;55%,"higher humidity",E583&gt;=35%,"medium humidity",E583&lt;35%,"lower humidity")</f>
        <v>higher humidity</v>
      </c>
      <c r="L583">
        <f t="shared" si="29"/>
        <v>6</v>
      </c>
      <c r="M583" t="str">
        <f t="shared" si="30"/>
        <v>good boking</v>
      </c>
    </row>
    <row r="584" spans="1:13" ht="15" thickBot="1" x14ac:dyDescent="0.35">
      <c r="A584" s="2">
        <v>582</v>
      </c>
      <c r="B584" s="2">
        <v>583</v>
      </c>
      <c r="C584" s="4">
        <v>40569</v>
      </c>
      <c r="D584" s="2">
        <v>0.19700000000000001</v>
      </c>
      <c r="E584" s="13">
        <v>0.93</v>
      </c>
      <c r="F584" s="2">
        <v>0.32840000000000003</v>
      </c>
      <c r="G584" s="2">
        <v>4</v>
      </c>
      <c r="H584" s="2">
        <v>43</v>
      </c>
      <c r="I584" s="2">
        <v>47</v>
      </c>
      <c r="J584" t="str">
        <f t="shared" si="28"/>
        <v>0.19</v>
      </c>
      <c r="K584" t="str" cm="1">
        <f t="array" ref="K584">_xlfn.IFS(E584&gt;55%,"higher humidity",E584&gt;=35%,"medium humidity",E584&lt;35%,"lower humidity")</f>
        <v>higher humidity</v>
      </c>
      <c r="L584">
        <f t="shared" si="29"/>
        <v>6</v>
      </c>
      <c r="M584" t="str">
        <f t="shared" si="30"/>
        <v>good boking</v>
      </c>
    </row>
    <row r="585" spans="1:13" ht="15" thickBot="1" x14ac:dyDescent="0.35">
      <c r="A585" s="2">
        <v>583</v>
      </c>
      <c r="B585" s="2">
        <v>584</v>
      </c>
      <c r="C585" s="4">
        <v>40569</v>
      </c>
      <c r="D585" s="2">
        <v>0.19700000000000001</v>
      </c>
      <c r="E585" s="13">
        <v>0.93</v>
      </c>
      <c r="F585" s="2">
        <v>0.35820000000000002</v>
      </c>
      <c r="G585" s="2">
        <v>0</v>
      </c>
      <c r="H585" s="2">
        <v>36</v>
      </c>
      <c r="I585" s="2">
        <v>36</v>
      </c>
      <c r="J585" t="str">
        <f t="shared" si="28"/>
        <v>0.19</v>
      </c>
      <c r="K585" t="str" cm="1">
        <f t="array" ref="K585">_xlfn.IFS(E585&gt;55%,"higher humidity",E585&gt;=35%,"medium humidity",E585&lt;35%,"lower humidity")</f>
        <v>higher humidity</v>
      </c>
      <c r="L585">
        <f t="shared" si="29"/>
        <v>6</v>
      </c>
      <c r="M585" t="str">
        <f t="shared" si="30"/>
        <v>good boking</v>
      </c>
    </row>
    <row r="586" spans="1:13" ht="15" thickBot="1" x14ac:dyDescent="0.35">
      <c r="A586" s="2">
        <v>584</v>
      </c>
      <c r="B586" s="2">
        <v>585</v>
      </c>
      <c r="C586" s="4">
        <v>40569</v>
      </c>
      <c r="D586" s="2">
        <v>0.18179999999999999</v>
      </c>
      <c r="E586" s="13">
        <v>0.93</v>
      </c>
      <c r="F586" s="2">
        <v>0.4627</v>
      </c>
      <c r="G586" s="2">
        <v>1</v>
      </c>
      <c r="H586" s="2">
        <v>42</v>
      </c>
      <c r="I586" s="2">
        <v>43</v>
      </c>
      <c r="J586" t="str">
        <f t="shared" si="28"/>
        <v>0.18</v>
      </c>
      <c r="K586" t="str" cm="1">
        <f t="array" ref="K586">_xlfn.IFS(E586&gt;55%,"higher humidity",E586&gt;=35%,"medium humidity",E586&lt;35%,"lower humidity")</f>
        <v>higher humidity</v>
      </c>
      <c r="L586">
        <f t="shared" si="29"/>
        <v>6</v>
      </c>
      <c r="M586" t="str">
        <f t="shared" si="30"/>
        <v>good boking</v>
      </c>
    </row>
    <row r="587" spans="1:13" ht="15" thickBot="1" x14ac:dyDescent="0.35">
      <c r="A587" s="2">
        <v>585</v>
      </c>
      <c r="B587" s="2">
        <v>586</v>
      </c>
      <c r="C587" s="4">
        <v>40569</v>
      </c>
      <c r="D587" s="2">
        <v>0.19700000000000001</v>
      </c>
      <c r="E587" s="13">
        <v>0.93</v>
      </c>
      <c r="F587" s="2">
        <v>0.32840000000000003</v>
      </c>
      <c r="G587" s="2">
        <v>1</v>
      </c>
      <c r="H587" s="2">
        <v>35</v>
      </c>
      <c r="I587" s="2">
        <v>36</v>
      </c>
      <c r="J587" t="str">
        <f t="shared" si="28"/>
        <v>0.19</v>
      </c>
      <c r="K587" t="str" cm="1">
        <f t="array" ref="K587">_xlfn.IFS(E587&gt;55%,"higher humidity",E587&gt;=35%,"medium humidity",E587&lt;35%,"lower humidity")</f>
        <v>higher humidity</v>
      </c>
      <c r="L587">
        <f t="shared" si="29"/>
        <v>6</v>
      </c>
      <c r="M587" t="str">
        <f t="shared" si="30"/>
        <v>good boking</v>
      </c>
    </row>
    <row r="588" spans="1:13" ht="15" thickBot="1" x14ac:dyDescent="0.35">
      <c r="A588" s="2">
        <v>586</v>
      </c>
      <c r="B588" s="2">
        <v>587</v>
      </c>
      <c r="C588" s="4">
        <v>40569</v>
      </c>
      <c r="D588" s="2">
        <v>0.18179999999999999</v>
      </c>
      <c r="E588" s="13">
        <v>0.93</v>
      </c>
      <c r="F588" s="2">
        <v>0.35820000000000002</v>
      </c>
      <c r="G588" s="2">
        <v>0</v>
      </c>
      <c r="H588" s="2">
        <v>26</v>
      </c>
      <c r="I588" s="2">
        <v>26</v>
      </c>
      <c r="J588" t="str">
        <f t="shared" si="28"/>
        <v>0.18</v>
      </c>
      <c r="K588" t="str" cm="1">
        <f t="array" ref="K588">_xlfn.IFS(E588&gt;55%,"higher humidity",E588&gt;=35%,"medium humidity",E588&lt;35%,"lower humidity")</f>
        <v>higher humidity</v>
      </c>
      <c r="L588">
        <f t="shared" si="29"/>
        <v>6</v>
      </c>
      <c r="M588" t="str">
        <f t="shared" si="30"/>
        <v>Bad booking</v>
      </c>
    </row>
    <row r="589" spans="1:13" ht="15" thickBot="1" x14ac:dyDescent="0.35">
      <c r="A589" s="2">
        <v>587</v>
      </c>
      <c r="B589" s="2">
        <v>588</v>
      </c>
      <c r="C589" s="4">
        <v>40570</v>
      </c>
      <c r="D589" s="2">
        <v>0.2273</v>
      </c>
      <c r="E589" s="13">
        <v>0.55000000000000004</v>
      </c>
      <c r="F589" s="2">
        <v>0.19400000000000001</v>
      </c>
      <c r="G589" s="2">
        <v>1</v>
      </c>
      <c r="H589" s="2">
        <v>23</v>
      </c>
      <c r="I589" s="2">
        <v>24</v>
      </c>
      <c r="J589" t="str">
        <f t="shared" si="28"/>
        <v>0.22</v>
      </c>
      <c r="K589" t="str" cm="1">
        <f t="array" ref="K589">_xlfn.IFS(E589&gt;55%,"higher humidity",E589&gt;=35%,"medium humidity",E589&lt;35%,"lower humidity")</f>
        <v>medium humidity</v>
      </c>
      <c r="L589">
        <f t="shared" si="29"/>
        <v>5</v>
      </c>
      <c r="M589" t="str">
        <f t="shared" si="30"/>
        <v>Bad booking</v>
      </c>
    </row>
    <row r="590" spans="1:13" ht="15" thickBot="1" x14ac:dyDescent="0.35">
      <c r="A590" s="2">
        <v>588</v>
      </c>
      <c r="B590" s="2">
        <v>589</v>
      </c>
      <c r="C590" s="4">
        <v>40570</v>
      </c>
      <c r="D590" s="2">
        <v>0.2424</v>
      </c>
      <c r="E590" s="13">
        <v>0.55000000000000004</v>
      </c>
      <c r="F590" s="2">
        <v>0.1045</v>
      </c>
      <c r="G590" s="2">
        <v>2</v>
      </c>
      <c r="H590" s="2">
        <v>82</v>
      </c>
      <c r="I590" s="2">
        <v>84</v>
      </c>
      <c r="J590" t="str">
        <f t="shared" si="28"/>
        <v>0.24</v>
      </c>
      <c r="K590" t="str" cm="1">
        <f t="array" ref="K590">_xlfn.IFS(E590&gt;55%,"higher humidity",E590&gt;=35%,"medium humidity",E590&lt;35%,"lower humidity")</f>
        <v>medium humidity</v>
      </c>
      <c r="L590">
        <f t="shared" si="29"/>
        <v>6</v>
      </c>
      <c r="M590" t="str">
        <f t="shared" si="30"/>
        <v>good boking</v>
      </c>
    </row>
    <row r="591" spans="1:13" ht="15" thickBot="1" x14ac:dyDescent="0.35">
      <c r="A591" s="2">
        <v>589</v>
      </c>
      <c r="B591" s="2">
        <v>590</v>
      </c>
      <c r="C591" s="4">
        <v>40570</v>
      </c>
      <c r="D591" s="2">
        <v>0.2273</v>
      </c>
      <c r="E591" s="13">
        <v>0.69</v>
      </c>
      <c r="F591" s="2">
        <v>8.9599999999999999E-2</v>
      </c>
      <c r="G591" s="2">
        <v>3</v>
      </c>
      <c r="H591" s="2">
        <v>101</v>
      </c>
      <c r="I591" s="2">
        <v>104</v>
      </c>
      <c r="J591" t="str">
        <f t="shared" si="28"/>
        <v>0.22</v>
      </c>
      <c r="K591" t="str" cm="1">
        <f t="array" ref="K591">_xlfn.IFS(E591&gt;55%,"higher humidity",E591&gt;=35%,"medium humidity",E591&lt;35%,"lower humidity")</f>
        <v>higher humidity</v>
      </c>
      <c r="L591">
        <f t="shared" si="29"/>
        <v>6</v>
      </c>
      <c r="M591" t="str">
        <f t="shared" si="30"/>
        <v>good boking</v>
      </c>
    </row>
    <row r="592" spans="1:13" ht="15" thickBot="1" x14ac:dyDescent="0.35">
      <c r="A592" s="2">
        <v>590</v>
      </c>
      <c r="B592" s="2">
        <v>591</v>
      </c>
      <c r="C592" s="4">
        <v>40570</v>
      </c>
      <c r="D592" s="2">
        <v>0.2273</v>
      </c>
      <c r="E592" s="13">
        <v>0.69</v>
      </c>
      <c r="F592" s="2">
        <v>8.9599999999999999E-2</v>
      </c>
      <c r="G592" s="2">
        <v>3</v>
      </c>
      <c r="H592" s="2">
        <v>76</v>
      </c>
      <c r="I592" s="2">
        <v>79</v>
      </c>
      <c r="J592" t="str">
        <f t="shared" si="28"/>
        <v>0.22</v>
      </c>
      <c r="K592" t="str" cm="1">
        <f t="array" ref="K592">_xlfn.IFS(E592&gt;55%,"higher humidity",E592&gt;=35%,"medium humidity",E592&lt;35%,"lower humidity")</f>
        <v>higher humidity</v>
      </c>
      <c r="L592">
        <f t="shared" si="29"/>
        <v>6</v>
      </c>
      <c r="M592" t="str">
        <f t="shared" si="30"/>
        <v>good boking</v>
      </c>
    </row>
    <row r="593" spans="1:13" ht="15" thickBot="1" x14ac:dyDescent="0.35">
      <c r="A593" s="2">
        <v>591</v>
      </c>
      <c r="B593" s="2">
        <v>592</v>
      </c>
      <c r="C593" s="4">
        <v>40570</v>
      </c>
      <c r="D593" s="2">
        <v>0.21210000000000001</v>
      </c>
      <c r="E593" s="13">
        <v>0.74</v>
      </c>
      <c r="F593" s="2">
        <v>8.9599999999999999E-2</v>
      </c>
      <c r="G593" s="2">
        <v>4</v>
      </c>
      <c r="H593" s="2">
        <v>55</v>
      </c>
      <c r="I593" s="2">
        <v>59</v>
      </c>
      <c r="J593" t="str">
        <f t="shared" si="28"/>
        <v>0.21</v>
      </c>
      <c r="K593" t="str" cm="1">
        <f t="array" ref="K593">_xlfn.IFS(E593&gt;55%,"higher humidity",E593&gt;=35%,"medium humidity",E593&lt;35%,"lower humidity")</f>
        <v>higher humidity</v>
      </c>
      <c r="L593">
        <f t="shared" si="29"/>
        <v>6</v>
      </c>
      <c r="M593" t="str">
        <f t="shared" si="30"/>
        <v>good boking</v>
      </c>
    </row>
    <row r="594" spans="1:13" ht="15" thickBot="1" x14ac:dyDescent="0.35">
      <c r="A594" s="2">
        <v>592</v>
      </c>
      <c r="B594" s="2">
        <v>593</v>
      </c>
      <c r="C594" s="4">
        <v>40570</v>
      </c>
      <c r="D594" s="2">
        <v>0.21210000000000001</v>
      </c>
      <c r="E594" s="13">
        <v>0.74</v>
      </c>
      <c r="F594" s="2">
        <v>8.9599999999999999E-2</v>
      </c>
      <c r="G594" s="2">
        <v>2</v>
      </c>
      <c r="H594" s="2">
        <v>36</v>
      </c>
      <c r="I594" s="2">
        <v>38</v>
      </c>
      <c r="J594" t="str">
        <f t="shared" si="28"/>
        <v>0.21</v>
      </c>
      <c r="K594" t="str" cm="1">
        <f t="array" ref="K594">_xlfn.IFS(E594&gt;55%,"higher humidity",E594&gt;=35%,"medium humidity",E594&lt;35%,"lower humidity")</f>
        <v>higher humidity</v>
      </c>
      <c r="L594">
        <f t="shared" si="29"/>
        <v>6</v>
      </c>
      <c r="M594" t="str">
        <f t="shared" si="30"/>
        <v>good boking</v>
      </c>
    </row>
    <row r="595" spans="1:13" ht="15" thickBot="1" x14ac:dyDescent="0.35">
      <c r="A595" s="2">
        <v>593</v>
      </c>
      <c r="B595" s="2">
        <v>594</v>
      </c>
      <c r="C595" s="4">
        <v>40570</v>
      </c>
      <c r="D595" s="2">
        <v>0.21210000000000001</v>
      </c>
      <c r="E595" s="13">
        <v>0.74</v>
      </c>
      <c r="F595" s="2">
        <v>8.9599999999999999E-2</v>
      </c>
      <c r="G595" s="2">
        <v>0</v>
      </c>
      <c r="H595" s="2">
        <v>27</v>
      </c>
      <c r="I595" s="2">
        <v>27</v>
      </c>
      <c r="J595" t="str">
        <f t="shared" si="28"/>
        <v>0.21</v>
      </c>
      <c r="K595" t="str" cm="1">
        <f t="array" ref="K595">_xlfn.IFS(E595&gt;55%,"higher humidity",E595&gt;=35%,"medium humidity",E595&lt;35%,"lower humidity")</f>
        <v>higher humidity</v>
      </c>
      <c r="L595">
        <f t="shared" si="29"/>
        <v>6</v>
      </c>
      <c r="M595" t="str">
        <f t="shared" si="30"/>
        <v>Bad booking</v>
      </c>
    </row>
    <row r="596" spans="1:13" ht="15" thickBot="1" x14ac:dyDescent="0.35">
      <c r="A596" s="2">
        <v>594</v>
      </c>
      <c r="B596" s="2">
        <v>595</v>
      </c>
      <c r="C596" s="4">
        <v>40570</v>
      </c>
      <c r="D596" s="2">
        <v>0.19700000000000001</v>
      </c>
      <c r="E596" s="13">
        <v>0.8</v>
      </c>
      <c r="F596" s="2">
        <v>0.16420000000000001</v>
      </c>
      <c r="G596" s="2">
        <v>0</v>
      </c>
      <c r="H596" s="2">
        <v>16</v>
      </c>
      <c r="I596" s="2">
        <v>16</v>
      </c>
      <c r="J596" t="str">
        <f t="shared" si="28"/>
        <v>0.19</v>
      </c>
      <c r="K596" t="str" cm="1">
        <f t="array" ref="K596">_xlfn.IFS(E596&gt;55%,"higher humidity",E596&gt;=35%,"medium humidity",E596&lt;35%,"lower humidity")</f>
        <v>higher humidity</v>
      </c>
      <c r="L596">
        <f t="shared" si="29"/>
        <v>6</v>
      </c>
      <c r="M596" t="str">
        <f t="shared" si="30"/>
        <v>Bad booking</v>
      </c>
    </row>
    <row r="597" spans="1:13" ht="15" thickBot="1" x14ac:dyDescent="0.35">
      <c r="A597" s="2">
        <v>595</v>
      </c>
      <c r="B597" s="2">
        <v>596</v>
      </c>
      <c r="C597" s="4">
        <v>40571</v>
      </c>
      <c r="D597" s="2">
        <v>0.21210000000000001</v>
      </c>
      <c r="E597" s="13">
        <v>0.75</v>
      </c>
      <c r="F597" s="2">
        <v>0.1343</v>
      </c>
      <c r="G597" s="2">
        <v>0</v>
      </c>
      <c r="H597" s="2">
        <v>9</v>
      </c>
      <c r="I597" s="2">
        <v>9</v>
      </c>
      <c r="J597" t="str">
        <f t="shared" si="28"/>
        <v>0.21</v>
      </c>
      <c r="K597" t="str" cm="1">
        <f t="array" ref="K597">_xlfn.IFS(E597&gt;55%,"higher humidity",E597&gt;=35%,"medium humidity",E597&lt;35%,"lower humidity")</f>
        <v>higher humidity</v>
      </c>
      <c r="L597">
        <f t="shared" si="29"/>
        <v>6</v>
      </c>
      <c r="M597" t="str">
        <f t="shared" si="30"/>
        <v>Bad booking</v>
      </c>
    </row>
    <row r="598" spans="1:13" ht="15" thickBot="1" x14ac:dyDescent="0.35">
      <c r="A598" s="2">
        <v>596</v>
      </c>
      <c r="B598" s="2">
        <v>597</v>
      </c>
      <c r="C598" s="4">
        <v>40571</v>
      </c>
      <c r="D598" s="2">
        <v>0.21210000000000001</v>
      </c>
      <c r="E598" s="13">
        <v>0.75</v>
      </c>
      <c r="F598" s="2">
        <v>0.1343</v>
      </c>
      <c r="G598" s="2">
        <v>1</v>
      </c>
      <c r="H598" s="2">
        <v>2</v>
      </c>
      <c r="I598" s="2">
        <v>3</v>
      </c>
      <c r="J598" t="str">
        <f t="shared" si="28"/>
        <v>0.21</v>
      </c>
      <c r="K598" t="str" cm="1">
        <f t="array" ref="K598">_xlfn.IFS(E598&gt;55%,"higher humidity",E598&gt;=35%,"medium humidity",E598&lt;35%,"lower humidity")</f>
        <v>higher humidity</v>
      </c>
      <c r="L598">
        <f t="shared" si="29"/>
        <v>6</v>
      </c>
      <c r="M598" t="str">
        <f t="shared" si="30"/>
        <v>Bad booking</v>
      </c>
    </row>
    <row r="599" spans="1:13" ht="15" thickBot="1" x14ac:dyDescent="0.35">
      <c r="A599" s="2">
        <v>597</v>
      </c>
      <c r="B599" s="2">
        <v>598</v>
      </c>
      <c r="C599" s="4">
        <v>40571</v>
      </c>
      <c r="D599" s="2">
        <v>0.21210000000000001</v>
      </c>
      <c r="E599" s="13">
        <v>0.75</v>
      </c>
      <c r="F599" s="2">
        <v>0.16420000000000001</v>
      </c>
      <c r="G599" s="2">
        <v>0</v>
      </c>
      <c r="H599" s="2">
        <v>2</v>
      </c>
      <c r="I599" s="2">
        <v>2</v>
      </c>
      <c r="J599" t="str">
        <f t="shared" si="28"/>
        <v>0.21</v>
      </c>
      <c r="K599" t="str" cm="1">
        <f t="array" ref="K599">_xlfn.IFS(E599&gt;55%,"higher humidity",E599&gt;=35%,"medium humidity",E599&lt;35%,"lower humidity")</f>
        <v>higher humidity</v>
      </c>
      <c r="L599">
        <f t="shared" si="29"/>
        <v>6</v>
      </c>
      <c r="M599" t="str">
        <f t="shared" si="30"/>
        <v>Bad booking</v>
      </c>
    </row>
    <row r="600" spans="1:13" ht="15" thickBot="1" x14ac:dyDescent="0.35">
      <c r="A600" s="2">
        <v>598</v>
      </c>
      <c r="B600" s="2">
        <v>599</v>
      </c>
      <c r="C600" s="4">
        <v>40571</v>
      </c>
      <c r="D600" s="2">
        <v>0.2273</v>
      </c>
      <c r="E600" s="13">
        <v>0.75</v>
      </c>
      <c r="F600" s="2">
        <v>0.1045</v>
      </c>
      <c r="G600" s="2">
        <v>1</v>
      </c>
      <c r="H600" s="2">
        <v>0</v>
      </c>
      <c r="I600" s="2">
        <v>1</v>
      </c>
      <c r="J600" t="str">
        <f t="shared" si="28"/>
        <v>0.22</v>
      </c>
      <c r="K600" t="str" cm="1">
        <f t="array" ref="K600">_xlfn.IFS(E600&gt;55%,"higher humidity",E600&gt;=35%,"medium humidity",E600&lt;35%,"lower humidity")</f>
        <v>higher humidity</v>
      </c>
      <c r="L600">
        <f t="shared" si="29"/>
        <v>6</v>
      </c>
      <c r="M600" t="str">
        <f t="shared" si="30"/>
        <v>Bad booking</v>
      </c>
    </row>
    <row r="601" spans="1:13" ht="15" thickBot="1" x14ac:dyDescent="0.35">
      <c r="A601" s="2">
        <v>599</v>
      </c>
      <c r="B601" s="2">
        <v>600</v>
      </c>
      <c r="C601" s="4">
        <v>40571</v>
      </c>
      <c r="D601" s="2">
        <v>0.21210000000000001</v>
      </c>
      <c r="E601" s="13">
        <v>0.8</v>
      </c>
      <c r="F601" s="2">
        <v>0.1045</v>
      </c>
      <c r="G601" s="2">
        <v>0</v>
      </c>
      <c r="H601" s="2">
        <v>4</v>
      </c>
      <c r="I601" s="2">
        <v>4</v>
      </c>
      <c r="J601" t="str">
        <f t="shared" si="28"/>
        <v>0.21</v>
      </c>
      <c r="K601" t="str" cm="1">
        <f t="array" ref="K601">_xlfn.IFS(E601&gt;55%,"higher humidity",E601&gt;=35%,"medium humidity",E601&lt;35%,"lower humidity")</f>
        <v>higher humidity</v>
      </c>
      <c r="L601">
        <f t="shared" si="29"/>
        <v>6</v>
      </c>
      <c r="M601" t="str">
        <f t="shared" si="30"/>
        <v>Bad booking</v>
      </c>
    </row>
    <row r="602" spans="1:13" ht="15" thickBot="1" x14ac:dyDescent="0.35">
      <c r="A602" s="2">
        <v>600</v>
      </c>
      <c r="B602" s="2">
        <v>601</v>
      </c>
      <c r="C602" s="4">
        <v>40571</v>
      </c>
      <c r="D602" s="2">
        <v>0.19700000000000001</v>
      </c>
      <c r="E602" s="13">
        <v>0.8</v>
      </c>
      <c r="F602" s="2">
        <v>0.1343</v>
      </c>
      <c r="G602" s="2">
        <v>0</v>
      </c>
      <c r="H602" s="2">
        <v>16</v>
      </c>
      <c r="I602" s="2">
        <v>16</v>
      </c>
      <c r="J602" t="str">
        <f t="shared" si="28"/>
        <v>0.19</v>
      </c>
      <c r="K602" t="str" cm="1">
        <f t="array" ref="K602">_xlfn.IFS(E602&gt;55%,"higher humidity",E602&gt;=35%,"medium humidity",E602&lt;35%,"lower humidity")</f>
        <v>higher humidity</v>
      </c>
      <c r="L602">
        <f t="shared" si="29"/>
        <v>6</v>
      </c>
      <c r="M602" t="str">
        <f t="shared" si="30"/>
        <v>Bad booking</v>
      </c>
    </row>
    <row r="603" spans="1:13" ht="15" thickBot="1" x14ac:dyDescent="0.35">
      <c r="A603" s="2">
        <v>601</v>
      </c>
      <c r="B603" s="2">
        <v>602</v>
      </c>
      <c r="C603" s="4">
        <v>40571</v>
      </c>
      <c r="D603" s="2">
        <v>0.19700000000000001</v>
      </c>
      <c r="E603" s="13">
        <v>0.86</v>
      </c>
      <c r="F603" s="2">
        <v>8.9599999999999999E-2</v>
      </c>
      <c r="G603" s="2">
        <v>2</v>
      </c>
      <c r="H603" s="2">
        <v>58</v>
      </c>
      <c r="I603" s="2">
        <v>60</v>
      </c>
      <c r="J603" t="str">
        <f t="shared" si="28"/>
        <v>0.19</v>
      </c>
      <c r="K603" t="str" cm="1">
        <f t="array" ref="K603">_xlfn.IFS(E603&gt;55%,"higher humidity",E603&gt;=35%,"medium humidity",E603&lt;35%,"lower humidity")</f>
        <v>higher humidity</v>
      </c>
      <c r="L603">
        <f t="shared" si="29"/>
        <v>6</v>
      </c>
      <c r="M603" t="str">
        <f t="shared" si="30"/>
        <v>good boking</v>
      </c>
    </row>
    <row r="604" spans="1:13" ht="15" thickBot="1" x14ac:dyDescent="0.35">
      <c r="A604" s="2">
        <v>602</v>
      </c>
      <c r="B604" s="2">
        <v>603</v>
      </c>
      <c r="C604" s="4">
        <v>40571</v>
      </c>
      <c r="D604" s="2">
        <v>0.19700000000000001</v>
      </c>
      <c r="E604" s="13">
        <v>0.86</v>
      </c>
      <c r="F604" s="2">
        <v>8.9599999999999999E-2</v>
      </c>
      <c r="G604" s="2">
        <v>2</v>
      </c>
      <c r="H604" s="2">
        <v>155</v>
      </c>
      <c r="I604" s="2">
        <v>157</v>
      </c>
      <c r="J604" t="str">
        <f t="shared" si="28"/>
        <v>0.19</v>
      </c>
      <c r="K604" t="str" cm="1">
        <f t="array" ref="K604">_xlfn.IFS(E604&gt;55%,"higher humidity",E604&gt;=35%,"medium humidity",E604&lt;35%,"lower humidity")</f>
        <v>higher humidity</v>
      </c>
      <c r="L604">
        <f t="shared" si="29"/>
        <v>6</v>
      </c>
      <c r="M604" t="str">
        <f t="shared" si="30"/>
        <v>good boking</v>
      </c>
    </row>
    <row r="605" spans="1:13" ht="15" thickBot="1" x14ac:dyDescent="0.35">
      <c r="A605" s="2">
        <v>603</v>
      </c>
      <c r="B605" s="2">
        <v>604</v>
      </c>
      <c r="C605" s="4">
        <v>40571</v>
      </c>
      <c r="D605" s="2">
        <v>0.21210000000000001</v>
      </c>
      <c r="E605" s="13">
        <v>0.86</v>
      </c>
      <c r="F605" s="2">
        <v>8.9599999999999999E-2</v>
      </c>
      <c r="G605" s="2">
        <v>6</v>
      </c>
      <c r="H605" s="2">
        <v>95</v>
      </c>
      <c r="I605" s="2">
        <v>101</v>
      </c>
      <c r="J605" t="str">
        <f t="shared" si="28"/>
        <v>0.21</v>
      </c>
      <c r="K605" t="str" cm="1">
        <f t="array" ref="K605">_xlfn.IFS(E605&gt;55%,"higher humidity",E605&gt;=35%,"medium humidity",E605&lt;35%,"lower humidity")</f>
        <v>higher humidity</v>
      </c>
      <c r="L605">
        <f t="shared" si="29"/>
        <v>6</v>
      </c>
      <c r="M605" t="str">
        <f t="shared" si="30"/>
        <v>good boking</v>
      </c>
    </row>
    <row r="606" spans="1:13" ht="15" thickBot="1" x14ac:dyDescent="0.35">
      <c r="A606" s="2">
        <v>604</v>
      </c>
      <c r="B606" s="2">
        <v>605</v>
      </c>
      <c r="C606" s="4">
        <v>40571</v>
      </c>
      <c r="D606" s="2">
        <v>0.21210000000000001</v>
      </c>
      <c r="E606" s="13">
        <v>0.86</v>
      </c>
      <c r="F606" s="2">
        <v>0.1045</v>
      </c>
      <c r="G606" s="2">
        <v>0</v>
      </c>
      <c r="H606" s="2">
        <v>49</v>
      </c>
      <c r="I606" s="2">
        <v>49</v>
      </c>
      <c r="J606" t="str">
        <f t="shared" si="28"/>
        <v>0.21</v>
      </c>
      <c r="K606" t="str" cm="1">
        <f t="array" ref="K606">_xlfn.IFS(E606&gt;55%,"higher humidity",E606&gt;=35%,"medium humidity",E606&lt;35%,"lower humidity")</f>
        <v>higher humidity</v>
      </c>
      <c r="L606">
        <f t="shared" si="29"/>
        <v>6</v>
      </c>
      <c r="M606" t="str">
        <f t="shared" si="30"/>
        <v>good boking</v>
      </c>
    </row>
    <row r="607" spans="1:13" ht="15" thickBot="1" x14ac:dyDescent="0.35">
      <c r="A607" s="2">
        <v>605</v>
      </c>
      <c r="B607" s="2">
        <v>606</v>
      </c>
      <c r="C607" s="4">
        <v>40571</v>
      </c>
      <c r="D607" s="2">
        <v>0.21210000000000001</v>
      </c>
      <c r="E607" s="13">
        <v>0.93</v>
      </c>
      <c r="F607" s="2">
        <v>0.1045</v>
      </c>
      <c r="G607" s="2">
        <v>0</v>
      </c>
      <c r="H607" s="2">
        <v>30</v>
      </c>
      <c r="I607" s="2">
        <v>30</v>
      </c>
      <c r="J607" t="str">
        <f t="shared" si="28"/>
        <v>0.21</v>
      </c>
      <c r="K607" t="str" cm="1">
        <f t="array" ref="K607">_xlfn.IFS(E607&gt;55%,"higher humidity",E607&gt;=35%,"medium humidity",E607&lt;35%,"lower humidity")</f>
        <v>higher humidity</v>
      </c>
      <c r="L607">
        <f t="shared" si="29"/>
        <v>6</v>
      </c>
      <c r="M607" t="str">
        <f t="shared" si="30"/>
        <v>Bad booking</v>
      </c>
    </row>
    <row r="608" spans="1:13" ht="15" thickBot="1" x14ac:dyDescent="0.35">
      <c r="A608" s="2">
        <v>606</v>
      </c>
      <c r="B608" s="2">
        <v>607</v>
      </c>
      <c r="C608" s="4">
        <v>40571</v>
      </c>
      <c r="D608" s="2">
        <v>0.21210000000000001</v>
      </c>
      <c r="E608" s="13">
        <v>0.93</v>
      </c>
      <c r="F608" s="2">
        <v>0.1045</v>
      </c>
      <c r="G608" s="2">
        <v>1</v>
      </c>
      <c r="H608" s="2">
        <v>28</v>
      </c>
      <c r="I608" s="2">
        <v>29</v>
      </c>
      <c r="J608" t="str">
        <f t="shared" si="28"/>
        <v>0.21</v>
      </c>
      <c r="K608" t="str" cm="1">
        <f t="array" ref="K608">_xlfn.IFS(E608&gt;55%,"higher humidity",E608&gt;=35%,"medium humidity",E608&lt;35%,"lower humidity")</f>
        <v>higher humidity</v>
      </c>
      <c r="L608">
        <f t="shared" si="29"/>
        <v>6</v>
      </c>
      <c r="M608" t="str">
        <f t="shared" si="30"/>
        <v>Bad booking</v>
      </c>
    </row>
    <row r="609" spans="1:13" ht="15" thickBot="1" x14ac:dyDescent="0.35">
      <c r="A609" s="2">
        <v>607</v>
      </c>
      <c r="B609" s="2">
        <v>608</v>
      </c>
      <c r="C609" s="4">
        <v>40571</v>
      </c>
      <c r="D609" s="2">
        <v>0.21210000000000001</v>
      </c>
      <c r="E609" s="13">
        <v>0.93</v>
      </c>
      <c r="F609" s="2">
        <v>0.1045</v>
      </c>
      <c r="G609" s="2">
        <v>0</v>
      </c>
      <c r="H609" s="2">
        <v>31</v>
      </c>
      <c r="I609" s="2">
        <v>31</v>
      </c>
      <c r="J609" t="str">
        <f t="shared" si="28"/>
        <v>0.21</v>
      </c>
      <c r="K609" t="str" cm="1">
        <f t="array" ref="K609">_xlfn.IFS(E609&gt;55%,"higher humidity",E609&gt;=35%,"medium humidity",E609&lt;35%,"lower humidity")</f>
        <v>higher humidity</v>
      </c>
      <c r="L609">
        <f t="shared" si="29"/>
        <v>6</v>
      </c>
      <c r="M609" t="str">
        <f t="shared" si="30"/>
        <v>good boking</v>
      </c>
    </row>
    <row r="610" spans="1:13" ht="15" thickBot="1" x14ac:dyDescent="0.35">
      <c r="A610" s="2">
        <v>608</v>
      </c>
      <c r="B610" s="2">
        <v>609</v>
      </c>
      <c r="C610" s="4">
        <v>40571</v>
      </c>
      <c r="D610" s="2">
        <v>0.2727</v>
      </c>
      <c r="E610" s="13">
        <v>0.8</v>
      </c>
      <c r="F610" s="2">
        <v>0</v>
      </c>
      <c r="G610" s="2">
        <v>2</v>
      </c>
      <c r="H610" s="2">
        <v>36</v>
      </c>
      <c r="I610" s="2">
        <v>38</v>
      </c>
      <c r="J610" t="str">
        <f t="shared" si="28"/>
        <v>0.27</v>
      </c>
      <c r="K610" t="str" cm="1">
        <f t="array" ref="K610">_xlfn.IFS(E610&gt;55%,"higher humidity",E610&gt;=35%,"medium humidity",E610&lt;35%,"lower humidity")</f>
        <v>higher humidity</v>
      </c>
      <c r="L610">
        <f t="shared" si="29"/>
        <v>1</v>
      </c>
      <c r="M610" t="str">
        <f t="shared" si="30"/>
        <v>good boking</v>
      </c>
    </row>
    <row r="611" spans="1:13" ht="15" thickBot="1" x14ac:dyDescent="0.35">
      <c r="A611" s="2">
        <v>609</v>
      </c>
      <c r="B611" s="2">
        <v>610</v>
      </c>
      <c r="C611" s="6">
        <v>40571</v>
      </c>
      <c r="D611" s="2">
        <v>0.2576</v>
      </c>
      <c r="E611" s="13">
        <v>0.86</v>
      </c>
      <c r="F611" s="2">
        <v>0</v>
      </c>
      <c r="G611" s="2">
        <v>1</v>
      </c>
      <c r="H611" s="2">
        <v>40</v>
      </c>
      <c r="I611" s="2">
        <v>41</v>
      </c>
      <c r="J611" t="str">
        <f t="shared" si="28"/>
        <v>0.25</v>
      </c>
      <c r="K611" t="str" cm="1">
        <f t="array" ref="K611">_xlfn.IFS(E611&gt;55%,"higher humidity",E611&gt;=35%,"medium humidity",E611&lt;35%,"lower humidity")</f>
        <v>higher humidity</v>
      </c>
      <c r="L611">
        <f t="shared" si="29"/>
        <v>1</v>
      </c>
      <c r="M611" t="str">
        <f t="shared" si="30"/>
        <v>good boking</v>
      </c>
    </row>
  </sheetData>
  <mergeCells count="1">
    <mergeCell ref="O3:U3"/>
  </mergeCells>
  <conditionalFormatting sqref="K2:K611">
    <cfRule type="expression" dxfId="2" priority="1">
      <formula>K2="lower humidity"</formula>
    </cfRule>
    <cfRule type="expression" dxfId="1" priority="2">
      <formula>K2="medium humidity"</formula>
    </cfRule>
    <cfRule type="expression" dxfId="0" priority="3">
      <formula>K2="higher humidity"</formula>
    </cfRule>
  </conditionalFormatting>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24F1D-08BA-49DA-B056-9A649A0A2DFF}">
  <dimension ref="A1:AC391"/>
  <sheetViews>
    <sheetView topLeftCell="C1" workbookViewId="0">
      <selection sqref="A1:A10"/>
    </sheetView>
  </sheetViews>
  <sheetFormatPr defaultRowHeight="14.4" x14ac:dyDescent="0.3"/>
  <cols>
    <col min="1" max="1" width="13" customWidth="1"/>
    <col min="2" max="2" width="15.109375" customWidth="1"/>
    <col min="3" max="3" width="10.21875" customWidth="1"/>
    <col min="4" max="4" width="7.6640625" customWidth="1"/>
    <col min="5" max="5" width="9.109375" customWidth="1"/>
    <col min="6" max="6" width="6.88671875" customWidth="1"/>
    <col min="7" max="7" width="11.6640625" customWidth="1"/>
    <col min="8" max="8" width="14.44140625" customWidth="1"/>
    <col min="9" max="9" width="11.5546875" customWidth="1"/>
    <col min="10" max="10" width="9.21875" customWidth="1"/>
    <col min="11" max="11" width="10.88671875" customWidth="1"/>
    <col min="12" max="12" width="11.5546875" customWidth="1"/>
    <col min="13" max="13" width="13.33203125" customWidth="1"/>
    <col min="14" max="14" width="11.33203125" customWidth="1"/>
    <col min="15" max="15" width="14.33203125" customWidth="1"/>
    <col min="16" max="16" width="10.109375" customWidth="1"/>
    <col min="17" max="17" width="12.109375" customWidth="1"/>
    <col min="18" max="18" width="11" customWidth="1"/>
    <col min="21" max="21" width="10.77734375" customWidth="1"/>
    <col min="22" max="22" width="12.109375" customWidth="1"/>
    <col min="23" max="23" width="15" customWidth="1"/>
    <col min="25" max="25" width="18" customWidth="1"/>
    <col min="28" max="28" width="12.77734375" customWidth="1"/>
    <col min="29" max="29" width="25.33203125" customWidth="1"/>
  </cols>
  <sheetData>
    <row r="1" spans="1:29" x14ac:dyDescent="0.3">
      <c r="A1" s="35" t="s">
        <v>0</v>
      </c>
      <c r="B1" s="35" t="s">
        <v>1</v>
      </c>
      <c r="C1" s="35" t="s">
        <v>2</v>
      </c>
      <c r="D1" s="35" t="s">
        <v>3</v>
      </c>
      <c r="E1" s="35" t="s">
        <v>4</v>
      </c>
      <c r="F1" s="35" t="s">
        <v>5</v>
      </c>
      <c r="G1" s="35" t="s">
        <v>6</v>
      </c>
      <c r="H1" s="35" t="s">
        <v>7</v>
      </c>
      <c r="I1" s="35" t="s">
        <v>8</v>
      </c>
      <c r="J1" s="35" t="s">
        <v>9</v>
      </c>
      <c r="K1" s="35" t="s">
        <v>11</v>
      </c>
      <c r="L1" s="35" t="s">
        <v>12</v>
      </c>
      <c r="M1" s="35" t="s">
        <v>13</v>
      </c>
      <c r="N1" s="35" t="s">
        <v>14</v>
      </c>
      <c r="O1" s="35" t="s">
        <v>15</v>
      </c>
      <c r="P1" s="35" t="s">
        <v>16</v>
      </c>
      <c r="Q1" s="36" t="s">
        <v>45</v>
      </c>
      <c r="R1" s="36" t="s">
        <v>48</v>
      </c>
    </row>
    <row r="2" spans="1:29" ht="15" thickBot="1" x14ac:dyDescent="0.35">
      <c r="A2" s="3">
        <v>611</v>
      </c>
      <c r="B2" s="4">
        <v>40571</v>
      </c>
      <c r="C2" s="3">
        <v>1</v>
      </c>
      <c r="D2" s="3">
        <v>0</v>
      </c>
      <c r="E2" s="3">
        <v>1</v>
      </c>
      <c r="F2" s="3">
        <v>16</v>
      </c>
      <c r="G2" s="3" t="b">
        <v>0</v>
      </c>
      <c r="H2" s="3">
        <v>5</v>
      </c>
      <c r="I2" s="3">
        <v>1</v>
      </c>
      <c r="J2" s="3">
        <v>0.22</v>
      </c>
      <c r="K2" s="3">
        <v>0.2727</v>
      </c>
      <c r="L2" s="3">
        <v>0.8</v>
      </c>
      <c r="M2" s="3">
        <v>0</v>
      </c>
      <c r="N2" s="3">
        <v>10</v>
      </c>
      <c r="O2" s="3">
        <v>70</v>
      </c>
      <c r="P2" s="3">
        <v>80</v>
      </c>
      <c r="Q2" t="str" cm="1">
        <f t="array" ref="Q2">_xlfn.IFS(F2&lt;=12,"morning",F2&lt;=18,"afternoon",F2&lt;=24,"night")</f>
        <v>afternoon</v>
      </c>
      <c r="R2" t="str">
        <f t="shared" ref="R2:R65" si="0">TEXT(B2,"dddd")</f>
        <v>Friday</v>
      </c>
    </row>
    <row r="3" spans="1:29" ht="24" thickBot="1" x14ac:dyDescent="0.5">
      <c r="A3" s="3">
        <v>612</v>
      </c>
      <c r="B3" s="4">
        <v>40571</v>
      </c>
      <c r="C3" s="3">
        <v>1</v>
      </c>
      <c r="D3" s="3">
        <v>0</v>
      </c>
      <c r="E3" s="3">
        <v>1</v>
      </c>
      <c r="F3" s="3">
        <v>17</v>
      </c>
      <c r="G3" s="3" t="b">
        <v>0</v>
      </c>
      <c r="H3" s="3">
        <v>5</v>
      </c>
      <c r="I3" s="3">
        <v>1</v>
      </c>
      <c r="J3" s="3">
        <v>0.24</v>
      </c>
      <c r="K3" s="3">
        <v>0.2424</v>
      </c>
      <c r="L3" s="3">
        <v>0.75</v>
      </c>
      <c r="M3" s="3">
        <v>0.1343</v>
      </c>
      <c r="N3" s="3">
        <v>2</v>
      </c>
      <c r="O3" s="3">
        <v>147</v>
      </c>
      <c r="P3" s="3">
        <v>149</v>
      </c>
      <c r="Q3" t="str" cm="1">
        <f t="array" ref="Q3">_xlfn.IFS(F3&lt;=12,"morning",F3&lt;=18,"afternoon",F3&lt;=24,"night")</f>
        <v>afternoon</v>
      </c>
      <c r="R3" t="str">
        <f t="shared" si="0"/>
        <v>Friday</v>
      </c>
      <c r="V3" s="24" t="s">
        <v>47</v>
      </c>
      <c r="W3" s="25" t="s">
        <v>68</v>
      </c>
    </row>
    <row r="4" spans="1:29" x14ac:dyDescent="0.3">
      <c r="A4" s="3">
        <v>613</v>
      </c>
      <c r="B4" s="4">
        <v>40571</v>
      </c>
      <c r="C4" s="3">
        <v>1</v>
      </c>
      <c r="D4" s="3">
        <v>0</v>
      </c>
      <c r="E4" s="3">
        <v>1</v>
      </c>
      <c r="F4" s="3">
        <v>18</v>
      </c>
      <c r="G4" s="3" t="b">
        <v>0</v>
      </c>
      <c r="H4" s="3">
        <v>5</v>
      </c>
      <c r="I4" s="3">
        <v>1</v>
      </c>
      <c r="J4" s="3">
        <v>0.24</v>
      </c>
      <c r="K4" s="3">
        <v>0.2273</v>
      </c>
      <c r="L4" s="3">
        <v>0.75</v>
      </c>
      <c r="M4" s="3">
        <v>0.19400000000000001</v>
      </c>
      <c r="N4" s="3">
        <v>2</v>
      </c>
      <c r="O4" s="3">
        <v>107</v>
      </c>
      <c r="P4" s="3">
        <v>109</v>
      </c>
      <c r="Q4" t="str" cm="1">
        <f t="array" ref="Q4">_xlfn.IFS(F4&lt;=12,"morning",F4&lt;=18,"afternoon",F4&lt;=24,"night")</f>
        <v>afternoon</v>
      </c>
      <c r="R4" t="str">
        <f t="shared" si="0"/>
        <v>Friday</v>
      </c>
      <c r="T4" s="23"/>
    </row>
    <row r="5" spans="1:29" ht="24" thickBot="1" x14ac:dyDescent="0.5">
      <c r="A5" s="3">
        <v>614</v>
      </c>
      <c r="B5" s="4">
        <v>40571</v>
      </c>
      <c r="C5" s="3">
        <v>1</v>
      </c>
      <c r="D5" s="3">
        <v>0</v>
      </c>
      <c r="E5" s="3">
        <v>1</v>
      </c>
      <c r="F5" s="3">
        <v>19</v>
      </c>
      <c r="G5" s="3" t="b">
        <v>0</v>
      </c>
      <c r="H5" s="3">
        <v>5</v>
      </c>
      <c r="I5" s="3">
        <v>2</v>
      </c>
      <c r="J5" s="3">
        <v>0.24</v>
      </c>
      <c r="K5" s="3">
        <v>0.2424</v>
      </c>
      <c r="L5" s="3">
        <v>0.75</v>
      </c>
      <c r="M5" s="3">
        <v>0.1343</v>
      </c>
      <c r="N5" s="3">
        <v>5</v>
      </c>
      <c r="O5" s="3">
        <v>84</v>
      </c>
      <c r="P5" s="3">
        <v>89</v>
      </c>
      <c r="Q5" t="str" cm="1">
        <f t="array" ref="Q5">_xlfn.IFS(F5&lt;=12,"morning",F5&lt;=18,"afternoon",F5&lt;=24,"night")</f>
        <v>night</v>
      </c>
      <c r="R5" t="str">
        <f t="shared" si="0"/>
        <v>Friday</v>
      </c>
      <c r="U5" s="39" t="s">
        <v>46</v>
      </c>
      <c r="V5" s="39"/>
      <c r="W5" s="39"/>
      <c r="X5" s="39"/>
      <c r="Y5" s="39"/>
      <c r="AB5" s="27" t="s">
        <v>63</v>
      </c>
      <c r="AC5" s="27" t="s">
        <v>64</v>
      </c>
    </row>
    <row r="6" spans="1:29" ht="21" x14ac:dyDescent="0.4">
      <c r="A6" s="3">
        <v>615</v>
      </c>
      <c r="B6" s="4">
        <v>40571</v>
      </c>
      <c r="C6" s="3">
        <v>1</v>
      </c>
      <c r="D6" s="3">
        <v>0</v>
      </c>
      <c r="E6" s="3">
        <v>1</v>
      </c>
      <c r="F6" s="3">
        <v>20</v>
      </c>
      <c r="G6" s="3" t="b">
        <v>0</v>
      </c>
      <c r="H6" s="3">
        <v>5</v>
      </c>
      <c r="I6" s="3">
        <v>2</v>
      </c>
      <c r="J6" s="3">
        <v>0.24</v>
      </c>
      <c r="K6" s="3">
        <v>0.2273</v>
      </c>
      <c r="L6" s="3">
        <v>0.7</v>
      </c>
      <c r="M6" s="3">
        <v>0.19400000000000001</v>
      </c>
      <c r="N6" s="3">
        <v>1</v>
      </c>
      <c r="O6" s="3">
        <v>61</v>
      </c>
      <c r="P6" s="3">
        <v>62</v>
      </c>
      <c r="Q6" t="str" cm="1">
        <f t="array" ref="Q6">_xlfn.IFS(F6&lt;=12,"morning",F6&lt;=18,"afternoon",F6&lt;=24,"night")</f>
        <v>night</v>
      </c>
      <c r="R6" t="str">
        <f t="shared" si="0"/>
        <v>Friday</v>
      </c>
      <c r="U6" t="s">
        <v>17</v>
      </c>
      <c r="V6" s="31" t="s">
        <v>14</v>
      </c>
      <c r="W6" s="31" t="s">
        <v>15</v>
      </c>
      <c r="X6" s="31" t="s">
        <v>16</v>
      </c>
      <c r="Y6" s="32" t="s">
        <v>57</v>
      </c>
      <c r="AB6" s="28">
        <v>611</v>
      </c>
      <c r="AC6" s="26">
        <f>INDEX($P$2:$P$391,MATCH($AB$6,$A$2:$A$391,0))</f>
        <v>80</v>
      </c>
    </row>
    <row r="7" spans="1:29" x14ac:dyDescent="0.3">
      <c r="A7" s="3">
        <v>616</v>
      </c>
      <c r="B7" s="4">
        <v>40571</v>
      </c>
      <c r="C7" s="3">
        <v>1</v>
      </c>
      <c r="D7" s="3">
        <v>0</v>
      </c>
      <c r="E7" s="3">
        <v>1</v>
      </c>
      <c r="F7" s="3">
        <v>21</v>
      </c>
      <c r="G7" s="3" t="b">
        <v>0</v>
      </c>
      <c r="H7" s="3">
        <v>5</v>
      </c>
      <c r="I7" s="3">
        <v>2</v>
      </c>
      <c r="J7" s="3">
        <v>0.22</v>
      </c>
      <c r="K7" s="3">
        <v>0.2273</v>
      </c>
      <c r="L7" s="3">
        <v>0.75</v>
      </c>
      <c r="M7" s="3">
        <v>0.1343</v>
      </c>
      <c r="N7" s="3">
        <v>1</v>
      </c>
      <c r="O7" s="3">
        <v>57</v>
      </c>
      <c r="P7" s="3">
        <v>58</v>
      </c>
      <c r="Q7" t="str" cm="1">
        <f t="array" ref="Q7">_xlfn.IFS(F7&lt;=12,"morning",F7&lt;=18,"afternoon",F7&lt;=24,"night")</f>
        <v>night</v>
      </c>
      <c r="R7" t="str">
        <f t="shared" si="0"/>
        <v>Friday</v>
      </c>
      <c r="U7" t="s">
        <v>49</v>
      </c>
      <c r="V7">
        <f>SUMIFS($N$2:$N$391,$Q$2:$Q$391,$W$3,$R$2:$R$391,$U7)</f>
        <v>307</v>
      </c>
      <c r="W7">
        <f>SUMIFS(O$2:O$391,$Q$2:$Q$391,$W$3,$R$2:$R$391,$U7)</f>
        <v>1437</v>
      </c>
      <c r="X7">
        <f>SUMIFS(P$2:P$391,$Q$2:$Q$391,$W$3,$R$2:$R$391,$U7)</f>
        <v>1744</v>
      </c>
      <c r="Y7">
        <f>AVERAGEIFS($P$2:$P$391,$Q$2:$Q$391,$W$3,$R$2:$R$391,$U7)</f>
        <v>96.888888888888886</v>
      </c>
    </row>
    <row r="8" spans="1:29" x14ac:dyDescent="0.3">
      <c r="A8" s="3">
        <v>617</v>
      </c>
      <c r="B8" s="4">
        <v>40571</v>
      </c>
      <c r="C8" s="3">
        <v>1</v>
      </c>
      <c r="D8" s="3">
        <v>0</v>
      </c>
      <c r="E8" s="3">
        <v>1</v>
      </c>
      <c r="F8" s="3">
        <v>22</v>
      </c>
      <c r="G8" s="3" t="b">
        <v>0</v>
      </c>
      <c r="H8" s="3">
        <v>5</v>
      </c>
      <c r="I8" s="3">
        <v>1</v>
      </c>
      <c r="J8" s="3">
        <v>0.24</v>
      </c>
      <c r="K8" s="3">
        <v>0.21210000000000001</v>
      </c>
      <c r="L8" s="3">
        <v>0.65</v>
      </c>
      <c r="M8" s="3">
        <v>0.35820000000000002</v>
      </c>
      <c r="N8" s="3">
        <v>0</v>
      </c>
      <c r="O8" s="3">
        <v>26</v>
      </c>
      <c r="P8" s="3">
        <v>26</v>
      </c>
      <c r="Q8" t="str" cm="1">
        <f t="array" ref="Q8">_xlfn.IFS(F8&lt;=12,"morning",F8&lt;=18,"afternoon",F8&lt;=24,"night")</f>
        <v>night</v>
      </c>
      <c r="R8" t="str">
        <f t="shared" si="0"/>
        <v>Friday</v>
      </c>
      <c r="U8" t="s">
        <v>50</v>
      </c>
      <c r="V8">
        <f t="shared" ref="V8:V13" si="1">SUMIFS($N$2:$N$391,$Q$2:$Q$391,$W$3,$R$2:$R$391,$U8)</f>
        <v>531</v>
      </c>
      <c r="W8">
        <f t="shared" ref="W8:W13" si="2">SUMIFS(O$2:O$391,$Q$2:$Q$391,$W$3,$R$2:$R$391,$U8)</f>
        <v>1761</v>
      </c>
      <c r="X8">
        <f t="shared" ref="X8:X13" si="3">SUMIFS(P$2:P$391,$Q$2:$Q$391,$W$3,$R$2:$R$391,$U8)</f>
        <v>2292</v>
      </c>
      <c r="Y8">
        <f t="shared" ref="Y8:Y13" si="4">AVERAGEIFS($P$2:$P$391,$Q$2:$Q$391,$W$3,$R$2:$R$391,$U8)</f>
        <v>127.33333333333333</v>
      </c>
    </row>
    <row r="9" spans="1:29" x14ac:dyDescent="0.3">
      <c r="A9" s="3">
        <v>618</v>
      </c>
      <c r="B9" s="4">
        <v>40571</v>
      </c>
      <c r="C9" s="3">
        <v>1</v>
      </c>
      <c r="D9" s="3">
        <v>0</v>
      </c>
      <c r="E9" s="3">
        <v>1</v>
      </c>
      <c r="F9" s="3">
        <v>23</v>
      </c>
      <c r="G9" s="3" t="b">
        <v>0</v>
      </c>
      <c r="H9" s="3">
        <v>5</v>
      </c>
      <c r="I9" s="3">
        <v>1</v>
      </c>
      <c r="J9" s="3">
        <v>0.24</v>
      </c>
      <c r="K9" s="3">
        <v>0.2273</v>
      </c>
      <c r="L9" s="3">
        <v>0.6</v>
      </c>
      <c r="M9" s="3">
        <v>0.22389999999999999</v>
      </c>
      <c r="N9" s="3">
        <v>1</v>
      </c>
      <c r="O9" s="3">
        <v>22</v>
      </c>
      <c r="P9" s="3">
        <v>23</v>
      </c>
      <c r="Q9" t="str" cm="1">
        <f t="array" ref="Q9">_xlfn.IFS(F9&lt;=12,"morning",F9&lt;=18,"afternoon",F9&lt;=24,"night")</f>
        <v>night</v>
      </c>
      <c r="R9" t="str">
        <f t="shared" si="0"/>
        <v>Friday</v>
      </c>
      <c r="U9" t="s">
        <v>51</v>
      </c>
      <c r="V9">
        <f t="shared" si="1"/>
        <v>70</v>
      </c>
      <c r="W9">
        <f t="shared" si="2"/>
        <v>1196</v>
      </c>
      <c r="X9">
        <f t="shared" si="3"/>
        <v>1266</v>
      </c>
      <c r="Y9">
        <f t="shared" si="4"/>
        <v>105.5</v>
      </c>
    </row>
    <row r="10" spans="1:29" x14ac:dyDescent="0.3">
      <c r="A10" s="3">
        <v>619</v>
      </c>
      <c r="B10" s="4">
        <v>40572</v>
      </c>
      <c r="C10" s="3">
        <v>1</v>
      </c>
      <c r="D10" s="3">
        <v>0</v>
      </c>
      <c r="E10" s="3">
        <v>1</v>
      </c>
      <c r="F10" s="3">
        <v>0</v>
      </c>
      <c r="G10" s="3" t="b">
        <v>0</v>
      </c>
      <c r="H10" s="3">
        <v>6</v>
      </c>
      <c r="I10" s="3">
        <v>1</v>
      </c>
      <c r="J10" s="3">
        <v>0.22</v>
      </c>
      <c r="K10" s="3">
        <v>0.19700000000000001</v>
      </c>
      <c r="L10" s="3">
        <v>0.64</v>
      </c>
      <c r="M10" s="3">
        <v>0.35820000000000002</v>
      </c>
      <c r="N10" s="3">
        <v>2</v>
      </c>
      <c r="O10" s="3">
        <v>26</v>
      </c>
      <c r="P10" s="3">
        <v>28</v>
      </c>
      <c r="Q10" t="str" cm="1">
        <f t="array" ref="Q10">_xlfn.IFS(F10&lt;=12,"morning",F10&lt;=18,"afternoon",F10&lt;=24,"night")</f>
        <v>morning</v>
      </c>
      <c r="R10" t="str">
        <f t="shared" si="0"/>
        <v>Saturday</v>
      </c>
      <c r="U10" t="s">
        <v>52</v>
      </c>
      <c r="V10">
        <f t="shared" si="1"/>
        <v>45</v>
      </c>
      <c r="W10">
        <f t="shared" si="2"/>
        <v>1097</v>
      </c>
      <c r="X10">
        <f t="shared" si="3"/>
        <v>1142</v>
      </c>
      <c r="Y10">
        <f t="shared" si="4"/>
        <v>95.166666666666671</v>
      </c>
    </row>
    <row r="11" spans="1:29" x14ac:dyDescent="0.3">
      <c r="A11" s="3">
        <v>620</v>
      </c>
      <c r="B11" s="4">
        <v>40572</v>
      </c>
      <c r="C11" s="3">
        <v>1</v>
      </c>
      <c r="D11" s="3">
        <v>0</v>
      </c>
      <c r="E11" s="3">
        <v>1</v>
      </c>
      <c r="F11" s="3">
        <v>1</v>
      </c>
      <c r="G11" s="3" t="b">
        <v>0</v>
      </c>
      <c r="H11" s="3">
        <v>6</v>
      </c>
      <c r="I11" s="3">
        <v>1</v>
      </c>
      <c r="J11" s="3">
        <v>0.22</v>
      </c>
      <c r="K11" s="3">
        <v>0.2273</v>
      </c>
      <c r="L11" s="3">
        <v>0.64</v>
      </c>
      <c r="M11" s="3">
        <v>0.19400000000000001</v>
      </c>
      <c r="N11" s="3">
        <v>0</v>
      </c>
      <c r="O11" s="3">
        <v>20</v>
      </c>
      <c r="P11" s="3">
        <v>20</v>
      </c>
      <c r="Q11" t="str" cm="1">
        <f t="array" ref="Q11">_xlfn.IFS(F11&lt;=12,"morning",F11&lt;=18,"afternoon",F11&lt;=24,"night")</f>
        <v>morning</v>
      </c>
      <c r="R11" t="str">
        <f t="shared" si="0"/>
        <v>Saturday</v>
      </c>
      <c r="U11" t="s">
        <v>53</v>
      </c>
      <c r="V11">
        <f t="shared" si="1"/>
        <v>60</v>
      </c>
      <c r="W11">
        <f t="shared" si="2"/>
        <v>1235</v>
      </c>
      <c r="X11">
        <f t="shared" si="3"/>
        <v>1295</v>
      </c>
      <c r="Y11">
        <f t="shared" si="4"/>
        <v>107.91666666666667</v>
      </c>
    </row>
    <row r="12" spans="1:29" x14ac:dyDescent="0.3">
      <c r="A12" s="3">
        <v>621</v>
      </c>
      <c r="B12" s="4">
        <v>40572</v>
      </c>
      <c r="C12" s="3">
        <v>1</v>
      </c>
      <c r="D12" s="3">
        <v>0</v>
      </c>
      <c r="E12" s="3">
        <v>1</v>
      </c>
      <c r="F12" s="3">
        <v>2</v>
      </c>
      <c r="G12" s="3" t="b">
        <v>0</v>
      </c>
      <c r="H12" s="3">
        <v>6</v>
      </c>
      <c r="I12" s="3">
        <v>1</v>
      </c>
      <c r="J12" s="3">
        <v>0.22</v>
      </c>
      <c r="K12" s="3">
        <v>0.2273</v>
      </c>
      <c r="L12" s="3">
        <v>0.64</v>
      </c>
      <c r="M12" s="3">
        <v>0.16420000000000001</v>
      </c>
      <c r="N12" s="3">
        <v>0</v>
      </c>
      <c r="O12" s="3">
        <v>15</v>
      </c>
      <c r="P12" s="3">
        <v>15</v>
      </c>
      <c r="Q12" t="str" cm="1">
        <f t="array" ref="Q12">_xlfn.IFS(F12&lt;=12,"morning",F12&lt;=18,"afternoon",F12&lt;=24,"night")</f>
        <v>morning</v>
      </c>
      <c r="R12" t="str">
        <f t="shared" si="0"/>
        <v>Saturday</v>
      </c>
      <c r="U12" t="s">
        <v>54</v>
      </c>
      <c r="V12">
        <f t="shared" si="1"/>
        <v>46</v>
      </c>
      <c r="W12">
        <f t="shared" si="2"/>
        <v>1077</v>
      </c>
      <c r="X12">
        <f t="shared" si="3"/>
        <v>1123</v>
      </c>
      <c r="Y12">
        <f t="shared" si="4"/>
        <v>93.583333333333329</v>
      </c>
    </row>
    <row r="13" spans="1:29" ht="21" customHeight="1" x14ac:dyDescent="0.3">
      <c r="A13" s="3">
        <v>622</v>
      </c>
      <c r="B13" s="4">
        <v>40572</v>
      </c>
      <c r="C13" s="3">
        <v>1</v>
      </c>
      <c r="D13" s="3">
        <v>0</v>
      </c>
      <c r="E13" s="3">
        <v>1</v>
      </c>
      <c r="F13" s="3">
        <v>3</v>
      </c>
      <c r="G13" s="3" t="b">
        <v>0</v>
      </c>
      <c r="H13" s="3">
        <v>6</v>
      </c>
      <c r="I13" s="3">
        <v>1</v>
      </c>
      <c r="J13" s="3">
        <v>0.2</v>
      </c>
      <c r="K13" s="3">
        <v>0.21210000000000001</v>
      </c>
      <c r="L13" s="3">
        <v>0.64</v>
      </c>
      <c r="M13" s="3">
        <v>0.1343</v>
      </c>
      <c r="N13" s="3">
        <v>3</v>
      </c>
      <c r="O13" s="3">
        <v>5</v>
      </c>
      <c r="P13" s="3">
        <v>8</v>
      </c>
      <c r="Q13" t="str" cm="1">
        <f t="array" ref="Q13">_xlfn.IFS(F13&lt;=12,"morning",F13&lt;=18,"afternoon",F13&lt;=24,"night")</f>
        <v>morning</v>
      </c>
      <c r="R13" t="str">
        <f t="shared" si="0"/>
        <v>Saturday</v>
      </c>
      <c r="U13" t="s">
        <v>55</v>
      </c>
      <c r="V13">
        <f t="shared" si="1"/>
        <v>159</v>
      </c>
      <c r="W13">
        <f t="shared" si="2"/>
        <v>1679</v>
      </c>
      <c r="X13">
        <f t="shared" si="3"/>
        <v>1838</v>
      </c>
      <c r="Y13">
        <f t="shared" si="4"/>
        <v>122.53333333333333</v>
      </c>
    </row>
    <row r="14" spans="1:29" x14ac:dyDescent="0.3">
      <c r="A14" s="3">
        <v>623</v>
      </c>
      <c r="B14" s="4">
        <v>40572</v>
      </c>
      <c r="C14" s="3">
        <v>1</v>
      </c>
      <c r="D14" s="3">
        <v>0</v>
      </c>
      <c r="E14" s="3">
        <v>1</v>
      </c>
      <c r="F14" s="3">
        <v>4</v>
      </c>
      <c r="G14" s="3" t="b">
        <v>0</v>
      </c>
      <c r="H14" s="3">
        <v>6</v>
      </c>
      <c r="I14" s="3">
        <v>1</v>
      </c>
      <c r="J14" s="3">
        <v>0.16</v>
      </c>
      <c r="K14" s="3">
        <v>0.18179999999999999</v>
      </c>
      <c r="L14" s="3">
        <v>0.69</v>
      </c>
      <c r="M14" s="3">
        <v>0.1045</v>
      </c>
      <c r="N14" s="3">
        <v>1</v>
      </c>
      <c r="O14" s="3">
        <v>2</v>
      </c>
      <c r="P14" s="3">
        <v>3</v>
      </c>
      <c r="Q14" t="str" cm="1">
        <f t="array" ref="Q14">_xlfn.IFS(F14&lt;=12,"morning",F14&lt;=18,"afternoon",F14&lt;=24,"night")</f>
        <v>morning</v>
      </c>
      <c r="R14" t="str">
        <f t="shared" si="0"/>
        <v>Saturday</v>
      </c>
      <c r="V14">
        <f>X23</f>
        <v>0</v>
      </c>
      <c r="X14" t="s">
        <v>56</v>
      </c>
      <c r="Y14">
        <f>STDEV(P2:P391)</f>
        <v>53.274837573683939</v>
      </c>
    </row>
    <row r="15" spans="1:29" x14ac:dyDescent="0.3">
      <c r="A15" s="3">
        <v>624</v>
      </c>
      <c r="B15" s="4">
        <v>40572</v>
      </c>
      <c r="C15" s="3">
        <v>1</v>
      </c>
      <c r="D15" s="3">
        <v>0</v>
      </c>
      <c r="E15" s="3">
        <v>1</v>
      </c>
      <c r="F15" s="3">
        <v>6</v>
      </c>
      <c r="G15" s="3" t="b">
        <v>0</v>
      </c>
      <c r="H15" s="3">
        <v>6</v>
      </c>
      <c r="I15" s="3">
        <v>1</v>
      </c>
      <c r="J15" s="3">
        <v>0.16</v>
      </c>
      <c r="K15" s="3">
        <v>0.18179999999999999</v>
      </c>
      <c r="L15" s="3">
        <v>0.64</v>
      </c>
      <c r="M15" s="3">
        <v>0.1343</v>
      </c>
      <c r="N15" s="3">
        <v>0</v>
      </c>
      <c r="O15" s="3">
        <v>2</v>
      </c>
      <c r="P15" s="3">
        <v>2</v>
      </c>
      <c r="Q15" t="str" cm="1">
        <f t="array" ref="Q15">_xlfn.IFS(F15&lt;=12,"morning",F15&lt;=18,"afternoon",F15&lt;=24,"night")</f>
        <v>morning</v>
      </c>
      <c r="R15" t="str">
        <f t="shared" si="0"/>
        <v>Saturday</v>
      </c>
    </row>
    <row r="16" spans="1:29" x14ac:dyDescent="0.3">
      <c r="A16" s="3">
        <v>625</v>
      </c>
      <c r="B16" s="4">
        <v>40572</v>
      </c>
      <c r="C16" s="3">
        <v>1</v>
      </c>
      <c r="D16" s="3">
        <v>0</v>
      </c>
      <c r="E16" s="3">
        <v>1</v>
      </c>
      <c r="F16" s="3">
        <v>7</v>
      </c>
      <c r="G16" s="3" t="b">
        <v>0</v>
      </c>
      <c r="H16" s="3">
        <v>6</v>
      </c>
      <c r="I16" s="3">
        <v>1</v>
      </c>
      <c r="J16" s="3">
        <v>0.16</v>
      </c>
      <c r="K16" s="3">
        <v>0.18179999999999999</v>
      </c>
      <c r="L16" s="3">
        <v>0.59</v>
      </c>
      <c r="M16" s="3">
        <v>0.1045</v>
      </c>
      <c r="N16" s="3">
        <v>1</v>
      </c>
      <c r="O16" s="3">
        <v>4</v>
      </c>
      <c r="P16" s="3">
        <v>5</v>
      </c>
      <c r="Q16" t="str" cm="1">
        <f t="array" ref="Q16">_xlfn.IFS(F16&lt;=12,"morning",F16&lt;=18,"afternoon",F16&lt;=24,"night")</f>
        <v>morning</v>
      </c>
      <c r="R16" t="str">
        <f t="shared" si="0"/>
        <v>Saturday</v>
      </c>
    </row>
    <row r="17" spans="1:18" x14ac:dyDescent="0.3">
      <c r="A17" s="3">
        <v>626</v>
      </c>
      <c r="B17" s="4">
        <v>40572</v>
      </c>
      <c r="C17" s="3">
        <v>1</v>
      </c>
      <c r="D17" s="3">
        <v>0</v>
      </c>
      <c r="E17" s="3">
        <v>1</v>
      </c>
      <c r="F17" s="3">
        <v>8</v>
      </c>
      <c r="G17" s="3" t="b">
        <v>0</v>
      </c>
      <c r="H17" s="3">
        <v>6</v>
      </c>
      <c r="I17" s="3">
        <v>1</v>
      </c>
      <c r="J17" s="3">
        <v>0.18</v>
      </c>
      <c r="K17" s="3">
        <v>0.19700000000000001</v>
      </c>
      <c r="L17" s="3">
        <v>0.55000000000000004</v>
      </c>
      <c r="M17" s="3">
        <v>0.16420000000000001</v>
      </c>
      <c r="N17" s="3">
        <v>3</v>
      </c>
      <c r="O17" s="3">
        <v>31</v>
      </c>
      <c r="P17" s="3">
        <v>34</v>
      </c>
      <c r="Q17" t="str" cm="1">
        <f t="array" ref="Q17">_xlfn.IFS(F17&lt;=12,"morning",F17&lt;=18,"afternoon",F17&lt;=24,"night")</f>
        <v>morning</v>
      </c>
      <c r="R17" t="str">
        <f t="shared" si="0"/>
        <v>Saturday</v>
      </c>
    </row>
    <row r="18" spans="1:18" x14ac:dyDescent="0.3">
      <c r="A18" s="3">
        <v>627</v>
      </c>
      <c r="B18" s="4">
        <v>40572</v>
      </c>
      <c r="C18" s="3">
        <v>1</v>
      </c>
      <c r="D18" s="3">
        <v>0</v>
      </c>
      <c r="E18" s="3">
        <v>1</v>
      </c>
      <c r="F18" s="3">
        <v>9</v>
      </c>
      <c r="G18" s="3" t="b">
        <v>0</v>
      </c>
      <c r="H18" s="3">
        <v>6</v>
      </c>
      <c r="I18" s="3">
        <v>1</v>
      </c>
      <c r="J18" s="3">
        <v>0.18</v>
      </c>
      <c r="K18" s="3">
        <v>0.21210000000000001</v>
      </c>
      <c r="L18" s="3">
        <v>0.59</v>
      </c>
      <c r="M18" s="3">
        <v>8.9599999999999999E-2</v>
      </c>
      <c r="N18" s="3">
        <v>0</v>
      </c>
      <c r="O18" s="3">
        <v>34</v>
      </c>
      <c r="P18" s="3">
        <v>34</v>
      </c>
      <c r="Q18" t="str" cm="1">
        <f t="array" ref="Q18">_xlfn.IFS(F18&lt;=12,"morning",F18&lt;=18,"afternoon",F18&lt;=24,"night")</f>
        <v>morning</v>
      </c>
      <c r="R18" t="str">
        <f t="shared" si="0"/>
        <v>Saturday</v>
      </c>
    </row>
    <row r="19" spans="1:18" x14ac:dyDescent="0.3">
      <c r="A19" s="3">
        <v>628</v>
      </c>
      <c r="B19" s="4">
        <v>40572</v>
      </c>
      <c r="C19" s="3">
        <v>1</v>
      </c>
      <c r="D19" s="3">
        <v>0</v>
      </c>
      <c r="E19" s="3">
        <v>1</v>
      </c>
      <c r="F19" s="3">
        <v>10</v>
      </c>
      <c r="G19" s="3" t="b">
        <v>0</v>
      </c>
      <c r="H19" s="3">
        <v>6</v>
      </c>
      <c r="I19" s="3">
        <v>2</v>
      </c>
      <c r="J19" s="3">
        <v>0.18</v>
      </c>
      <c r="K19" s="3">
        <v>0.21210000000000001</v>
      </c>
      <c r="L19" s="3">
        <v>0.64</v>
      </c>
      <c r="M19" s="3">
        <v>0.1045</v>
      </c>
      <c r="N19" s="3">
        <v>4</v>
      </c>
      <c r="O19" s="3">
        <v>51</v>
      </c>
      <c r="P19" s="3">
        <v>55</v>
      </c>
      <c r="Q19" t="str" cm="1">
        <f t="array" ref="Q19">_xlfn.IFS(F19&lt;=12,"morning",F19&lt;=18,"afternoon",F19&lt;=24,"night")</f>
        <v>morning</v>
      </c>
      <c r="R19" t="str">
        <f t="shared" si="0"/>
        <v>Saturday</v>
      </c>
    </row>
    <row r="20" spans="1:18" x14ac:dyDescent="0.3">
      <c r="A20" s="3">
        <v>629</v>
      </c>
      <c r="B20" s="4">
        <v>40572</v>
      </c>
      <c r="C20" s="3">
        <v>1</v>
      </c>
      <c r="D20" s="3">
        <v>0</v>
      </c>
      <c r="E20" s="3">
        <v>1</v>
      </c>
      <c r="F20" s="3">
        <v>11</v>
      </c>
      <c r="G20" s="3" t="b">
        <v>0</v>
      </c>
      <c r="H20" s="3">
        <v>6</v>
      </c>
      <c r="I20" s="3">
        <v>2</v>
      </c>
      <c r="J20" s="3">
        <v>0.18</v>
      </c>
      <c r="K20" s="3">
        <v>0.19700000000000001</v>
      </c>
      <c r="L20" s="3">
        <v>0.64</v>
      </c>
      <c r="M20" s="3">
        <v>0.1343</v>
      </c>
      <c r="N20" s="3">
        <v>4</v>
      </c>
      <c r="O20" s="3">
        <v>60</v>
      </c>
      <c r="P20" s="3">
        <v>64</v>
      </c>
      <c r="Q20" t="str" cm="1">
        <f t="array" ref="Q20">_xlfn.IFS(F20&lt;=12,"morning",F20&lt;=18,"afternoon",F20&lt;=24,"night")</f>
        <v>morning</v>
      </c>
      <c r="R20" t="str">
        <f t="shared" si="0"/>
        <v>Saturday</v>
      </c>
    </row>
    <row r="21" spans="1:18" x14ac:dyDescent="0.3">
      <c r="A21" s="3">
        <v>630</v>
      </c>
      <c r="B21" s="4">
        <v>40572</v>
      </c>
      <c r="C21" s="3">
        <v>1</v>
      </c>
      <c r="D21" s="3">
        <v>0</v>
      </c>
      <c r="E21" s="3">
        <v>1</v>
      </c>
      <c r="F21" s="3">
        <v>12</v>
      </c>
      <c r="G21" s="3" t="b">
        <v>0</v>
      </c>
      <c r="H21" s="3">
        <v>6</v>
      </c>
      <c r="I21" s="3">
        <v>2</v>
      </c>
      <c r="J21" s="3">
        <v>0.2</v>
      </c>
      <c r="K21" s="3">
        <v>0.19700000000000001</v>
      </c>
      <c r="L21" s="3">
        <v>0.59</v>
      </c>
      <c r="M21" s="3">
        <v>0.19400000000000001</v>
      </c>
      <c r="N21" s="3">
        <v>12</v>
      </c>
      <c r="O21" s="3">
        <v>66</v>
      </c>
      <c r="P21" s="3">
        <v>78</v>
      </c>
      <c r="Q21" t="str" cm="1">
        <f t="array" ref="Q21">_xlfn.IFS(F21&lt;=12,"morning",F21&lt;=18,"afternoon",F21&lt;=24,"night")</f>
        <v>morning</v>
      </c>
      <c r="R21" t="str">
        <f t="shared" si="0"/>
        <v>Saturday</v>
      </c>
    </row>
    <row r="22" spans="1:18" ht="14.4" customHeight="1" x14ac:dyDescent="0.3">
      <c r="A22" s="3">
        <v>631</v>
      </c>
      <c r="B22" s="4">
        <v>40572</v>
      </c>
      <c r="C22" s="3">
        <v>1</v>
      </c>
      <c r="D22" s="3">
        <v>0</v>
      </c>
      <c r="E22" s="3">
        <v>1</v>
      </c>
      <c r="F22" s="3">
        <v>13</v>
      </c>
      <c r="G22" s="3" t="b">
        <v>0</v>
      </c>
      <c r="H22" s="3">
        <v>6</v>
      </c>
      <c r="I22" s="3">
        <v>2</v>
      </c>
      <c r="J22" s="3">
        <v>0.22</v>
      </c>
      <c r="K22" s="3">
        <v>0.2273</v>
      </c>
      <c r="L22" s="3">
        <v>0.55000000000000004</v>
      </c>
      <c r="M22" s="3">
        <v>0.16420000000000001</v>
      </c>
      <c r="N22" s="3">
        <v>9</v>
      </c>
      <c r="O22" s="3">
        <v>56</v>
      </c>
      <c r="P22" s="3">
        <v>65</v>
      </c>
      <c r="Q22" t="str" cm="1">
        <f t="array" ref="Q22">_xlfn.IFS(F22&lt;=12,"morning",F22&lt;=18,"afternoon",F22&lt;=24,"night")</f>
        <v>afternoon</v>
      </c>
      <c r="R22" t="str">
        <f t="shared" si="0"/>
        <v>Saturday</v>
      </c>
    </row>
    <row r="23" spans="1:18" x14ac:dyDescent="0.3">
      <c r="A23" s="3">
        <v>632</v>
      </c>
      <c r="B23" s="4">
        <v>40572</v>
      </c>
      <c r="C23" s="3">
        <v>1</v>
      </c>
      <c r="D23" s="3">
        <v>0</v>
      </c>
      <c r="E23" s="3">
        <v>1</v>
      </c>
      <c r="F23" s="3">
        <v>14</v>
      </c>
      <c r="G23" s="3" t="b">
        <v>0</v>
      </c>
      <c r="H23" s="3">
        <v>6</v>
      </c>
      <c r="I23" s="3">
        <v>2</v>
      </c>
      <c r="J23" s="3">
        <v>0.22</v>
      </c>
      <c r="K23" s="3">
        <v>0.2273</v>
      </c>
      <c r="L23" s="3">
        <v>0.6</v>
      </c>
      <c r="M23" s="3">
        <v>0.1343</v>
      </c>
      <c r="N23" s="3">
        <v>10</v>
      </c>
      <c r="O23" s="3">
        <v>89</v>
      </c>
      <c r="P23" s="3">
        <v>99</v>
      </c>
      <c r="Q23" t="str" cm="1">
        <f t="array" ref="Q23">_xlfn.IFS(F23&lt;=12,"morning",F23&lt;=18,"afternoon",F23&lt;=24,"night")</f>
        <v>afternoon</v>
      </c>
      <c r="R23" t="str">
        <f t="shared" si="0"/>
        <v>Saturday</v>
      </c>
    </row>
    <row r="24" spans="1:18" x14ac:dyDescent="0.3">
      <c r="A24" s="3">
        <v>633</v>
      </c>
      <c r="B24" s="4">
        <v>40572</v>
      </c>
      <c r="C24" s="3">
        <v>1</v>
      </c>
      <c r="D24" s="3">
        <v>0</v>
      </c>
      <c r="E24" s="3">
        <v>1</v>
      </c>
      <c r="F24" s="3">
        <v>15</v>
      </c>
      <c r="G24" s="3" t="b">
        <v>0</v>
      </c>
      <c r="H24" s="3">
        <v>6</v>
      </c>
      <c r="I24" s="3">
        <v>1</v>
      </c>
      <c r="J24" s="3">
        <v>0.22</v>
      </c>
      <c r="K24" s="3">
        <v>0.21210000000000001</v>
      </c>
      <c r="L24" s="3">
        <v>0.69</v>
      </c>
      <c r="M24" s="3">
        <v>0.25369999999999998</v>
      </c>
      <c r="N24" s="3">
        <v>22</v>
      </c>
      <c r="O24" s="3">
        <v>98</v>
      </c>
      <c r="P24" s="3">
        <v>120</v>
      </c>
      <c r="Q24" t="str" cm="1">
        <f t="array" ref="Q24">_xlfn.IFS(F24&lt;=12,"morning",F24&lt;=18,"afternoon",F24&lt;=24,"night")</f>
        <v>afternoon</v>
      </c>
      <c r="R24" t="str">
        <f t="shared" si="0"/>
        <v>Saturday</v>
      </c>
    </row>
    <row r="25" spans="1:18" x14ac:dyDescent="0.3">
      <c r="A25" s="3">
        <v>634</v>
      </c>
      <c r="B25" s="4">
        <v>40572</v>
      </c>
      <c r="C25" s="3">
        <v>1</v>
      </c>
      <c r="D25" s="3">
        <v>0</v>
      </c>
      <c r="E25" s="3">
        <v>1</v>
      </c>
      <c r="F25" s="3">
        <v>16</v>
      </c>
      <c r="G25" s="3" t="b">
        <v>0</v>
      </c>
      <c r="H25" s="3">
        <v>6</v>
      </c>
      <c r="I25" s="3">
        <v>1</v>
      </c>
      <c r="J25" s="3">
        <v>0.24</v>
      </c>
      <c r="K25" s="3">
        <v>0.2424</v>
      </c>
      <c r="L25" s="3">
        <v>0.6</v>
      </c>
      <c r="M25" s="3">
        <v>0.16420000000000001</v>
      </c>
      <c r="N25" s="3">
        <v>19</v>
      </c>
      <c r="O25" s="3">
        <v>88</v>
      </c>
      <c r="P25" s="3">
        <v>107</v>
      </c>
      <c r="Q25" t="str" cm="1">
        <f t="array" ref="Q25">_xlfn.IFS(F25&lt;=12,"morning",F25&lt;=18,"afternoon",F25&lt;=24,"night")</f>
        <v>afternoon</v>
      </c>
      <c r="R25" t="str">
        <f t="shared" si="0"/>
        <v>Saturday</v>
      </c>
    </row>
    <row r="26" spans="1:18" x14ac:dyDescent="0.3">
      <c r="A26" s="3">
        <v>635</v>
      </c>
      <c r="B26" s="4">
        <v>40572</v>
      </c>
      <c r="C26" s="3">
        <v>1</v>
      </c>
      <c r="D26" s="3">
        <v>0</v>
      </c>
      <c r="E26" s="3">
        <v>1</v>
      </c>
      <c r="F26" s="3">
        <v>17</v>
      </c>
      <c r="G26" s="3" t="b">
        <v>0</v>
      </c>
      <c r="H26" s="3">
        <v>6</v>
      </c>
      <c r="I26" s="3">
        <v>1</v>
      </c>
      <c r="J26" s="3">
        <v>0.24</v>
      </c>
      <c r="K26" s="3">
        <v>0.28789999999999999</v>
      </c>
      <c r="L26" s="3">
        <v>0.6</v>
      </c>
      <c r="M26" s="3">
        <v>0</v>
      </c>
      <c r="N26" s="3">
        <v>9</v>
      </c>
      <c r="O26" s="3">
        <v>82</v>
      </c>
      <c r="P26" s="3">
        <v>91</v>
      </c>
      <c r="Q26" t="str" cm="1">
        <f t="array" ref="Q26">_xlfn.IFS(F26&lt;=12,"morning",F26&lt;=18,"afternoon",F26&lt;=24,"night")</f>
        <v>afternoon</v>
      </c>
      <c r="R26" t="str">
        <f t="shared" si="0"/>
        <v>Saturday</v>
      </c>
    </row>
    <row r="27" spans="1:18" x14ac:dyDescent="0.3">
      <c r="A27" s="3">
        <v>636</v>
      </c>
      <c r="B27" s="4">
        <v>40572</v>
      </c>
      <c r="C27" s="3">
        <v>1</v>
      </c>
      <c r="D27" s="3">
        <v>0</v>
      </c>
      <c r="E27" s="3">
        <v>1</v>
      </c>
      <c r="F27" s="3">
        <v>18</v>
      </c>
      <c r="G27" s="3" t="b">
        <v>0</v>
      </c>
      <c r="H27" s="3">
        <v>6</v>
      </c>
      <c r="I27" s="3">
        <v>1</v>
      </c>
      <c r="J27" s="3">
        <v>0.22</v>
      </c>
      <c r="K27" s="3">
        <v>0.2273</v>
      </c>
      <c r="L27" s="3">
        <v>0.69</v>
      </c>
      <c r="M27" s="3">
        <v>0.1343</v>
      </c>
      <c r="N27" s="3">
        <v>9</v>
      </c>
      <c r="O27" s="3">
        <v>59</v>
      </c>
      <c r="P27" s="3">
        <v>68</v>
      </c>
      <c r="Q27" t="str" cm="1">
        <f t="array" ref="Q27">_xlfn.IFS(F27&lt;=12,"morning",F27&lt;=18,"afternoon",F27&lt;=24,"night")</f>
        <v>afternoon</v>
      </c>
      <c r="R27" t="str">
        <f t="shared" si="0"/>
        <v>Saturday</v>
      </c>
    </row>
    <row r="28" spans="1:18" x14ac:dyDescent="0.3">
      <c r="A28" s="3">
        <v>637</v>
      </c>
      <c r="B28" s="4">
        <v>40572</v>
      </c>
      <c r="C28" s="3">
        <v>1</v>
      </c>
      <c r="D28" s="3">
        <v>0</v>
      </c>
      <c r="E28" s="3">
        <v>1</v>
      </c>
      <c r="F28" s="3">
        <v>19</v>
      </c>
      <c r="G28" s="3" t="b">
        <v>0</v>
      </c>
      <c r="H28" s="3">
        <v>6</v>
      </c>
      <c r="I28" s="3">
        <v>2</v>
      </c>
      <c r="J28" s="3">
        <v>0.22</v>
      </c>
      <c r="K28" s="3">
        <v>0.21210000000000001</v>
      </c>
      <c r="L28" s="3">
        <v>0.69</v>
      </c>
      <c r="M28" s="3">
        <v>0.25369999999999998</v>
      </c>
      <c r="N28" s="3">
        <v>6</v>
      </c>
      <c r="O28" s="3">
        <v>52</v>
      </c>
      <c r="P28" s="3">
        <v>58</v>
      </c>
      <c r="Q28" t="str" cm="1">
        <f t="array" ref="Q28">_xlfn.IFS(F28&lt;=12,"morning",F28&lt;=18,"afternoon",F28&lt;=24,"night")</f>
        <v>night</v>
      </c>
      <c r="R28" t="str">
        <f t="shared" si="0"/>
        <v>Saturday</v>
      </c>
    </row>
    <row r="29" spans="1:18" x14ac:dyDescent="0.3">
      <c r="A29" s="3">
        <v>638</v>
      </c>
      <c r="B29" s="4">
        <v>40572</v>
      </c>
      <c r="C29" s="3">
        <v>1</v>
      </c>
      <c r="D29" s="3">
        <v>0</v>
      </c>
      <c r="E29" s="3">
        <v>1</v>
      </c>
      <c r="F29" s="3">
        <v>20</v>
      </c>
      <c r="G29" s="3" t="b">
        <v>0</v>
      </c>
      <c r="H29" s="3">
        <v>6</v>
      </c>
      <c r="I29" s="3">
        <v>1</v>
      </c>
      <c r="J29" s="3">
        <v>0.18</v>
      </c>
      <c r="K29" s="3">
        <v>0.21210000000000001</v>
      </c>
      <c r="L29" s="3">
        <v>0.74</v>
      </c>
      <c r="M29" s="3">
        <v>8.9599999999999999E-2</v>
      </c>
      <c r="N29" s="3">
        <v>1</v>
      </c>
      <c r="O29" s="3">
        <v>42</v>
      </c>
      <c r="P29" s="3">
        <v>43</v>
      </c>
      <c r="Q29" t="str" cm="1">
        <f t="array" ref="Q29">_xlfn.IFS(F29&lt;=12,"morning",F29&lt;=18,"afternoon",F29&lt;=24,"night")</f>
        <v>night</v>
      </c>
      <c r="R29" t="str">
        <f t="shared" si="0"/>
        <v>Saturday</v>
      </c>
    </row>
    <row r="30" spans="1:18" x14ac:dyDescent="0.3">
      <c r="A30" s="3">
        <v>639</v>
      </c>
      <c r="B30" s="4">
        <v>40572</v>
      </c>
      <c r="C30" s="3">
        <v>1</v>
      </c>
      <c r="D30" s="3">
        <v>0</v>
      </c>
      <c r="E30" s="3">
        <v>1</v>
      </c>
      <c r="F30" s="3">
        <v>21</v>
      </c>
      <c r="G30" s="3" t="b">
        <v>0</v>
      </c>
      <c r="H30" s="3">
        <v>6</v>
      </c>
      <c r="I30" s="3">
        <v>1</v>
      </c>
      <c r="J30" s="3">
        <v>0.18</v>
      </c>
      <c r="K30" s="3">
        <v>0.21210000000000001</v>
      </c>
      <c r="L30" s="3">
        <v>0.74</v>
      </c>
      <c r="M30" s="3">
        <v>8.9599999999999999E-2</v>
      </c>
      <c r="N30" s="3">
        <v>1</v>
      </c>
      <c r="O30" s="3">
        <v>35</v>
      </c>
      <c r="P30" s="3">
        <v>36</v>
      </c>
      <c r="Q30" t="str" cm="1">
        <f t="array" ref="Q30">_xlfn.IFS(F30&lt;=12,"morning",F30&lt;=18,"afternoon",F30&lt;=24,"night")</f>
        <v>night</v>
      </c>
      <c r="R30" t="str">
        <f t="shared" si="0"/>
        <v>Saturday</v>
      </c>
    </row>
    <row r="31" spans="1:18" x14ac:dyDescent="0.3">
      <c r="A31" s="3">
        <v>640</v>
      </c>
      <c r="B31" s="4">
        <v>40572</v>
      </c>
      <c r="C31" s="3">
        <v>1</v>
      </c>
      <c r="D31" s="3">
        <v>0</v>
      </c>
      <c r="E31" s="3">
        <v>1</v>
      </c>
      <c r="F31" s="3">
        <v>22</v>
      </c>
      <c r="G31" s="3" t="b">
        <v>0</v>
      </c>
      <c r="H31" s="3">
        <v>6</v>
      </c>
      <c r="I31" s="3">
        <v>1</v>
      </c>
      <c r="J31" s="3">
        <v>0.16</v>
      </c>
      <c r="K31" s="3">
        <v>0.19700000000000001</v>
      </c>
      <c r="L31" s="3">
        <v>0.8</v>
      </c>
      <c r="M31" s="3">
        <v>8.9599999999999999E-2</v>
      </c>
      <c r="N31" s="3">
        <v>4</v>
      </c>
      <c r="O31" s="3">
        <v>28</v>
      </c>
      <c r="P31" s="3">
        <v>32</v>
      </c>
      <c r="Q31" t="str" cm="1">
        <f t="array" ref="Q31">_xlfn.IFS(F31&lt;=12,"morning",F31&lt;=18,"afternoon",F31&lt;=24,"night")</f>
        <v>night</v>
      </c>
      <c r="R31" t="str">
        <f t="shared" si="0"/>
        <v>Saturday</v>
      </c>
    </row>
    <row r="32" spans="1:18" x14ac:dyDescent="0.3">
      <c r="A32" s="3">
        <v>641</v>
      </c>
      <c r="B32" s="4">
        <v>40572</v>
      </c>
      <c r="C32" s="3">
        <v>1</v>
      </c>
      <c r="D32" s="3">
        <v>0</v>
      </c>
      <c r="E32" s="3">
        <v>1</v>
      </c>
      <c r="F32" s="3">
        <v>23</v>
      </c>
      <c r="G32" s="3" t="b">
        <v>0</v>
      </c>
      <c r="H32" s="3">
        <v>6</v>
      </c>
      <c r="I32" s="3">
        <v>1</v>
      </c>
      <c r="J32" s="3">
        <v>0.16</v>
      </c>
      <c r="K32" s="3">
        <v>0.19700000000000001</v>
      </c>
      <c r="L32" s="3">
        <v>0.8</v>
      </c>
      <c r="M32" s="3">
        <v>8.9599999999999999E-2</v>
      </c>
      <c r="N32" s="3">
        <v>3</v>
      </c>
      <c r="O32" s="3">
        <v>30</v>
      </c>
      <c r="P32" s="3">
        <v>33</v>
      </c>
      <c r="Q32" t="str" cm="1">
        <f t="array" ref="Q32">_xlfn.IFS(F32&lt;=12,"morning",F32&lt;=18,"afternoon",F32&lt;=24,"night")</f>
        <v>night</v>
      </c>
      <c r="R32" t="str">
        <f t="shared" si="0"/>
        <v>Saturday</v>
      </c>
    </row>
    <row r="33" spans="1:18" x14ac:dyDescent="0.3">
      <c r="A33" s="3">
        <v>642</v>
      </c>
      <c r="B33" s="4">
        <v>40573</v>
      </c>
      <c r="C33" s="3">
        <v>1</v>
      </c>
      <c r="D33" s="3">
        <v>0</v>
      </c>
      <c r="E33" s="3">
        <v>1</v>
      </c>
      <c r="F33" s="3">
        <v>0</v>
      </c>
      <c r="G33" s="3" t="b">
        <v>0</v>
      </c>
      <c r="H33" s="3">
        <v>0</v>
      </c>
      <c r="I33" s="3">
        <v>1</v>
      </c>
      <c r="J33" s="3">
        <v>0.16</v>
      </c>
      <c r="K33" s="3">
        <v>0.18179999999999999</v>
      </c>
      <c r="L33" s="3">
        <v>0.8</v>
      </c>
      <c r="M33" s="3">
        <v>0.1045</v>
      </c>
      <c r="N33" s="3">
        <v>0</v>
      </c>
      <c r="O33" s="3">
        <v>33</v>
      </c>
      <c r="P33" s="3">
        <v>33</v>
      </c>
      <c r="Q33" t="str" cm="1">
        <f t="array" ref="Q33">_xlfn.IFS(F33&lt;=12,"morning",F33&lt;=18,"afternoon",F33&lt;=24,"night")</f>
        <v>morning</v>
      </c>
      <c r="R33" t="str">
        <f t="shared" si="0"/>
        <v>Sunday</v>
      </c>
    </row>
    <row r="34" spans="1:18" x14ac:dyDescent="0.3">
      <c r="A34" s="3">
        <v>643</v>
      </c>
      <c r="B34" s="4">
        <v>40573</v>
      </c>
      <c r="C34" s="3">
        <v>1</v>
      </c>
      <c r="D34" s="3">
        <v>0</v>
      </c>
      <c r="E34" s="3">
        <v>1</v>
      </c>
      <c r="F34" s="3">
        <v>1</v>
      </c>
      <c r="G34" s="3" t="b">
        <v>0</v>
      </c>
      <c r="H34" s="3">
        <v>0</v>
      </c>
      <c r="I34" s="3">
        <v>1</v>
      </c>
      <c r="J34" s="3">
        <v>0.14000000000000001</v>
      </c>
      <c r="K34" s="3">
        <v>0.21210000000000001</v>
      </c>
      <c r="L34" s="3">
        <v>0.8</v>
      </c>
      <c r="M34" s="3">
        <v>0</v>
      </c>
      <c r="N34" s="3">
        <v>7</v>
      </c>
      <c r="O34" s="3">
        <v>22</v>
      </c>
      <c r="P34" s="3">
        <v>29</v>
      </c>
      <c r="Q34" t="str" cm="1">
        <f t="array" ref="Q34">_xlfn.IFS(F34&lt;=12,"morning",F34&lt;=18,"afternoon",F34&lt;=24,"night")</f>
        <v>morning</v>
      </c>
      <c r="R34" t="str">
        <f t="shared" si="0"/>
        <v>Sunday</v>
      </c>
    </row>
    <row r="35" spans="1:18" x14ac:dyDescent="0.3">
      <c r="A35" s="3">
        <v>644</v>
      </c>
      <c r="B35" s="4">
        <v>40573</v>
      </c>
      <c r="C35" s="3">
        <v>1</v>
      </c>
      <c r="D35" s="3">
        <v>0</v>
      </c>
      <c r="E35" s="3">
        <v>1</v>
      </c>
      <c r="F35" s="3">
        <v>2</v>
      </c>
      <c r="G35" s="3" t="b">
        <v>0</v>
      </c>
      <c r="H35" s="3">
        <v>0</v>
      </c>
      <c r="I35" s="3">
        <v>1</v>
      </c>
      <c r="J35" s="3">
        <v>0.16</v>
      </c>
      <c r="K35" s="3">
        <v>0.2273</v>
      </c>
      <c r="L35" s="3">
        <v>0.8</v>
      </c>
      <c r="M35" s="3">
        <v>0</v>
      </c>
      <c r="N35" s="3">
        <v>1</v>
      </c>
      <c r="O35" s="3">
        <v>10</v>
      </c>
      <c r="P35" s="3">
        <v>11</v>
      </c>
      <c r="Q35" t="str" cm="1">
        <f t="array" ref="Q35">_xlfn.IFS(F35&lt;=12,"morning",F35&lt;=18,"afternoon",F35&lt;=24,"night")</f>
        <v>morning</v>
      </c>
      <c r="R35" t="str">
        <f t="shared" si="0"/>
        <v>Sunday</v>
      </c>
    </row>
    <row r="36" spans="1:18" x14ac:dyDescent="0.3">
      <c r="A36" s="3">
        <v>645</v>
      </c>
      <c r="B36" s="4">
        <v>40573</v>
      </c>
      <c r="C36" s="3">
        <v>1</v>
      </c>
      <c r="D36" s="3">
        <v>0</v>
      </c>
      <c r="E36" s="3">
        <v>1</v>
      </c>
      <c r="F36" s="3">
        <v>3</v>
      </c>
      <c r="G36" s="3" t="b">
        <v>0</v>
      </c>
      <c r="H36" s="3">
        <v>0</v>
      </c>
      <c r="I36" s="3">
        <v>1</v>
      </c>
      <c r="J36" s="3">
        <v>0.14000000000000001</v>
      </c>
      <c r="K36" s="3">
        <v>0.21210000000000001</v>
      </c>
      <c r="L36" s="3">
        <v>0.93</v>
      </c>
      <c r="M36" s="3">
        <v>0</v>
      </c>
      <c r="N36" s="3">
        <v>1</v>
      </c>
      <c r="O36" s="3">
        <v>7</v>
      </c>
      <c r="P36" s="3">
        <v>8</v>
      </c>
      <c r="Q36" t="str" cm="1">
        <f t="array" ref="Q36">_xlfn.IFS(F36&lt;=12,"morning",F36&lt;=18,"afternoon",F36&lt;=24,"night")</f>
        <v>morning</v>
      </c>
      <c r="R36" t="str">
        <f t="shared" si="0"/>
        <v>Sunday</v>
      </c>
    </row>
    <row r="37" spans="1:18" x14ac:dyDescent="0.3">
      <c r="A37" s="3">
        <v>646</v>
      </c>
      <c r="B37" s="4">
        <v>40573</v>
      </c>
      <c r="C37" s="3">
        <v>1</v>
      </c>
      <c r="D37" s="3">
        <v>0</v>
      </c>
      <c r="E37" s="3">
        <v>1</v>
      </c>
      <c r="F37" s="3">
        <v>4</v>
      </c>
      <c r="G37" s="3" t="b">
        <v>0</v>
      </c>
      <c r="H37" s="3">
        <v>0</v>
      </c>
      <c r="I37" s="3">
        <v>1</v>
      </c>
      <c r="J37" s="3">
        <v>0.14000000000000001</v>
      </c>
      <c r="K37" s="3">
        <v>0.21210000000000001</v>
      </c>
      <c r="L37" s="3">
        <v>0.93</v>
      </c>
      <c r="M37" s="3">
        <v>0</v>
      </c>
      <c r="N37" s="3">
        <v>0</v>
      </c>
      <c r="O37" s="3">
        <v>1</v>
      </c>
      <c r="P37" s="3">
        <v>1</v>
      </c>
      <c r="Q37" t="str" cm="1">
        <f t="array" ref="Q37">_xlfn.IFS(F37&lt;=12,"morning",F37&lt;=18,"afternoon",F37&lt;=24,"night")</f>
        <v>morning</v>
      </c>
      <c r="R37" t="str">
        <f t="shared" si="0"/>
        <v>Sunday</v>
      </c>
    </row>
    <row r="38" spans="1:18" x14ac:dyDescent="0.3">
      <c r="A38" s="3">
        <v>647</v>
      </c>
      <c r="B38" s="4">
        <v>40573</v>
      </c>
      <c r="C38" s="3">
        <v>1</v>
      </c>
      <c r="D38" s="3">
        <v>0</v>
      </c>
      <c r="E38" s="3">
        <v>1</v>
      </c>
      <c r="F38" s="3">
        <v>5</v>
      </c>
      <c r="G38" s="3" t="b">
        <v>0</v>
      </c>
      <c r="H38" s="3">
        <v>0</v>
      </c>
      <c r="I38" s="3">
        <v>1</v>
      </c>
      <c r="J38" s="3">
        <v>0.14000000000000001</v>
      </c>
      <c r="K38" s="3">
        <v>0.21210000000000001</v>
      </c>
      <c r="L38" s="3">
        <v>0.86</v>
      </c>
      <c r="M38" s="3">
        <v>0</v>
      </c>
      <c r="N38" s="3">
        <v>0</v>
      </c>
      <c r="O38" s="3">
        <v>3</v>
      </c>
      <c r="P38" s="3">
        <v>3</v>
      </c>
      <c r="Q38" t="str" cm="1">
        <f t="array" ref="Q38">_xlfn.IFS(F38&lt;=12,"morning",F38&lt;=18,"afternoon",F38&lt;=24,"night")</f>
        <v>morning</v>
      </c>
      <c r="R38" t="str">
        <f t="shared" si="0"/>
        <v>Sunday</v>
      </c>
    </row>
    <row r="39" spans="1:18" x14ac:dyDescent="0.3">
      <c r="A39" s="3">
        <v>648</v>
      </c>
      <c r="B39" s="4">
        <v>40573</v>
      </c>
      <c r="C39" s="3">
        <v>1</v>
      </c>
      <c r="D39" s="3">
        <v>0</v>
      </c>
      <c r="E39" s="3">
        <v>1</v>
      </c>
      <c r="F39" s="3">
        <v>7</v>
      </c>
      <c r="G39" s="3" t="b">
        <v>0</v>
      </c>
      <c r="H39" s="3">
        <v>0</v>
      </c>
      <c r="I39" s="3">
        <v>1</v>
      </c>
      <c r="J39" s="3">
        <v>0.14000000000000001</v>
      </c>
      <c r="K39" s="3">
        <v>0.21210000000000001</v>
      </c>
      <c r="L39" s="3">
        <v>0.86</v>
      </c>
      <c r="M39" s="3">
        <v>0</v>
      </c>
      <c r="N39" s="3">
        <v>0</v>
      </c>
      <c r="O39" s="3">
        <v>3</v>
      </c>
      <c r="P39" s="3">
        <v>3</v>
      </c>
      <c r="Q39" t="str" cm="1">
        <f t="array" ref="Q39">_xlfn.IFS(F39&lt;=12,"morning",F39&lt;=18,"afternoon",F39&lt;=24,"night")</f>
        <v>morning</v>
      </c>
      <c r="R39" t="str">
        <f t="shared" si="0"/>
        <v>Sunday</v>
      </c>
    </row>
    <row r="40" spans="1:18" x14ac:dyDescent="0.3">
      <c r="A40" s="3">
        <v>649</v>
      </c>
      <c r="B40" s="4">
        <v>40573</v>
      </c>
      <c r="C40" s="3">
        <v>1</v>
      </c>
      <c r="D40" s="3">
        <v>0</v>
      </c>
      <c r="E40" s="3">
        <v>1</v>
      </c>
      <c r="F40" s="3">
        <v>8</v>
      </c>
      <c r="G40" s="3" t="b">
        <v>0</v>
      </c>
      <c r="H40" s="3">
        <v>0</v>
      </c>
      <c r="I40" s="3">
        <v>2</v>
      </c>
      <c r="J40" s="3">
        <v>0.14000000000000001</v>
      </c>
      <c r="K40" s="3">
        <v>0.21210000000000001</v>
      </c>
      <c r="L40" s="3">
        <v>0.86</v>
      </c>
      <c r="M40" s="3">
        <v>0</v>
      </c>
      <c r="N40" s="3">
        <v>1</v>
      </c>
      <c r="O40" s="3">
        <v>11</v>
      </c>
      <c r="P40" s="3">
        <v>12</v>
      </c>
      <c r="Q40" t="str" cm="1">
        <f t="array" ref="Q40">_xlfn.IFS(F40&lt;=12,"morning",F40&lt;=18,"afternoon",F40&lt;=24,"night")</f>
        <v>morning</v>
      </c>
      <c r="R40" t="str">
        <f t="shared" si="0"/>
        <v>Sunday</v>
      </c>
    </row>
    <row r="41" spans="1:18" x14ac:dyDescent="0.3">
      <c r="A41" s="3">
        <v>650</v>
      </c>
      <c r="B41" s="4">
        <v>40573</v>
      </c>
      <c r="C41" s="3">
        <v>1</v>
      </c>
      <c r="D41" s="3">
        <v>0</v>
      </c>
      <c r="E41" s="3">
        <v>1</v>
      </c>
      <c r="F41" s="3">
        <v>9</v>
      </c>
      <c r="G41" s="3" t="b">
        <v>0</v>
      </c>
      <c r="H41" s="3">
        <v>0</v>
      </c>
      <c r="I41" s="3">
        <v>2</v>
      </c>
      <c r="J41" s="3">
        <v>0.16</v>
      </c>
      <c r="K41" s="3">
        <v>0.2273</v>
      </c>
      <c r="L41" s="3">
        <v>0.8</v>
      </c>
      <c r="M41" s="3">
        <v>0</v>
      </c>
      <c r="N41" s="3">
        <v>4</v>
      </c>
      <c r="O41" s="3">
        <v>34</v>
      </c>
      <c r="P41" s="3">
        <v>38</v>
      </c>
      <c r="Q41" t="str" cm="1">
        <f t="array" ref="Q41">_xlfn.IFS(F41&lt;=12,"morning",F41&lt;=18,"afternoon",F41&lt;=24,"night")</f>
        <v>morning</v>
      </c>
      <c r="R41" t="str">
        <f t="shared" si="0"/>
        <v>Sunday</v>
      </c>
    </row>
    <row r="42" spans="1:18" x14ac:dyDescent="0.3">
      <c r="A42" s="3">
        <v>651</v>
      </c>
      <c r="B42" s="4">
        <v>40573</v>
      </c>
      <c r="C42" s="3">
        <v>1</v>
      </c>
      <c r="D42" s="3">
        <v>0</v>
      </c>
      <c r="E42" s="3">
        <v>1</v>
      </c>
      <c r="F42" s="3">
        <v>10</v>
      </c>
      <c r="G42" s="3" t="b">
        <v>0</v>
      </c>
      <c r="H42" s="3">
        <v>0</v>
      </c>
      <c r="I42" s="3">
        <v>2</v>
      </c>
      <c r="J42" s="3">
        <v>0.18</v>
      </c>
      <c r="K42" s="3">
        <v>0.2424</v>
      </c>
      <c r="L42" s="3">
        <v>0.8</v>
      </c>
      <c r="M42" s="3">
        <v>0</v>
      </c>
      <c r="N42" s="3">
        <v>7</v>
      </c>
      <c r="O42" s="3">
        <v>57</v>
      </c>
      <c r="P42" s="3">
        <v>64</v>
      </c>
      <c r="Q42" t="str" cm="1">
        <f t="array" ref="Q42">_xlfn.IFS(F42&lt;=12,"morning",F42&lt;=18,"afternoon",F42&lt;=24,"night")</f>
        <v>morning</v>
      </c>
      <c r="R42" t="str">
        <f t="shared" si="0"/>
        <v>Sunday</v>
      </c>
    </row>
    <row r="43" spans="1:18" x14ac:dyDescent="0.3">
      <c r="A43" s="3">
        <v>652</v>
      </c>
      <c r="B43" s="4">
        <v>40573</v>
      </c>
      <c r="C43" s="3">
        <v>1</v>
      </c>
      <c r="D43" s="3">
        <v>0</v>
      </c>
      <c r="E43" s="3">
        <v>1</v>
      </c>
      <c r="F43" s="3">
        <v>11</v>
      </c>
      <c r="G43" s="3" t="b">
        <v>0</v>
      </c>
      <c r="H43" s="3">
        <v>0</v>
      </c>
      <c r="I43" s="3">
        <v>1</v>
      </c>
      <c r="J43" s="3">
        <v>0.22</v>
      </c>
      <c r="K43" s="3">
        <v>0.2727</v>
      </c>
      <c r="L43" s="3">
        <v>0.75</v>
      </c>
      <c r="M43" s="3">
        <v>0</v>
      </c>
      <c r="N43" s="3">
        <v>9</v>
      </c>
      <c r="O43" s="3">
        <v>50</v>
      </c>
      <c r="P43" s="3">
        <v>59</v>
      </c>
      <c r="Q43" t="str" cm="1">
        <f t="array" ref="Q43">_xlfn.IFS(F43&lt;=12,"morning",F43&lt;=18,"afternoon",F43&lt;=24,"night")</f>
        <v>morning</v>
      </c>
      <c r="R43" t="str">
        <f t="shared" si="0"/>
        <v>Sunday</v>
      </c>
    </row>
    <row r="44" spans="1:18" x14ac:dyDescent="0.3">
      <c r="A44" s="3">
        <v>653</v>
      </c>
      <c r="B44" s="4">
        <v>40573</v>
      </c>
      <c r="C44" s="3">
        <v>1</v>
      </c>
      <c r="D44" s="3">
        <v>0</v>
      </c>
      <c r="E44" s="3">
        <v>1</v>
      </c>
      <c r="F44" s="3">
        <v>12</v>
      </c>
      <c r="G44" s="3" t="b">
        <v>0</v>
      </c>
      <c r="H44" s="3">
        <v>0</v>
      </c>
      <c r="I44" s="3">
        <v>1</v>
      </c>
      <c r="J44" s="3">
        <v>0.3</v>
      </c>
      <c r="K44" s="3">
        <v>0.31819999999999998</v>
      </c>
      <c r="L44" s="3">
        <v>0.52</v>
      </c>
      <c r="M44" s="3">
        <v>0.1045</v>
      </c>
      <c r="N44" s="3">
        <v>10</v>
      </c>
      <c r="O44" s="3">
        <v>87</v>
      </c>
      <c r="P44" s="3">
        <v>97</v>
      </c>
      <c r="Q44" t="str" cm="1">
        <f t="array" ref="Q44">_xlfn.IFS(F44&lt;=12,"morning",F44&lt;=18,"afternoon",F44&lt;=24,"night")</f>
        <v>morning</v>
      </c>
      <c r="R44" t="str">
        <f t="shared" si="0"/>
        <v>Sunday</v>
      </c>
    </row>
    <row r="45" spans="1:18" x14ac:dyDescent="0.3">
      <c r="A45" s="3">
        <v>654</v>
      </c>
      <c r="B45" s="4">
        <v>40573</v>
      </c>
      <c r="C45" s="3">
        <v>1</v>
      </c>
      <c r="D45" s="3">
        <v>0</v>
      </c>
      <c r="E45" s="3">
        <v>1</v>
      </c>
      <c r="F45" s="3">
        <v>13</v>
      </c>
      <c r="G45" s="3" t="b">
        <v>0</v>
      </c>
      <c r="H45" s="3">
        <v>0</v>
      </c>
      <c r="I45" s="3">
        <v>1</v>
      </c>
      <c r="J45" s="3">
        <v>0.28000000000000003</v>
      </c>
      <c r="K45" s="3">
        <v>0.28789999999999999</v>
      </c>
      <c r="L45" s="3">
        <v>0.61</v>
      </c>
      <c r="M45" s="3">
        <v>0.1045</v>
      </c>
      <c r="N45" s="3">
        <v>13</v>
      </c>
      <c r="O45" s="3">
        <v>71</v>
      </c>
      <c r="P45" s="3">
        <v>84</v>
      </c>
      <c r="Q45" t="str" cm="1">
        <f t="array" ref="Q45">_xlfn.IFS(F45&lt;=12,"morning",F45&lt;=18,"afternoon",F45&lt;=24,"night")</f>
        <v>afternoon</v>
      </c>
      <c r="R45" t="str">
        <f t="shared" si="0"/>
        <v>Sunday</v>
      </c>
    </row>
    <row r="46" spans="1:18" x14ac:dyDescent="0.3">
      <c r="A46" s="3">
        <v>655</v>
      </c>
      <c r="B46" s="4">
        <v>40573</v>
      </c>
      <c r="C46" s="3">
        <v>1</v>
      </c>
      <c r="D46" s="3">
        <v>0</v>
      </c>
      <c r="E46" s="3">
        <v>1</v>
      </c>
      <c r="F46" s="3">
        <v>14</v>
      </c>
      <c r="G46" s="3" t="b">
        <v>0</v>
      </c>
      <c r="H46" s="3">
        <v>0</v>
      </c>
      <c r="I46" s="3">
        <v>1</v>
      </c>
      <c r="J46" s="3">
        <v>0.28000000000000003</v>
      </c>
      <c r="K46" s="3">
        <v>0.30299999999999999</v>
      </c>
      <c r="L46" s="3">
        <v>0.61</v>
      </c>
      <c r="M46" s="3">
        <v>8.9599999999999999E-2</v>
      </c>
      <c r="N46" s="3">
        <v>18</v>
      </c>
      <c r="O46" s="3">
        <v>104</v>
      </c>
      <c r="P46" s="3">
        <v>122</v>
      </c>
      <c r="Q46" t="str" cm="1">
        <f t="array" ref="Q46">_xlfn.IFS(F46&lt;=12,"morning",F46&lt;=18,"afternoon",F46&lt;=24,"night")</f>
        <v>afternoon</v>
      </c>
      <c r="R46" t="str">
        <f t="shared" si="0"/>
        <v>Sunday</v>
      </c>
    </row>
    <row r="47" spans="1:18" x14ac:dyDescent="0.3">
      <c r="A47" s="3">
        <v>656</v>
      </c>
      <c r="B47" s="4">
        <v>40573</v>
      </c>
      <c r="C47" s="3">
        <v>1</v>
      </c>
      <c r="D47" s="3">
        <v>0</v>
      </c>
      <c r="E47" s="3">
        <v>1</v>
      </c>
      <c r="F47" s="3">
        <v>15</v>
      </c>
      <c r="G47" s="3" t="b">
        <v>0</v>
      </c>
      <c r="H47" s="3">
        <v>0</v>
      </c>
      <c r="I47" s="3">
        <v>1</v>
      </c>
      <c r="J47" s="3">
        <v>0.3</v>
      </c>
      <c r="K47" s="3">
        <v>0.33329999999999999</v>
      </c>
      <c r="L47" s="3">
        <v>0.56000000000000005</v>
      </c>
      <c r="M47" s="3">
        <v>0</v>
      </c>
      <c r="N47" s="3">
        <v>14</v>
      </c>
      <c r="O47" s="3">
        <v>95</v>
      </c>
      <c r="P47" s="3">
        <v>109</v>
      </c>
      <c r="Q47" t="str" cm="1">
        <f t="array" ref="Q47">_xlfn.IFS(F47&lt;=12,"morning",F47&lt;=18,"afternoon",F47&lt;=24,"night")</f>
        <v>afternoon</v>
      </c>
      <c r="R47" t="str">
        <f t="shared" si="0"/>
        <v>Sunday</v>
      </c>
    </row>
    <row r="48" spans="1:18" x14ac:dyDescent="0.3">
      <c r="A48" s="3">
        <v>657</v>
      </c>
      <c r="B48" s="4">
        <v>40573</v>
      </c>
      <c r="C48" s="3">
        <v>1</v>
      </c>
      <c r="D48" s="3">
        <v>0</v>
      </c>
      <c r="E48" s="3">
        <v>1</v>
      </c>
      <c r="F48" s="3">
        <v>16</v>
      </c>
      <c r="G48" s="3" t="b">
        <v>0</v>
      </c>
      <c r="H48" s="3">
        <v>0</v>
      </c>
      <c r="I48" s="3">
        <v>1</v>
      </c>
      <c r="J48" s="3">
        <v>0.3</v>
      </c>
      <c r="K48" s="3">
        <v>0.33329999999999999</v>
      </c>
      <c r="L48" s="3">
        <v>0.56000000000000005</v>
      </c>
      <c r="M48" s="3">
        <v>0</v>
      </c>
      <c r="N48" s="3">
        <v>19</v>
      </c>
      <c r="O48" s="3">
        <v>104</v>
      </c>
      <c r="P48" s="3">
        <v>123</v>
      </c>
      <c r="Q48" t="str" cm="1">
        <f t="array" ref="Q48">_xlfn.IFS(F48&lt;=12,"morning",F48&lt;=18,"afternoon",F48&lt;=24,"night")</f>
        <v>afternoon</v>
      </c>
      <c r="R48" t="str">
        <f t="shared" si="0"/>
        <v>Sunday</v>
      </c>
    </row>
    <row r="49" spans="1:18" x14ac:dyDescent="0.3">
      <c r="A49" s="3">
        <v>658</v>
      </c>
      <c r="B49" s="4">
        <v>40573</v>
      </c>
      <c r="C49" s="3">
        <v>1</v>
      </c>
      <c r="D49" s="3">
        <v>0</v>
      </c>
      <c r="E49" s="3">
        <v>1</v>
      </c>
      <c r="F49" s="3">
        <v>17</v>
      </c>
      <c r="G49" s="3" t="b">
        <v>0</v>
      </c>
      <c r="H49" s="3">
        <v>0</v>
      </c>
      <c r="I49" s="3">
        <v>1</v>
      </c>
      <c r="J49" s="3">
        <v>0.3</v>
      </c>
      <c r="K49" s="3">
        <v>0.28789999999999999</v>
      </c>
      <c r="L49" s="3">
        <v>0.56000000000000005</v>
      </c>
      <c r="M49" s="3">
        <v>0.19400000000000001</v>
      </c>
      <c r="N49" s="3">
        <v>6</v>
      </c>
      <c r="O49" s="3">
        <v>71</v>
      </c>
      <c r="P49" s="3">
        <v>77</v>
      </c>
      <c r="Q49" t="str" cm="1">
        <f t="array" ref="Q49">_xlfn.IFS(F49&lt;=12,"morning",F49&lt;=18,"afternoon",F49&lt;=24,"night")</f>
        <v>afternoon</v>
      </c>
      <c r="R49" t="str">
        <f t="shared" si="0"/>
        <v>Sunday</v>
      </c>
    </row>
    <row r="50" spans="1:18" x14ac:dyDescent="0.3">
      <c r="A50" s="3">
        <v>659</v>
      </c>
      <c r="B50" s="4">
        <v>40573</v>
      </c>
      <c r="C50" s="3">
        <v>1</v>
      </c>
      <c r="D50" s="3">
        <v>0</v>
      </c>
      <c r="E50" s="3">
        <v>1</v>
      </c>
      <c r="F50" s="3">
        <v>18</v>
      </c>
      <c r="G50" s="3" t="b">
        <v>0</v>
      </c>
      <c r="H50" s="3">
        <v>0</v>
      </c>
      <c r="I50" s="3">
        <v>1</v>
      </c>
      <c r="J50" s="3">
        <v>0.26</v>
      </c>
      <c r="K50" s="3">
        <v>0.2576</v>
      </c>
      <c r="L50" s="3">
        <v>0.65</v>
      </c>
      <c r="M50" s="3">
        <v>0.16420000000000001</v>
      </c>
      <c r="N50" s="3">
        <v>8</v>
      </c>
      <c r="O50" s="3">
        <v>57</v>
      </c>
      <c r="P50" s="3">
        <v>65</v>
      </c>
      <c r="Q50" t="str" cm="1">
        <f t="array" ref="Q50">_xlfn.IFS(F50&lt;=12,"morning",F50&lt;=18,"afternoon",F50&lt;=24,"night")</f>
        <v>afternoon</v>
      </c>
      <c r="R50" t="str">
        <f t="shared" si="0"/>
        <v>Sunday</v>
      </c>
    </row>
    <row r="51" spans="1:18" x14ac:dyDescent="0.3">
      <c r="A51" s="3">
        <v>660</v>
      </c>
      <c r="B51" s="4">
        <v>40573</v>
      </c>
      <c r="C51" s="3">
        <v>1</v>
      </c>
      <c r="D51" s="3">
        <v>0</v>
      </c>
      <c r="E51" s="3">
        <v>1</v>
      </c>
      <c r="F51" s="3">
        <v>19</v>
      </c>
      <c r="G51" s="3" t="b">
        <v>0</v>
      </c>
      <c r="H51" s="3">
        <v>0</v>
      </c>
      <c r="I51" s="3">
        <v>1</v>
      </c>
      <c r="J51" s="3">
        <v>0.26</v>
      </c>
      <c r="K51" s="3">
        <v>0.2576</v>
      </c>
      <c r="L51" s="3">
        <v>0.65</v>
      </c>
      <c r="M51" s="3">
        <v>0.19400000000000001</v>
      </c>
      <c r="N51" s="3">
        <v>9</v>
      </c>
      <c r="O51" s="3">
        <v>46</v>
      </c>
      <c r="P51" s="3">
        <v>55</v>
      </c>
      <c r="Q51" t="str" cm="1">
        <f t="array" ref="Q51">_xlfn.IFS(F51&lt;=12,"morning",F51&lt;=18,"afternoon",F51&lt;=24,"night")</f>
        <v>night</v>
      </c>
      <c r="R51" t="str">
        <f t="shared" si="0"/>
        <v>Sunday</v>
      </c>
    </row>
    <row r="52" spans="1:18" x14ac:dyDescent="0.3">
      <c r="A52" s="3">
        <v>661</v>
      </c>
      <c r="B52" s="4">
        <v>40573</v>
      </c>
      <c r="C52" s="3">
        <v>1</v>
      </c>
      <c r="D52" s="3">
        <v>0</v>
      </c>
      <c r="E52" s="3">
        <v>1</v>
      </c>
      <c r="F52" s="3">
        <v>20</v>
      </c>
      <c r="G52" s="3" t="b">
        <v>0</v>
      </c>
      <c r="H52" s="3">
        <v>0</v>
      </c>
      <c r="I52" s="3">
        <v>2</v>
      </c>
      <c r="J52" s="3">
        <v>0.26</v>
      </c>
      <c r="K52" s="3">
        <v>0.2727</v>
      </c>
      <c r="L52" s="3">
        <v>0.65</v>
      </c>
      <c r="M52" s="3">
        <v>0.1045</v>
      </c>
      <c r="N52" s="3">
        <v>3</v>
      </c>
      <c r="O52" s="3">
        <v>30</v>
      </c>
      <c r="P52" s="3">
        <v>33</v>
      </c>
      <c r="Q52" t="str" cm="1">
        <f t="array" ref="Q52">_xlfn.IFS(F52&lt;=12,"morning",F52&lt;=18,"afternoon",F52&lt;=24,"night")</f>
        <v>night</v>
      </c>
      <c r="R52" t="str">
        <f t="shared" si="0"/>
        <v>Sunday</v>
      </c>
    </row>
    <row r="53" spans="1:18" x14ac:dyDescent="0.3">
      <c r="A53" s="3">
        <v>662</v>
      </c>
      <c r="B53" s="4">
        <v>40573</v>
      </c>
      <c r="C53" s="3">
        <v>1</v>
      </c>
      <c r="D53" s="3">
        <v>0</v>
      </c>
      <c r="E53" s="3">
        <v>1</v>
      </c>
      <c r="F53" s="3">
        <v>21</v>
      </c>
      <c r="G53" s="3" t="b">
        <v>0</v>
      </c>
      <c r="H53" s="3">
        <v>0</v>
      </c>
      <c r="I53" s="3">
        <v>2</v>
      </c>
      <c r="J53" s="3">
        <v>0.24</v>
      </c>
      <c r="K53" s="3">
        <v>0.2424</v>
      </c>
      <c r="L53" s="3">
        <v>0.7</v>
      </c>
      <c r="M53" s="3">
        <v>0.16420000000000001</v>
      </c>
      <c r="N53" s="3">
        <v>3</v>
      </c>
      <c r="O53" s="3">
        <v>25</v>
      </c>
      <c r="P53" s="3">
        <v>28</v>
      </c>
      <c r="Q53" t="str" cm="1">
        <f t="array" ref="Q53">_xlfn.IFS(F53&lt;=12,"morning",F53&lt;=18,"afternoon",F53&lt;=24,"night")</f>
        <v>night</v>
      </c>
      <c r="R53" t="str">
        <f t="shared" si="0"/>
        <v>Sunday</v>
      </c>
    </row>
    <row r="54" spans="1:18" x14ac:dyDescent="0.3">
      <c r="A54" s="3">
        <v>663</v>
      </c>
      <c r="B54" s="4">
        <v>40573</v>
      </c>
      <c r="C54" s="3">
        <v>1</v>
      </c>
      <c r="D54" s="3">
        <v>0</v>
      </c>
      <c r="E54" s="3">
        <v>1</v>
      </c>
      <c r="F54" s="3">
        <v>22</v>
      </c>
      <c r="G54" s="3" t="b">
        <v>0</v>
      </c>
      <c r="H54" s="3">
        <v>0</v>
      </c>
      <c r="I54" s="3">
        <v>2</v>
      </c>
      <c r="J54" s="3">
        <v>0.24</v>
      </c>
      <c r="K54" s="3">
        <v>0.2273</v>
      </c>
      <c r="L54" s="3">
        <v>0.7</v>
      </c>
      <c r="M54" s="3">
        <v>0.19400000000000001</v>
      </c>
      <c r="N54" s="3">
        <v>2</v>
      </c>
      <c r="O54" s="3">
        <v>19</v>
      </c>
      <c r="P54" s="3">
        <v>21</v>
      </c>
      <c r="Q54" t="str" cm="1">
        <f t="array" ref="Q54">_xlfn.IFS(F54&lt;=12,"morning",F54&lt;=18,"afternoon",F54&lt;=24,"night")</f>
        <v>night</v>
      </c>
      <c r="R54" t="str">
        <f t="shared" si="0"/>
        <v>Sunday</v>
      </c>
    </row>
    <row r="55" spans="1:18" x14ac:dyDescent="0.3">
      <c r="A55" s="3">
        <v>664</v>
      </c>
      <c r="B55" s="4">
        <v>40573</v>
      </c>
      <c r="C55" s="3">
        <v>1</v>
      </c>
      <c r="D55" s="3">
        <v>0</v>
      </c>
      <c r="E55" s="3">
        <v>1</v>
      </c>
      <c r="F55" s="3">
        <v>23</v>
      </c>
      <c r="G55" s="3" t="b">
        <v>0</v>
      </c>
      <c r="H55" s="3">
        <v>0</v>
      </c>
      <c r="I55" s="3">
        <v>2</v>
      </c>
      <c r="J55" s="3">
        <v>0.24</v>
      </c>
      <c r="K55" s="3">
        <v>0.21210000000000001</v>
      </c>
      <c r="L55" s="3">
        <v>0.65</v>
      </c>
      <c r="M55" s="3">
        <v>0.28360000000000002</v>
      </c>
      <c r="N55" s="3">
        <v>5</v>
      </c>
      <c r="O55" s="3">
        <v>16</v>
      </c>
      <c r="P55" s="3">
        <v>21</v>
      </c>
      <c r="Q55" t="str" cm="1">
        <f t="array" ref="Q55">_xlfn.IFS(F55&lt;=12,"morning",F55&lt;=18,"afternoon",F55&lt;=24,"night")</f>
        <v>night</v>
      </c>
      <c r="R55" t="str">
        <f t="shared" si="0"/>
        <v>Sunday</v>
      </c>
    </row>
    <row r="56" spans="1:18" x14ac:dyDescent="0.3">
      <c r="A56" s="3">
        <v>665</v>
      </c>
      <c r="B56" s="4">
        <v>40574</v>
      </c>
      <c r="C56" s="3">
        <v>1</v>
      </c>
      <c r="D56" s="3">
        <v>0</v>
      </c>
      <c r="E56" s="3">
        <v>1</v>
      </c>
      <c r="F56" s="3">
        <v>0</v>
      </c>
      <c r="G56" s="3" t="b">
        <v>0</v>
      </c>
      <c r="H56" s="3">
        <v>1</v>
      </c>
      <c r="I56" s="3">
        <v>2</v>
      </c>
      <c r="J56" s="3">
        <v>0.24</v>
      </c>
      <c r="K56" s="3">
        <v>0.2273</v>
      </c>
      <c r="L56" s="3">
        <v>0.65</v>
      </c>
      <c r="M56" s="3">
        <v>0.22389999999999999</v>
      </c>
      <c r="N56" s="3">
        <v>1</v>
      </c>
      <c r="O56" s="3">
        <v>6</v>
      </c>
      <c r="P56" s="3">
        <v>7</v>
      </c>
      <c r="Q56" t="str" cm="1">
        <f t="array" ref="Q56">_xlfn.IFS(F56&lt;=12,"morning",F56&lt;=18,"afternoon",F56&lt;=24,"night")</f>
        <v>morning</v>
      </c>
      <c r="R56" t="str">
        <f t="shared" si="0"/>
        <v>Monday</v>
      </c>
    </row>
    <row r="57" spans="1:18" x14ac:dyDescent="0.3">
      <c r="A57" s="3">
        <v>666</v>
      </c>
      <c r="B57" s="4">
        <v>40574</v>
      </c>
      <c r="C57" s="3">
        <v>1</v>
      </c>
      <c r="D57" s="3">
        <v>0</v>
      </c>
      <c r="E57" s="3">
        <v>1</v>
      </c>
      <c r="F57" s="3">
        <v>1</v>
      </c>
      <c r="G57" s="3" t="b">
        <v>0</v>
      </c>
      <c r="H57" s="3">
        <v>1</v>
      </c>
      <c r="I57" s="3">
        <v>1</v>
      </c>
      <c r="J57" s="3">
        <v>0.22</v>
      </c>
      <c r="K57" s="3">
        <v>0.21210000000000001</v>
      </c>
      <c r="L57" s="3">
        <v>0.64</v>
      </c>
      <c r="M57" s="3">
        <v>0.25369999999999998</v>
      </c>
      <c r="N57" s="3">
        <v>2</v>
      </c>
      <c r="O57" s="3">
        <v>5</v>
      </c>
      <c r="P57" s="3">
        <v>7</v>
      </c>
      <c r="Q57" t="str" cm="1">
        <f t="array" ref="Q57">_xlfn.IFS(F57&lt;=12,"morning",F57&lt;=18,"afternoon",F57&lt;=24,"night")</f>
        <v>morning</v>
      </c>
      <c r="R57" t="str">
        <f t="shared" si="0"/>
        <v>Monday</v>
      </c>
    </row>
    <row r="58" spans="1:18" x14ac:dyDescent="0.3">
      <c r="A58" s="3">
        <v>667</v>
      </c>
      <c r="B58" s="4">
        <v>40574</v>
      </c>
      <c r="C58" s="3">
        <v>1</v>
      </c>
      <c r="D58" s="3">
        <v>0</v>
      </c>
      <c r="E58" s="3">
        <v>1</v>
      </c>
      <c r="F58" s="3">
        <v>2</v>
      </c>
      <c r="G58" s="3" t="b">
        <v>0</v>
      </c>
      <c r="H58" s="3">
        <v>1</v>
      </c>
      <c r="I58" s="3">
        <v>1</v>
      </c>
      <c r="J58" s="3">
        <v>0.22</v>
      </c>
      <c r="K58" s="3">
        <v>0.2273</v>
      </c>
      <c r="L58" s="3">
        <v>0.64</v>
      </c>
      <c r="M58" s="3">
        <v>0.19400000000000001</v>
      </c>
      <c r="N58" s="3">
        <v>0</v>
      </c>
      <c r="O58" s="3">
        <v>1</v>
      </c>
      <c r="P58" s="3">
        <v>1</v>
      </c>
      <c r="Q58" t="str" cm="1">
        <f t="array" ref="Q58">_xlfn.IFS(F58&lt;=12,"morning",F58&lt;=18,"afternoon",F58&lt;=24,"night")</f>
        <v>morning</v>
      </c>
      <c r="R58" t="str">
        <f t="shared" si="0"/>
        <v>Monday</v>
      </c>
    </row>
    <row r="59" spans="1:18" x14ac:dyDescent="0.3">
      <c r="A59" s="3">
        <v>668</v>
      </c>
      <c r="B59" s="4">
        <v>40574</v>
      </c>
      <c r="C59" s="3">
        <v>1</v>
      </c>
      <c r="D59" s="3">
        <v>0</v>
      </c>
      <c r="E59" s="3">
        <v>1</v>
      </c>
      <c r="F59" s="3">
        <v>3</v>
      </c>
      <c r="G59" s="3" t="b">
        <v>0</v>
      </c>
      <c r="H59" s="3">
        <v>1</v>
      </c>
      <c r="I59" s="3">
        <v>1</v>
      </c>
      <c r="J59" s="3">
        <v>0.22</v>
      </c>
      <c r="K59" s="3">
        <v>0.2273</v>
      </c>
      <c r="L59" s="3">
        <v>0.64</v>
      </c>
      <c r="M59" s="3">
        <v>0.19400000000000001</v>
      </c>
      <c r="N59" s="3">
        <v>0</v>
      </c>
      <c r="O59" s="3">
        <v>2</v>
      </c>
      <c r="P59" s="3">
        <v>2</v>
      </c>
      <c r="Q59" t="str" cm="1">
        <f t="array" ref="Q59">_xlfn.IFS(F59&lt;=12,"morning",F59&lt;=18,"afternoon",F59&lt;=24,"night")</f>
        <v>morning</v>
      </c>
      <c r="R59" t="str">
        <f t="shared" si="0"/>
        <v>Monday</v>
      </c>
    </row>
    <row r="60" spans="1:18" x14ac:dyDescent="0.3">
      <c r="A60" s="3">
        <v>669</v>
      </c>
      <c r="B60" s="4">
        <v>40574</v>
      </c>
      <c r="C60" s="3">
        <v>1</v>
      </c>
      <c r="D60" s="3">
        <v>0</v>
      </c>
      <c r="E60" s="3">
        <v>1</v>
      </c>
      <c r="F60" s="3">
        <v>4</v>
      </c>
      <c r="G60" s="3" t="b">
        <v>0</v>
      </c>
      <c r="H60" s="3">
        <v>1</v>
      </c>
      <c r="I60" s="3">
        <v>1</v>
      </c>
      <c r="J60" s="3">
        <v>0.2</v>
      </c>
      <c r="K60" s="3">
        <v>0.19700000000000001</v>
      </c>
      <c r="L60" s="3">
        <v>0.59</v>
      </c>
      <c r="M60" s="3">
        <v>0.22389999999999999</v>
      </c>
      <c r="N60" s="3">
        <v>0</v>
      </c>
      <c r="O60" s="3">
        <v>2</v>
      </c>
      <c r="P60" s="3">
        <v>2</v>
      </c>
      <c r="Q60" t="str" cm="1">
        <f t="array" ref="Q60">_xlfn.IFS(F60&lt;=12,"morning",F60&lt;=18,"afternoon",F60&lt;=24,"night")</f>
        <v>morning</v>
      </c>
      <c r="R60" t="str">
        <f t="shared" si="0"/>
        <v>Monday</v>
      </c>
    </row>
    <row r="61" spans="1:18" x14ac:dyDescent="0.3">
      <c r="A61" s="3">
        <v>670</v>
      </c>
      <c r="B61" s="4">
        <v>40574</v>
      </c>
      <c r="C61" s="3">
        <v>1</v>
      </c>
      <c r="D61" s="3">
        <v>0</v>
      </c>
      <c r="E61" s="3">
        <v>1</v>
      </c>
      <c r="F61" s="3">
        <v>5</v>
      </c>
      <c r="G61" s="3" t="b">
        <v>0</v>
      </c>
      <c r="H61" s="3">
        <v>1</v>
      </c>
      <c r="I61" s="3">
        <v>1</v>
      </c>
      <c r="J61" s="3">
        <v>0.18</v>
      </c>
      <c r="K61" s="3">
        <v>0.16669999999999999</v>
      </c>
      <c r="L61" s="3">
        <v>0.64</v>
      </c>
      <c r="M61" s="3">
        <v>0.28360000000000002</v>
      </c>
      <c r="N61" s="3">
        <v>0</v>
      </c>
      <c r="O61" s="3">
        <v>8</v>
      </c>
      <c r="P61" s="3">
        <v>8</v>
      </c>
      <c r="Q61" t="str" cm="1">
        <f t="array" ref="Q61">_xlfn.IFS(F61&lt;=12,"morning",F61&lt;=18,"afternoon",F61&lt;=24,"night")</f>
        <v>morning</v>
      </c>
      <c r="R61" t="str">
        <f t="shared" si="0"/>
        <v>Monday</v>
      </c>
    </row>
    <row r="62" spans="1:18" x14ac:dyDescent="0.3">
      <c r="A62" s="3">
        <v>671</v>
      </c>
      <c r="B62" s="4">
        <v>40574</v>
      </c>
      <c r="C62" s="3">
        <v>1</v>
      </c>
      <c r="D62" s="3">
        <v>0</v>
      </c>
      <c r="E62" s="3">
        <v>1</v>
      </c>
      <c r="F62" s="3">
        <v>6</v>
      </c>
      <c r="G62" s="3" t="b">
        <v>0</v>
      </c>
      <c r="H62" s="3">
        <v>1</v>
      </c>
      <c r="I62" s="3">
        <v>1</v>
      </c>
      <c r="J62" s="3">
        <v>0.16</v>
      </c>
      <c r="K62" s="3">
        <v>0.13639999999999999</v>
      </c>
      <c r="L62" s="3">
        <v>0.69</v>
      </c>
      <c r="M62" s="3">
        <v>0.32840000000000003</v>
      </c>
      <c r="N62" s="3">
        <v>0</v>
      </c>
      <c r="O62" s="3">
        <v>37</v>
      </c>
      <c r="P62" s="3">
        <v>37</v>
      </c>
      <c r="Q62" t="str" cm="1">
        <f t="array" ref="Q62">_xlfn.IFS(F62&lt;=12,"morning",F62&lt;=18,"afternoon",F62&lt;=24,"night")</f>
        <v>morning</v>
      </c>
      <c r="R62" t="str">
        <f t="shared" si="0"/>
        <v>Monday</v>
      </c>
    </row>
    <row r="63" spans="1:18" x14ac:dyDescent="0.3">
      <c r="A63" s="3">
        <v>672</v>
      </c>
      <c r="B63" s="4">
        <v>40574</v>
      </c>
      <c r="C63" s="3">
        <v>1</v>
      </c>
      <c r="D63" s="3">
        <v>0</v>
      </c>
      <c r="E63" s="3">
        <v>1</v>
      </c>
      <c r="F63" s="3">
        <v>7</v>
      </c>
      <c r="G63" s="3" t="b">
        <v>0</v>
      </c>
      <c r="H63" s="3">
        <v>1</v>
      </c>
      <c r="I63" s="3">
        <v>2</v>
      </c>
      <c r="J63" s="3">
        <v>0.16</v>
      </c>
      <c r="K63" s="3">
        <v>0.13639999999999999</v>
      </c>
      <c r="L63" s="3">
        <v>0.64</v>
      </c>
      <c r="M63" s="3">
        <v>0.28360000000000002</v>
      </c>
      <c r="N63" s="3">
        <v>1</v>
      </c>
      <c r="O63" s="3">
        <v>71</v>
      </c>
      <c r="P63" s="3">
        <v>72</v>
      </c>
      <c r="Q63" t="str" cm="1">
        <f t="array" ref="Q63">_xlfn.IFS(F63&lt;=12,"morning",F63&lt;=18,"afternoon",F63&lt;=24,"night")</f>
        <v>morning</v>
      </c>
      <c r="R63" t="str">
        <f t="shared" si="0"/>
        <v>Monday</v>
      </c>
    </row>
    <row r="64" spans="1:18" x14ac:dyDescent="0.3">
      <c r="A64" s="3">
        <v>673</v>
      </c>
      <c r="B64" s="4">
        <v>40574</v>
      </c>
      <c r="C64" s="3">
        <v>1</v>
      </c>
      <c r="D64" s="3">
        <v>0</v>
      </c>
      <c r="E64" s="3">
        <v>1</v>
      </c>
      <c r="F64" s="3">
        <v>8</v>
      </c>
      <c r="G64" s="3" t="b">
        <v>0</v>
      </c>
      <c r="H64" s="3">
        <v>1</v>
      </c>
      <c r="I64" s="3">
        <v>2</v>
      </c>
      <c r="J64" s="3">
        <v>0.16</v>
      </c>
      <c r="K64" s="3">
        <v>0.13639999999999999</v>
      </c>
      <c r="L64" s="3">
        <v>0.59</v>
      </c>
      <c r="M64" s="3">
        <v>0.28360000000000002</v>
      </c>
      <c r="N64" s="3">
        <v>3</v>
      </c>
      <c r="O64" s="3">
        <v>182</v>
      </c>
      <c r="P64" s="3">
        <v>185</v>
      </c>
      <c r="Q64" t="str" cm="1">
        <f t="array" ref="Q64">_xlfn.IFS(F64&lt;=12,"morning",F64&lt;=18,"afternoon",F64&lt;=24,"night")</f>
        <v>morning</v>
      </c>
      <c r="R64" t="str">
        <f t="shared" si="0"/>
        <v>Monday</v>
      </c>
    </row>
    <row r="65" spans="1:18" x14ac:dyDescent="0.3">
      <c r="A65" s="3">
        <v>674</v>
      </c>
      <c r="B65" s="4">
        <v>40574</v>
      </c>
      <c r="C65" s="3">
        <v>1</v>
      </c>
      <c r="D65" s="3">
        <v>0</v>
      </c>
      <c r="E65" s="3">
        <v>1</v>
      </c>
      <c r="F65" s="3">
        <v>9</v>
      </c>
      <c r="G65" s="3" t="b">
        <v>0</v>
      </c>
      <c r="H65" s="3">
        <v>1</v>
      </c>
      <c r="I65" s="3">
        <v>2</v>
      </c>
      <c r="J65" s="3">
        <v>0.16</v>
      </c>
      <c r="K65" s="3">
        <v>0.13639999999999999</v>
      </c>
      <c r="L65" s="3">
        <v>0.59</v>
      </c>
      <c r="M65" s="3">
        <v>0.29849999999999999</v>
      </c>
      <c r="N65" s="3">
        <v>0</v>
      </c>
      <c r="O65" s="3">
        <v>112</v>
      </c>
      <c r="P65" s="3">
        <v>112</v>
      </c>
      <c r="Q65" t="str" cm="1">
        <f t="array" ref="Q65">_xlfn.IFS(F65&lt;=12,"morning",F65&lt;=18,"afternoon",F65&lt;=24,"night")</f>
        <v>morning</v>
      </c>
      <c r="R65" t="str">
        <f t="shared" si="0"/>
        <v>Monday</v>
      </c>
    </row>
    <row r="66" spans="1:18" x14ac:dyDescent="0.3">
      <c r="A66" s="3">
        <v>675</v>
      </c>
      <c r="B66" s="4">
        <v>40574</v>
      </c>
      <c r="C66" s="3">
        <v>1</v>
      </c>
      <c r="D66" s="3">
        <v>0</v>
      </c>
      <c r="E66" s="3">
        <v>1</v>
      </c>
      <c r="F66" s="3">
        <v>10</v>
      </c>
      <c r="G66" s="3" t="b">
        <v>0</v>
      </c>
      <c r="H66" s="3">
        <v>1</v>
      </c>
      <c r="I66" s="3">
        <v>2</v>
      </c>
      <c r="J66" s="3">
        <v>0.16</v>
      </c>
      <c r="K66" s="3">
        <v>0.1515</v>
      </c>
      <c r="L66" s="3">
        <v>0.59</v>
      </c>
      <c r="M66" s="3">
        <v>0.19400000000000001</v>
      </c>
      <c r="N66" s="3">
        <v>1</v>
      </c>
      <c r="O66" s="3">
        <v>68</v>
      </c>
      <c r="P66" s="3">
        <v>69</v>
      </c>
      <c r="Q66" t="str" cm="1">
        <f t="array" ref="Q66">_xlfn.IFS(F66&lt;=12,"morning",F66&lt;=18,"afternoon",F66&lt;=24,"night")</f>
        <v>morning</v>
      </c>
      <c r="R66" t="str">
        <f t="shared" ref="R66:R129" si="5">TEXT(B66,"dddd")</f>
        <v>Monday</v>
      </c>
    </row>
    <row r="67" spans="1:18" x14ac:dyDescent="0.3">
      <c r="A67" s="3">
        <v>676</v>
      </c>
      <c r="B67" s="4">
        <v>40574</v>
      </c>
      <c r="C67" s="3">
        <v>1</v>
      </c>
      <c r="D67" s="3">
        <v>0</v>
      </c>
      <c r="E67" s="3">
        <v>1</v>
      </c>
      <c r="F67" s="3">
        <v>11</v>
      </c>
      <c r="G67" s="3" t="b">
        <v>0</v>
      </c>
      <c r="H67" s="3">
        <v>1</v>
      </c>
      <c r="I67" s="3">
        <v>2</v>
      </c>
      <c r="J67" s="3">
        <v>0.16</v>
      </c>
      <c r="K67" s="3">
        <v>0.1515</v>
      </c>
      <c r="L67" s="3">
        <v>0.59</v>
      </c>
      <c r="M67" s="3">
        <v>0.19400000000000001</v>
      </c>
      <c r="N67" s="3">
        <v>2</v>
      </c>
      <c r="O67" s="3">
        <v>46</v>
      </c>
      <c r="P67" s="3">
        <v>48</v>
      </c>
      <c r="Q67" t="str" cm="1">
        <f t="array" ref="Q67">_xlfn.IFS(F67&lt;=12,"morning",F67&lt;=18,"afternoon",F67&lt;=24,"night")</f>
        <v>morning</v>
      </c>
      <c r="R67" t="str">
        <f t="shared" si="5"/>
        <v>Monday</v>
      </c>
    </row>
    <row r="68" spans="1:18" x14ac:dyDescent="0.3">
      <c r="A68" s="3">
        <v>677</v>
      </c>
      <c r="B68" s="4">
        <v>40574</v>
      </c>
      <c r="C68" s="3">
        <v>1</v>
      </c>
      <c r="D68" s="3">
        <v>0</v>
      </c>
      <c r="E68" s="3">
        <v>1</v>
      </c>
      <c r="F68" s="3">
        <v>12</v>
      </c>
      <c r="G68" s="3" t="b">
        <v>0</v>
      </c>
      <c r="H68" s="3">
        <v>1</v>
      </c>
      <c r="I68" s="3">
        <v>2</v>
      </c>
      <c r="J68" s="3">
        <v>0.18</v>
      </c>
      <c r="K68" s="3">
        <v>0.21210000000000001</v>
      </c>
      <c r="L68" s="3">
        <v>0.55000000000000004</v>
      </c>
      <c r="M68" s="3">
        <v>0.1045</v>
      </c>
      <c r="N68" s="3">
        <v>6</v>
      </c>
      <c r="O68" s="3">
        <v>62</v>
      </c>
      <c r="P68" s="3">
        <v>68</v>
      </c>
      <c r="Q68" t="str" cm="1">
        <f t="array" ref="Q68">_xlfn.IFS(F68&lt;=12,"morning",F68&lt;=18,"afternoon",F68&lt;=24,"night")</f>
        <v>morning</v>
      </c>
      <c r="R68" t="str">
        <f t="shared" si="5"/>
        <v>Monday</v>
      </c>
    </row>
    <row r="69" spans="1:18" x14ac:dyDescent="0.3">
      <c r="A69" s="3">
        <v>678</v>
      </c>
      <c r="B69" s="4">
        <v>40574</v>
      </c>
      <c r="C69" s="3">
        <v>1</v>
      </c>
      <c r="D69" s="3">
        <v>0</v>
      </c>
      <c r="E69" s="3">
        <v>1</v>
      </c>
      <c r="F69" s="3">
        <v>13</v>
      </c>
      <c r="G69" s="3" t="b">
        <v>0</v>
      </c>
      <c r="H69" s="3">
        <v>1</v>
      </c>
      <c r="I69" s="3">
        <v>2</v>
      </c>
      <c r="J69" s="3">
        <v>0.16</v>
      </c>
      <c r="K69" s="3">
        <v>0.2273</v>
      </c>
      <c r="L69" s="3">
        <v>0.59</v>
      </c>
      <c r="M69" s="3">
        <v>0</v>
      </c>
      <c r="N69" s="3">
        <v>2</v>
      </c>
      <c r="O69" s="3">
        <v>52</v>
      </c>
      <c r="P69" s="3">
        <v>54</v>
      </c>
      <c r="Q69" t="str" cm="1">
        <f t="array" ref="Q69">_xlfn.IFS(F69&lt;=12,"morning",F69&lt;=18,"afternoon",F69&lt;=24,"night")</f>
        <v>afternoon</v>
      </c>
      <c r="R69" t="str">
        <f t="shared" si="5"/>
        <v>Monday</v>
      </c>
    </row>
    <row r="70" spans="1:18" x14ac:dyDescent="0.3">
      <c r="A70" s="3">
        <v>679</v>
      </c>
      <c r="B70" s="4">
        <v>40574</v>
      </c>
      <c r="C70" s="3">
        <v>1</v>
      </c>
      <c r="D70" s="3">
        <v>0</v>
      </c>
      <c r="E70" s="3">
        <v>1</v>
      </c>
      <c r="F70" s="3">
        <v>14</v>
      </c>
      <c r="G70" s="3" t="b">
        <v>0</v>
      </c>
      <c r="H70" s="3">
        <v>1</v>
      </c>
      <c r="I70" s="3">
        <v>2</v>
      </c>
      <c r="J70" s="3">
        <v>0.18</v>
      </c>
      <c r="K70" s="3">
        <v>0.19700000000000001</v>
      </c>
      <c r="L70" s="3">
        <v>0.55000000000000004</v>
      </c>
      <c r="M70" s="3">
        <v>0.1343</v>
      </c>
      <c r="N70" s="3">
        <v>1</v>
      </c>
      <c r="O70" s="3">
        <v>85</v>
      </c>
      <c r="P70" s="3">
        <v>86</v>
      </c>
      <c r="Q70" t="str" cm="1">
        <f t="array" ref="Q70">_xlfn.IFS(F70&lt;=12,"morning",F70&lt;=18,"afternoon",F70&lt;=24,"night")</f>
        <v>afternoon</v>
      </c>
      <c r="R70" t="str">
        <f t="shared" si="5"/>
        <v>Monday</v>
      </c>
    </row>
    <row r="71" spans="1:18" x14ac:dyDescent="0.3">
      <c r="A71" s="3">
        <v>680</v>
      </c>
      <c r="B71" s="4">
        <v>40574</v>
      </c>
      <c r="C71" s="3">
        <v>1</v>
      </c>
      <c r="D71" s="3">
        <v>0</v>
      </c>
      <c r="E71" s="3">
        <v>1</v>
      </c>
      <c r="F71" s="3">
        <v>15</v>
      </c>
      <c r="G71" s="3" t="b">
        <v>0</v>
      </c>
      <c r="H71" s="3">
        <v>1</v>
      </c>
      <c r="I71" s="3">
        <v>2</v>
      </c>
      <c r="J71" s="3">
        <v>0.16</v>
      </c>
      <c r="K71" s="3">
        <v>0.18179999999999999</v>
      </c>
      <c r="L71" s="3">
        <v>0.59</v>
      </c>
      <c r="M71" s="3">
        <v>0.1343</v>
      </c>
      <c r="N71" s="3">
        <v>3</v>
      </c>
      <c r="O71" s="3">
        <v>41</v>
      </c>
      <c r="P71" s="3">
        <v>44</v>
      </c>
      <c r="Q71" t="str" cm="1">
        <f t="array" ref="Q71">_xlfn.IFS(F71&lt;=12,"morning",F71&lt;=18,"afternoon",F71&lt;=24,"night")</f>
        <v>afternoon</v>
      </c>
      <c r="R71" t="str">
        <f t="shared" si="5"/>
        <v>Monday</v>
      </c>
    </row>
    <row r="72" spans="1:18" x14ac:dyDescent="0.3">
      <c r="A72" s="3">
        <v>681</v>
      </c>
      <c r="B72" s="4">
        <v>40574</v>
      </c>
      <c r="C72" s="3">
        <v>1</v>
      </c>
      <c r="D72" s="3">
        <v>0</v>
      </c>
      <c r="E72" s="3">
        <v>1</v>
      </c>
      <c r="F72" s="3">
        <v>16</v>
      </c>
      <c r="G72" s="3" t="b">
        <v>0</v>
      </c>
      <c r="H72" s="3">
        <v>1</v>
      </c>
      <c r="I72" s="3">
        <v>2</v>
      </c>
      <c r="J72" s="3">
        <v>0.16</v>
      </c>
      <c r="K72" s="3">
        <v>0.18179999999999999</v>
      </c>
      <c r="L72" s="3">
        <v>0.56000000000000005</v>
      </c>
      <c r="M72" s="3">
        <v>0.19400000000000001</v>
      </c>
      <c r="N72" s="3">
        <v>3</v>
      </c>
      <c r="O72" s="3">
        <v>83</v>
      </c>
      <c r="P72" s="3">
        <v>86</v>
      </c>
      <c r="Q72" t="str" cm="1">
        <f t="array" ref="Q72">_xlfn.IFS(F72&lt;=12,"morning",F72&lt;=18,"afternoon",F72&lt;=24,"night")</f>
        <v>afternoon</v>
      </c>
      <c r="R72" t="str">
        <f t="shared" si="5"/>
        <v>Monday</v>
      </c>
    </row>
    <row r="73" spans="1:18" x14ac:dyDescent="0.3">
      <c r="A73" s="3">
        <v>682</v>
      </c>
      <c r="B73" s="4">
        <v>40574</v>
      </c>
      <c r="C73" s="3">
        <v>1</v>
      </c>
      <c r="D73" s="3">
        <v>0</v>
      </c>
      <c r="E73" s="3">
        <v>1</v>
      </c>
      <c r="F73" s="3">
        <v>17</v>
      </c>
      <c r="G73" s="3" t="b">
        <v>0</v>
      </c>
      <c r="H73" s="3">
        <v>1</v>
      </c>
      <c r="I73" s="3">
        <v>2</v>
      </c>
      <c r="J73" s="3">
        <v>0.16</v>
      </c>
      <c r="K73" s="3">
        <v>0.1515</v>
      </c>
      <c r="L73" s="3">
        <v>0.59</v>
      </c>
      <c r="M73" s="3">
        <v>0.19400000000000001</v>
      </c>
      <c r="N73" s="3">
        <v>6</v>
      </c>
      <c r="O73" s="3">
        <v>155</v>
      </c>
      <c r="P73" s="3">
        <v>161</v>
      </c>
      <c r="Q73" t="str" cm="1">
        <f t="array" ref="Q73">_xlfn.IFS(F73&lt;=12,"morning",F73&lt;=18,"afternoon",F73&lt;=24,"night")</f>
        <v>afternoon</v>
      </c>
      <c r="R73" t="str">
        <f t="shared" si="5"/>
        <v>Monday</v>
      </c>
    </row>
    <row r="74" spans="1:18" x14ac:dyDescent="0.3">
      <c r="A74" s="3">
        <v>683</v>
      </c>
      <c r="B74" s="4">
        <v>40574</v>
      </c>
      <c r="C74" s="3">
        <v>1</v>
      </c>
      <c r="D74" s="3">
        <v>0</v>
      </c>
      <c r="E74" s="3">
        <v>1</v>
      </c>
      <c r="F74" s="3">
        <v>18</v>
      </c>
      <c r="G74" s="3" t="b">
        <v>0</v>
      </c>
      <c r="H74" s="3">
        <v>1</v>
      </c>
      <c r="I74" s="3">
        <v>2</v>
      </c>
      <c r="J74" s="3">
        <v>0.16</v>
      </c>
      <c r="K74" s="3">
        <v>0.1515</v>
      </c>
      <c r="L74" s="3">
        <v>0.55000000000000004</v>
      </c>
      <c r="M74" s="3">
        <v>0.22389999999999999</v>
      </c>
      <c r="N74" s="3">
        <v>3</v>
      </c>
      <c r="O74" s="3">
        <v>153</v>
      </c>
      <c r="P74" s="3">
        <v>156</v>
      </c>
      <c r="Q74" t="str" cm="1">
        <f t="array" ref="Q74">_xlfn.IFS(F74&lt;=12,"morning",F74&lt;=18,"afternoon",F74&lt;=24,"night")</f>
        <v>afternoon</v>
      </c>
      <c r="R74" t="str">
        <f t="shared" si="5"/>
        <v>Monday</v>
      </c>
    </row>
    <row r="75" spans="1:18" x14ac:dyDescent="0.3">
      <c r="A75" s="3">
        <v>684</v>
      </c>
      <c r="B75" s="4">
        <v>40574</v>
      </c>
      <c r="C75" s="3">
        <v>1</v>
      </c>
      <c r="D75" s="3">
        <v>0</v>
      </c>
      <c r="E75" s="3">
        <v>1</v>
      </c>
      <c r="F75" s="3">
        <v>19</v>
      </c>
      <c r="G75" s="3" t="b">
        <v>0</v>
      </c>
      <c r="H75" s="3">
        <v>1</v>
      </c>
      <c r="I75" s="3">
        <v>1</v>
      </c>
      <c r="J75" s="3">
        <v>0.3</v>
      </c>
      <c r="K75" s="3">
        <v>0.31819999999999998</v>
      </c>
      <c r="L75" s="3">
        <v>0.61</v>
      </c>
      <c r="M75" s="3">
        <v>0.1045</v>
      </c>
      <c r="N75" s="3">
        <v>3</v>
      </c>
      <c r="O75" s="3">
        <v>108</v>
      </c>
      <c r="P75" s="3">
        <v>111</v>
      </c>
      <c r="Q75" t="str" cm="1">
        <f t="array" ref="Q75">_xlfn.IFS(F75&lt;=12,"morning",F75&lt;=18,"afternoon",F75&lt;=24,"night")</f>
        <v>night</v>
      </c>
      <c r="R75" t="str">
        <f t="shared" si="5"/>
        <v>Monday</v>
      </c>
    </row>
    <row r="76" spans="1:18" x14ac:dyDescent="0.3">
      <c r="A76" s="3">
        <v>685</v>
      </c>
      <c r="B76" s="4">
        <v>40574</v>
      </c>
      <c r="C76" s="3">
        <v>1</v>
      </c>
      <c r="D76" s="3">
        <v>0</v>
      </c>
      <c r="E76" s="3">
        <v>1</v>
      </c>
      <c r="F76" s="3">
        <v>20</v>
      </c>
      <c r="G76" s="3" t="b">
        <v>0</v>
      </c>
      <c r="H76" s="3">
        <v>1</v>
      </c>
      <c r="I76" s="3">
        <v>3</v>
      </c>
      <c r="J76" s="3">
        <v>0.16</v>
      </c>
      <c r="K76" s="3">
        <v>0.16669999999999999</v>
      </c>
      <c r="L76" s="3">
        <v>0.59</v>
      </c>
      <c r="M76" s="3">
        <v>0.16420000000000001</v>
      </c>
      <c r="N76" s="3">
        <v>0</v>
      </c>
      <c r="O76" s="3">
        <v>78</v>
      </c>
      <c r="P76" s="3">
        <v>78</v>
      </c>
      <c r="Q76" t="str" cm="1">
        <f t="array" ref="Q76">_xlfn.IFS(F76&lt;=12,"morning",F76&lt;=18,"afternoon",F76&lt;=24,"night")</f>
        <v>night</v>
      </c>
      <c r="R76" t="str">
        <f t="shared" si="5"/>
        <v>Monday</v>
      </c>
    </row>
    <row r="77" spans="1:18" x14ac:dyDescent="0.3">
      <c r="A77" s="3">
        <v>686</v>
      </c>
      <c r="B77" s="4">
        <v>40574</v>
      </c>
      <c r="C77" s="3">
        <v>1</v>
      </c>
      <c r="D77" s="3">
        <v>0</v>
      </c>
      <c r="E77" s="3">
        <v>1</v>
      </c>
      <c r="F77" s="3">
        <v>21</v>
      </c>
      <c r="G77" s="3" t="b">
        <v>0</v>
      </c>
      <c r="H77" s="3">
        <v>1</v>
      </c>
      <c r="I77" s="3">
        <v>3</v>
      </c>
      <c r="J77" s="3">
        <v>0.16</v>
      </c>
      <c r="K77" s="3">
        <v>0.19700000000000001</v>
      </c>
      <c r="L77" s="3">
        <v>0.59</v>
      </c>
      <c r="M77" s="3">
        <v>8.9599999999999999E-2</v>
      </c>
      <c r="N77" s="3">
        <v>3</v>
      </c>
      <c r="O77" s="3">
        <v>53</v>
      </c>
      <c r="P77" s="3">
        <v>56</v>
      </c>
      <c r="Q77" t="str" cm="1">
        <f t="array" ref="Q77">_xlfn.IFS(F77&lt;=12,"morning",F77&lt;=18,"afternoon",F77&lt;=24,"night")</f>
        <v>night</v>
      </c>
      <c r="R77" t="str">
        <f t="shared" si="5"/>
        <v>Monday</v>
      </c>
    </row>
    <row r="78" spans="1:18" x14ac:dyDescent="0.3">
      <c r="A78" s="3">
        <v>687</v>
      </c>
      <c r="B78" s="4">
        <v>40574</v>
      </c>
      <c r="C78" s="3">
        <v>1</v>
      </c>
      <c r="D78" s="3">
        <v>0</v>
      </c>
      <c r="E78" s="3">
        <v>1</v>
      </c>
      <c r="F78" s="3">
        <v>22</v>
      </c>
      <c r="G78" s="3" t="b">
        <v>0</v>
      </c>
      <c r="H78" s="3">
        <v>1</v>
      </c>
      <c r="I78" s="3">
        <v>2</v>
      </c>
      <c r="J78" s="3">
        <v>0.16</v>
      </c>
      <c r="K78" s="3">
        <v>0.18179999999999999</v>
      </c>
      <c r="L78" s="3">
        <v>0.59</v>
      </c>
      <c r="M78" s="3">
        <v>0.1045</v>
      </c>
      <c r="N78" s="3">
        <v>0</v>
      </c>
      <c r="O78" s="3">
        <v>34</v>
      </c>
      <c r="P78" s="3">
        <v>34</v>
      </c>
      <c r="Q78" t="str" cm="1">
        <f t="array" ref="Q78">_xlfn.IFS(F78&lt;=12,"morning",F78&lt;=18,"afternoon",F78&lt;=24,"night")</f>
        <v>night</v>
      </c>
      <c r="R78" t="str">
        <f t="shared" si="5"/>
        <v>Monday</v>
      </c>
    </row>
    <row r="79" spans="1:18" x14ac:dyDescent="0.3">
      <c r="A79" s="3">
        <v>688</v>
      </c>
      <c r="B79" s="4">
        <v>40574</v>
      </c>
      <c r="C79" s="3">
        <v>1</v>
      </c>
      <c r="D79" s="3">
        <v>0</v>
      </c>
      <c r="E79" s="3">
        <v>1</v>
      </c>
      <c r="F79" s="3">
        <v>23</v>
      </c>
      <c r="G79" s="3" t="b">
        <v>0</v>
      </c>
      <c r="H79" s="3">
        <v>1</v>
      </c>
      <c r="I79" s="3">
        <v>2</v>
      </c>
      <c r="J79" s="3">
        <v>0.16</v>
      </c>
      <c r="K79" s="3">
        <v>0.19700000000000001</v>
      </c>
      <c r="L79" s="3">
        <v>0.64</v>
      </c>
      <c r="M79" s="3">
        <v>8.9599999999999999E-2</v>
      </c>
      <c r="N79" s="3">
        <v>2</v>
      </c>
      <c r="O79" s="3">
        <v>15</v>
      </c>
      <c r="P79" s="3">
        <v>17</v>
      </c>
      <c r="Q79" t="str" cm="1">
        <f t="array" ref="Q79">_xlfn.IFS(F79&lt;=12,"morning",F79&lt;=18,"afternoon",F79&lt;=24,"night")</f>
        <v>night</v>
      </c>
      <c r="R79" t="str">
        <f t="shared" si="5"/>
        <v>Monday</v>
      </c>
    </row>
    <row r="80" spans="1:18" x14ac:dyDescent="0.3">
      <c r="A80" s="3">
        <v>689</v>
      </c>
      <c r="B80" s="4">
        <v>40575</v>
      </c>
      <c r="C80" s="3">
        <v>1</v>
      </c>
      <c r="D80" s="3">
        <v>0</v>
      </c>
      <c r="E80" s="3">
        <v>2</v>
      </c>
      <c r="F80" s="3">
        <v>0</v>
      </c>
      <c r="G80" s="3" t="b">
        <v>0</v>
      </c>
      <c r="H80" s="3">
        <v>2</v>
      </c>
      <c r="I80" s="3">
        <v>2</v>
      </c>
      <c r="J80" s="3">
        <v>0.16</v>
      </c>
      <c r="K80" s="3">
        <v>0.18179999999999999</v>
      </c>
      <c r="L80" s="3">
        <v>0.64</v>
      </c>
      <c r="M80" s="3">
        <v>0.1045</v>
      </c>
      <c r="N80" s="3">
        <v>2</v>
      </c>
      <c r="O80" s="3">
        <v>6</v>
      </c>
      <c r="P80" s="3">
        <v>8</v>
      </c>
      <c r="Q80" t="str" cm="1">
        <f t="array" ref="Q80">_xlfn.IFS(F80&lt;=12,"morning",F80&lt;=18,"afternoon",F80&lt;=24,"night")</f>
        <v>morning</v>
      </c>
      <c r="R80" t="str">
        <f t="shared" si="5"/>
        <v>Tuesday</v>
      </c>
    </row>
    <row r="81" spans="1:18" x14ac:dyDescent="0.3">
      <c r="A81" s="3">
        <v>690</v>
      </c>
      <c r="B81" s="4">
        <v>40575</v>
      </c>
      <c r="C81" s="3">
        <v>1</v>
      </c>
      <c r="D81" s="3">
        <v>0</v>
      </c>
      <c r="E81" s="3">
        <v>2</v>
      </c>
      <c r="F81" s="3">
        <v>1</v>
      </c>
      <c r="G81" s="3" t="b">
        <v>0</v>
      </c>
      <c r="H81" s="3">
        <v>2</v>
      </c>
      <c r="I81" s="3">
        <v>2</v>
      </c>
      <c r="J81" s="3">
        <v>0.16</v>
      </c>
      <c r="K81" s="3">
        <v>0.18179999999999999</v>
      </c>
      <c r="L81" s="3">
        <v>0.69</v>
      </c>
      <c r="M81" s="3">
        <v>0.1045</v>
      </c>
      <c r="N81" s="3">
        <v>0</v>
      </c>
      <c r="O81" s="3">
        <v>3</v>
      </c>
      <c r="P81" s="3">
        <v>3</v>
      </c>
      <c r="Q81" t="str" cm="1">
        <f t="array" ref="Q81">_xlfn.IFS(F81&lt;=12,"morning",F81&lt;=18,"afternoon",F81&lt;=24,"night")</f>
        <v>morning</v>
      </c>
      <c r="R81" t="str">
        <f t="shared" si="5"/>
        <v>Tuesday</v>
      </c>
    </row>
    <row r="82" spans="1:18" x14ac:dyDescent="0.3">
      <c r="A82" s="3">
        <v>691</v>
      </c>
      <c r="B82" s="4">
        <v>40575</v>
      </c>
      <c r="C82" s="3">
        <v>1</v>
      </c>
      <c r="D82" s="3">
        <v>0</v>
      </c>
      <c r="E82" s="3">
        <v>2</v>
      </c>
      <c r="F82" s="3">
        <v>2</v>
      </c>
      <c r="G82" s="3" t="b">
        <v>0</v>
      </c>
      <c r="H82" s="3">
        <v>2</v>
      </c>
      <c r="I82" s="3">
        <v>2</v>
      </c>
      <c r="J82" s="3">
        <v>0.16</v>
      </c>
      <c r="K82" s="3">
        <v>0.2273</v>
      </c>
      <c r="L82" s="3">
        <v>0.69</v>
      </c>
      <c r="M82" s="3">
        <v>0</v>
      </c>
      <c r="N82" s="3">
        <v>0</v>
      </c>
      <c r="O82" s="3">
        <v>2</v>
      </c>
      <c r="P82" s="3">
        <v>2</v>
      </c>
      <c r="Q82" t="str" cm="1">
        <f t="array" ref="Q82">_xlfn.IFS(F82&lt;=12,"morning",F82&lt;=18,"afternoon",F82&lt;=24,"night")</f>
        <v>morning</v>
      </c>
      <c r="R82" t="str">
        <f t="shared" si="5"/>
        <v>Tuesday</v>
      </c>
    </row>
    <row r="83" spans="1:18" x14ac:dyDescent="0.3">
      <c r="A83" s="3">
        <v>692</v>
      </c>
      <c r="B83" s="4">
        <v>40575</v>
      </c>
      <c r="C83" s="3">
        <v>1</v>
      </c>
      <c r="D83" s="3">
        <v>0</v>
      </c>
      <c r="E83" s="3">
        <v>2</v>
      </c>
      <c r="F83" s="3">
        <v>3</v>
      </c>
      <c r="G83" s="3" t="b">
        <v>0</v>
      </c>
      <c r="H83" s="3">
        <v>2</v>
      </c>
      <c r="I83" s="3">
        <v>2</v>
      </c>
      <c r="J83" s="3">
        <v>0.16</v>
      </c>
      <c r="K83" s="3">
        <v>0.2273</v>
      </c>
      <c r="L83" s="3">
        <v>0.69</v>
      </c>
      <c r="M83" s="3">
        <v>0</v>
      </c>
      <c r="N83" s="3">
        <v>0</v>
      </c>
      <c r="O83" s="3">
        <v>2</v>
      </c>
      <c r="P83" s="3">
        <v>2</v>
      </c>
      <c r="Q83" t="str" cm="1">
        <f t="array" ref="Q83">_xlfn.IFS(F83&lt;=12,"morning",F83&lt;=18,"afternoon",F83&lt;=24,"night")</f>
        <v>morning</v>
      </c>
      <c r="R83" t="str">
        <f t="shared" si="5"/>
        <v>Tuesday</v>
      </c>
    </row>
    <row r="84" spans="1:18" x14ac:dyDescent="0.3">
      <c r="A84" s="3">
        <v>693</v>
      </c>
      <c r="B84" s="4">
        <v>40575</v>
      </c>
      <c r="C84" s="3">
        <v>1</v>
      </c>
      <c r="D84" s="3">
        <v>0</v>
      </c>
      <c r="E84" s="3">
        <v>2</v>
      </c>
      <c r="F84" s="3">
        <v>5</v>
      </c>
      <c r="G84" s="3" t="b">
        <v>0</v>
      </c>
      <c r="H84" s="3">
        <v>2</v>
      </c>
      <c r="I84" s="3">
        <v>3</v>
      </c>
      <c r="J84" s="3">
        <v>0.14000000000000001</v>
      </c>
      <c r="K84" s="3">
        <v>0.21210000000000001</v>
      </c>
      <c r="L84" s="3">
        <v>0.93</v>
      </c>
      <c r="M84" s="3">
        <v>0</v>
      </c>
      <c r="N84" s="3">
        <v>0</v>
      </c>
      <c r="O84" s="3">
        <v>3</v>
      </c>
      <c r="P84" s="3">
        <v>3</v>
      </c>
      <c r="Q84" t="str" cm="1">
        <f t="array" ref="Q84">_xlfn.IFS(F84&lt;=12,"morning",F84&lt;=18,"afternoon",F84&lt;=24,"night")</f>
        <v>morning</v>
      </c>
      <c r="R84" t="str">
        <f t="shared" si="5"/>
        <v>Tuesday</v>
      </c>
    </row>
    <row r="85" spans="1:18" x14ac:dyDescent="0.3">
      <c r="A85" s="3">
        <v>694</v>
      </c>
      <c r="B85" s="4">
        <v>40575</v>
      </c>
      <c r="C85" s="3">
        <v>1</v>
      </c>
      <c r="D85" s="3">
        <v>0</v>
      </c>
      <c r="E85" s="3">
        <v>2</v>
      </c>
      <c r="F85" s="3">
        <v>6</v>
      </c>
      <c r="G85" s="3" t="b">
        <v>0</v>
      </c>
      <c r="H85" s="3">
        <v>2</v>
      </c>
      <c r="I85" s="3">
        <v>3</v>
      </c>
      <c r="J85" s="3">
        <v>0.14000000000000001</v>
      </c>
      <c r="K85" s="3">
        <v>0.21210000000000001</v>
      </c>
      <c r="L85" s="3">
        <v>0.93</v>
      </c>
      <c r="M85" s="3">
        <v>0</v>
      </c>
      <c r="N85" s="3">
        <v>0</v>
      </c>
      <c r="O85" s="3">
        <v>22</v>
      </c>
      <c r="P85" s="3">
        <v>22</v>
      </c>
      <c r="Q85" t="str" cm="1">
        <f t="array" ref="Q85">_xlfn.IFS(F85&lt;=12,"morning",F85&lt;=18,"afternoon",F85&lt;=24,"night")</f>
        <v>morning</v>
      </c>
      <c r="R85" t="str">
        <f t="shared" si="5"/>
        <v>Tuesday</v>
      </c>
    </row>
    <row r="86" spans="1:18" x14ac:dyDescent="0.3">
      <c r="A86" s="3">
        <v>695</v>
      </c>
      <c r="B86" s="4">
        <v>40575</v>
      </c>
      <c r="C86" s="3">
        <v>1</v>
      </c>
      <c r="D86" s="3">
        <v>0</v>
      </c>
      <c r="E86" s="3">
        <v>2</v>
      </c>
      <c r="F86" s="3">
        <v>7</v>
      </c>
      <c r="G86" s="3" t="b">
        <v>0</v>
      </c>
      <c r="H86" s="3">
        <v>2</v>
      </c>
      <c r="I86" s="3">
        <v>3</v>
      </c>
      <c r="J86" s="3">
        <v>0.16</v>
      </c>
      <c r="K86" s="3">
        <v>0.2273</v>
      </c>
      <c r="L86" s="3">
        <v>0.93</v>
      </c>
      <c r="M86" s="3">
        <v>0</v>
      </c>
      <c r="N86" s="3">
        <v>0</v>
      </c>
      <c r="O86" s="3">
        <v>52</v>
      </c>
      <c r="P86" s="3">
        <v>52</v>
      </c>
      <c r="Q86" t="str" cm="1">
        <f t="array" ref="Q86">_xlfn.IFS(F86&lt;=12,"morning",F86&lt;=18,"afternoon",F86&lt;=24,"night")</f>
        <v>morning</v>
      </c>
      <c r="R86" t="str">
        <f t="shared" si="5"/>
        <v>Tuesday</v>
      </c>
    </row>
    <row r="87" spans="1:18" x14ac:dyDescent="0.3">
      <c r="A87" s="3">
        <v>696</v>
      </c>
      <c r="B87" s="4">
        <v>40575</v>
      </c>
      <c r="C87" s="3">
        <v>1</v>
      </c>
      <c r="D87" s="3">
        <v>0</v>
      </c>
      <c r="E87" s="3">
        <v>2</v>
      </c>
      <c r="F87" s="3">
        <v>8</v>
      </c>
      <c r="G87" s="3" t="b">
        <v>0</v>
      </c>
      <c r="H87" s="3">
        <v>2</v>
      </c>
      <c r="I87" s="3">
        <v>3</v>
      </c>
      <c r="J87" s="3">
        <v>0.16</v>
      </c>
      <c r="K87" s="3">
        <v>0.2273</v>
      </c>
      <c r="L87" s="3">
        <v>0.93</v>
      </c>
      <c r="M87" s="3">
        <v>0</v>
      </c>
      <c r="N87" s="3">
        <v>3</v>
      </c>
      <c r="O87" s="3">
        <v>132</v>
      </c>
      <c r="P87" s="3">
        <v>135</v>
      </c>
      <c r="Q87" t="str" cm="1">
        <f t="array" ref="Q87">_xlfn.IFS(F87&lt;=12,"morning",F87&lt;=18,"afternoon",F87&lt;=24,"night")</f>
        <v>morning</v>
      </c>
      <c r="R87" t="str">
        <f t="shared" si="5"/>
        <v>Tuesday</v>
      </c>
    </row>
    <row r="88" spans="1:18" x14ac:dyDescent="0.3">
      <c r="A88" s="3">
        <v>697</v>
      </c>
      <c r="B88" s="4">
        <v>40575</v>
      </c>
      <c r="C88" s="3">
        <v>1</v>
      </c>
      <c r="D88" s="3">
        <v>0</v>
      </c>
      <c r="E88" s="3">
        <v>2</v>
      </c>
      <c r="F88" s="3">
        <v>9</v>
      </c>
      <c r="G88" s="3" t="b">
        <v>0</v>
      </c>
      <c r="H88" s="3">
        <v>2</v>
      </c>
      <c r="I88" s="3">
        <v>2</v>
      </c>
      <c r="J88" s="3">
        <v>0.16</v>
      </c>
      <c r="K88" s="3">
        <v>0.2273</v>
      </c>
      <c r="L88" s="3">
        <v>0.93</v>
      </c>
      <c r="M88" s="3">
        <v>0</v>
      </c>
      <c r="N88" s="3">
        <v>2</v>
      </c>
      <c r="O88" s="3">
        <v>114</v>
      </c>
      <c r="P88" s="3">
        <v>116</v>
      </c>
      <c r="Q88" t="str" cm="1">
        <f t="array" ref="Q88">_xlfn.IFS(F88&lt;=12,"morning",F88&lt;=18,"afternoon",F88&lt;=24,"night")</f>
        <v>morning</v>
      </c>
      <c r="R88" t="str">
        <f t="shared" si="5"/>
        <v>Tuesday</v>
      </c>
    </row>
    <row r="89" spans="1:18" x14ac:dyDescent="0.3">
      <c r="A89" s="3">
        <v>698</v>
      </c>
      <c r="B89" s="4">
        <v>40575</v>
      </c>
      <c r="C89" s="3">
        <v>1</v>
      </c>
      <c r="D89" s="3">
        <v>0</v>
      </c>
      <c r="E89" s="3">
        <v>2</v>
      </c>
      <c r="F89" s="3">
        <v>10</v>
      </c>
      <c r="G89" s="3" t="b">
        <v>0</v>
      </c>
      <c r="H89" s="3">
        <v>2</v>
      </c>
      <c r="I89" s="3">
        <v>2</v>
      </c>
      <c r="J89" s="3">
        <v>0.16</v>
      </c>
      <c r="K89" s="3">
        <v>0.2273</v>
      </c>
      <c r="L89" s="3">
        <v>0.93</v>
      </c>
      <c r="M89" s="3">
        <v>0</v>
      </c>
      <c r="N89" s="3">
        <v>0</v>
      </c>
      <c r="O89" s="3">
        <v>47</v>
      </c>
      <c r="P89" s="3">
        <v>47</v>
      </c>
      <c r="Q89" t="str" cm="1">
        <f t="array" ref="Q89">_xlfn.IFS(F89&lt;=12,"morning",F89&lt;=18,"afternoon",F89&lt;=24,"night")</f>
        <v>morning</v>
      </c>
      <c r="R89" t="str">
        <f t="shared" si="5"/>
        <v>Tuesday</v>
      </c>
    </row>
    <row r="90" spans="1:18" x14ac:dyDescent="0.3">
      <c r="A90" s="3">
        <v>699</v>
      </c>
      <c r="B90" s="4">
        <v>40575</v>
      </c>
      <c r="C90" s="3">
        <v>1</v>
      </c>
      <c r="D90" s="3">
        <v>0</v>
      </c>
      <c r="E90" s="3">
        <v>2</v>
      </c>
      <c r="F90" s="3">
        <v>11</v>
      </c>
      <c r="G90" s="3" t="b">
        <v>0</v>
      </c>
      <c r="H90" s="3">
        <v>2</v>
      </c>
      <c r="I90" s="3">
        <v>2</v>
      </c>
      <c r="J90" s="3">
        <v>0.18</v>
      </c>
      <c r="K90" s="3">
        <v>0.2424</v>
      </c>
      <c r="L90" s="3">
        <v>0.86</v>
      </c>
      <c r="M90" s="3">
        <v>0</v>
      </c>
      <c r="N90" s="3">
        <v>2</v>
      </c>
      <c r="O90" s="3">
        <v>49</v>
      </c>
      <c r="P90" s="3">
        <v>51</v>
      </c>
      <c r="Q90" t="str" cm="1">
        <f t="array" ref="Q90">_xlfn.IFS(F90&lt;=12,"morning",F90&lt;=18,"afternoon",F90&lt;=24,"night")</f>
        <v>morning</v>
      </c>
      <c r="R90" t="str">
        <f t="shared" si="5"/>
        <v>Tuesday</v>
      </c>
    </row>
    <row r="91" spans="1:18" x14ac:dyDescent="0.3">
      <c r="A91" s="3">
        <v>700</v>
      </c>
      <c r="B91" s="4">
        <v>40575</v>
      </c>
      <c r="C91" s="3">
        <v>1</v>
      </c>
      <c r="D91" s="3">
        <v>0</v>
      </c>
      <c r="E91" s="3">
        <v>2</v>
      </c>
      <c r="F91" s="3">
        <v>12</v>
      </c>
      <c r="G91" s="3" t="b">
        <v>0</v>
      </c>
      <c r="H91" s="3">
        <v>2</v>
      </c>
      <c r="I91" s="3">
        <v>2</v>
      </c>
      <c r="J91" s="3">
        <v>0.2</v>
      </c>
      <c r="K91" s="3">
        <v>0.2576</v>
      </c>
      <c r="L91" s="3">
        <v>0.86</v>
      </c>
      <c r="M91" s="3">
        <v>0</v>
      </c>
      <c r="N91" s="3">
        <v>2</v>
      </c>
      <c r="O91" s="3">
        <v>53</v>
      </c>
      <c r="P91" s="3">
        <v>55</v>
      </c>
      <c r="Q91" t="str" cm="1">
        <f t="array" ref="Q91">_xlfn.IFS(F91&lt;=12,"morning",F91&lt;=18,"afternoon",F91&lt;=24,"night")</f>
        <v>morning</v>
      </c>
      <c r="R91" t="str">
        <f t="shared" si="5"/>
        <v>Tuesday</v>
      </c>
    </row>
    <row r="92" spans="1:18" x14ac:dyDescent="0.3">
      <c r="A92" s="3">
        <v>701</v>
      </c>
      <c r="B92" s="4">
        <v>40575</v>
      </c>
      <c r="C92" s="3">
        <v>1</v>
      </c>
      <c r="D92" s="3">
        <v>0</v>
      </c>
      <c r="E92" s="3">
        <v>2</v>
      </c>
      <c r="F92" s="3">
        <v>13</v>
      </c>
      <c r="G92" s="3" t="b">
        <v>0</v>
      </c>
      <c r="H92" s="3">
        <v>2</v>
      </c>
      <c r="I92" s="3">
        <v>2</v>
      </c>
      <c r="J92" s="3">
        <v>0.2</v>
      </c>
      <c r="K92" s="3">
        <v>0.2576</v>
      </c>
      <c r="L92" s="3">
        <v>0.86</v>
      </c>
      <c r="M92" s="3">
        <v>0</v>
      </c>
      <c r="N92" s="3">
        <v>3</v>
      </c>
      <c r="O92" s="3">
        <v>49</v>
      </c>
      <c r="P92" s="3">
        <v>52</v>
      </c>
      <c r="Q92" t="str" cm="1">
        <f t="array" ref="Q92">_xlfn.IFS(F92&lt;=12,"morning",F92&lt;=18,"afternoon",F92&lt;=24,"night")</f>
        <v>afternoon</v>
      </c>
      <c r="R92" t="str">
        <f t="shared" si="5"/>
        <v>Tuesday</v>
      </c>
    </row>
    <row r="93" spans="1:18" x14ac:dyDescent="0.3">
      <c r="A93" s="3">
        <v>702</v>
      </c>
      <c r="B93" s="4">
        <v>40575</v>
      </c>
      <c r="C93" s="3">
        <v>1</v>
      </c>
      <c r="D93" s="3">
        <v>0</v>
      </c>
      <c r="E93" s="3">
        <v>2</v>
      </c>
      <c r="F93" s="3">
        <v>14</v>
      </c>
      <c r="G93" s="3" t="b">
        <v>0</v>
      </c>
      <c r="H93" s="3">
        <v>2</v>
      </c>
      <c r="I93" s="3">
        <v>2</v>
      </c>
      <c r="J93" s="3">
        <v>0.22</v>
      </c>
      <c r="K93" s="3">
        <v>0.2576</v>
      </c>
      <c r="L93" s="3">
        <v>0.8</v>
      </c>
      <c r="M93" s="3">
        <v>8.9599999999999999E-2</v>
      </c>
      <c r="N93" s="3">
        <v>5</v>
      </c>
      <c r="O93" s="3">
        <v>49</v>
      </c>
      <c r="P93" s="3">
        <v>54</v>
      </c>
      <c r="Q93" t="str" cm="1">
        <f t="array" ref="Q93">_xlfn.IFS(F93&lt;=12,"morning",F93&lt;=18,"afternoon",F93&lt;=24,"night")</f>
        <v>afternoon</v>
      </c>
      <c r="R93" t="str">
        <f t="shared" si="5"/>
        <v>Tuesday</v>
      </c>
    </row>
    <row r="94" spans="1:18" x14ac:dyDescent="0.3">
      <c r="A94" s="3">
        <v>703</v>
      </c>
      <c r="B94" s="4">
        <v>40575</v>
      </c>
      <c r="C94" s="3">
        <v>1</v>
      </c>
      <c r="D94" s="3">
        <v>0</v>
      </c>
      <c r="E94" s="3">
        <v>2</v>
      </c>
      <c r="F94" s="3">
        <v>15</v>
      </c>
      <c r="G94" s="3" t="b">
        <v>0</v>
      </c>
      <c r="H94" s="3">
        <v>2</v>
      </c>
      <c r="I94" s="3">
        <v>2</v>
      </c>
      <c r="J94" s="3">
        <v>0.24</v>
      </c>
      <c r="K94" s="3">
        <v>0.28789999999999999</v>
      </c>
      <c r="L94" s="3">
        <v>0.75</v>
      </c>
      <c r="M94" s="3">
        <v>0</v>
      </c>
      <c r="N94" s="3">
        <v>7</v>
      </c>
      <c r="O94" s="3">
        <v>45</v>
      </c>
      <c r="P94" s="3">
        <v>52</v>
      </c>
      <c r="Q94" t="str" cm="1">
        <f t="array" ref="Q94">_xlfn.IFS(F94&lt;=12,"morning",F94&lt;=18,"afternoon",F94&lt;=24,"night")</f>
        <v>afternoon</v>
      </c>
      <c r="R94" t="str">
        <f t="shared" si="5"/>
        <v>Tuesday</v>
      </c>
    </row>
    <row r="95" spans="1:18" x14ac:dyDescent="0.3">
      <c r="A95" s="3">
        <v>704</v>
      </c>
      <c r="B95" s="4">
        <v>40575</v>
      </c>
      <c r="C95" s="3">
        <v>1</v>
      </c>
      <c r="D95" s="3">
        <v>0</v>
      </c>
      <c r="E95" s="3">
        <v>2</v>
      </c>
      <c r="F95" s="3">
        <v>16</v>
      </c>
      <c r="G95" s="3" t="b">
        <v>0</v>
      </c>
      <c r="H95" s="3">
        <v>2</v>
      </c>
      <c r="I95" s="3">
        <v>2</v>
      </c>
      <c r="J95" s="3">
        <v>0.24</v>
      </c>
      <c r="K95" s="3">
        <v>0.2424</v>
      </c>
      <c r="L95" s="3">
        <v>0.75</v>
      </c>
      <c r="M95" s="3">
        <v>0.1343</v>
      </c>
      <c r="N95" s="3">
        <v>3</v>
      </c>
      <c r="O95" s="3">
        <v>61</v>
      </c>
      <c r="P95" s="3">
        <v>64</v>
      </c>
      <c r="Q95" t="str" cm="1">
        <f t="array" ref="Q95">_xlfn.IFS(F95&lt;=12,"morning",F95&lt;=18,"afternoon",F95&lt;=24,"night")</f>
        <v>afternoon</v>
      </c>
      <c r="R95" t="str">
        <f t="shared" si="5"/>
        <v>Tuesday</v>
      </c>
    </row>
    <row r="96" spans="1:18" x14ac:dyDescent="0.3">
      <c r="A96" s="3">
        <v>705</v>
      </c>
      <c r="B96" s="4">
        <v>40575</v>
      </c>
      <c r="C96" s="3">
        <v>1</v>
      </c>
      <c r="D96" s="3">
        <v>0</v>
      </c>
      <c r="E96" s="3">
        <v>2</v>
      </c>
      <c r="F96" s="3">
        <v>17</v>
      </c>
      <c r="G96" s="3" t="b">
        <v>0</v>
      </c>
      <c r="H96" s="3">
        <v>2</v>
      </c>
      <c r="I96" s="3">
        <v>2</v>
      </c>
      <c r="J96" s="3">
        <v>0.24</v>
      </c>
      <c r="K96" s="3">
        <v>0.28789999999999999</v>
      </c>
      <c r="L96" s="3">
        <v>0.75</v>
      </c>
      <c r="M96" s="3">
        <v>0</v>
      </c>
      <c r="N96" s="3">
        <v>4</v>
      </c>
      <c r="O96" s="3">
        <v>172</v>
      </c>
      <c r="P96" s="3">
        <v>176</v>
      </c>
      <c r="Q96" t="str" cm="1">
        <f t="array" ref="Q96">_xlfn.IFS(F96&lt;=12,"morning",F96&lt;=18,"afternoon",F96&lt;=24,"night")</f>
        <v>afternoon</v>
      </c>
      <c r="R96" t="str">
        <f t="shared" si="5"/>
        <v>Tuesday</v>
      </c>
    </row>
    <row r="97" spans="1:18" x14ac:dyDescent="0.3">
      <c r="A97" s="3">
        <v>706</v>
      </c>
      <c r="B97" s="4">
        <v>40575</v>
      </c>
      <c r="C97" s="3">
        <v>1</v>
      </c>
      <c r="D97" s="3">
        <v>0</v>
      </c>
      <c r="E97" s="3">
        <v>2</v>
      </c>
      <c r="F97" s="3">
        <v>18</v>
      </c>
      <c r="G97" s="3" t="b">
        <v>0</v>
      </c>
      <c r="H97" s="3">
        <v>2</v>
      </c>
      <c r="I97" s="3">
        <v>2</v>
      </c>
      <c r="J97" s="3">
        <v>0.24</v>
      </c>
      <c r="K97" s="3">
        <v>0.2576</v>
      </c>
      <c r="L97" s="3">
        <v>0.81</v>
      </c>
      <c r="M97" s="3">
        <v>0.1045</v>
      </c>
      <c r="N97" s="3">
        <v>3</v>
      </c>
      <c r="O97" s="3">
        <v>165</v>
      </c>
      <c r="P97" s="3">
        <v>168</v>
      </c>
      <c r="Q97" t="str" cm="1">
        <f t="array" ref="Q97">_xlfn.IFS(F97&lt;=12,"morning",F97&lt;=18,"afternoon",F97&lt;=24,"night")</f>
        <v>afternoon</v>
      </c>
      <c r="R97" t="str">
        <f t="shared" si="5"/>
        <v>Tuesday</v>
      </c>
    </row>
    <row r="98" spans="1:18" x14ac:dyDescent="0.3">
      <c r="A98" s="3">
        <v>707</v>
      </c>
      <c r="B98" s="4">
        <v>40575</v>
      </c>
      <c r="C98" s="3">
        <v>1</v>
      </c>
      <c r="D98" s="3">
        <v>0</v>
      </c>
      <c r="E98" s="3">
        <v>2</v>
      </c>
      <c r="F98" s="3">
        <v>19</v>
      </c>
      <c r="G98" s="3" t="b">
        <v>0</v>
      </c>
      <c r="H98" s="3">
        <v>2</v>
      </c>
      <c r="I98" s="3">
        <v>2</v>
      </c>
      <c r="J98" s="3">
        <v>0.24</v>
      </c>
      <c r="K98" s="3">
        <v>0.2424</v>
      </c>
      <c r="L98" s="3">
        <v>0.81</v>
      </c>
      <c r="M98" s="3">
        <v>0.1343</v>
      </c>
      <c r="N98" s="3">
        <v>3</v>
      </c>
      <c r="O98" s="3">
        <v>105</v>
      </c>
      <c r="P98" s="3">
        <v>108</v>
      </c>
      <c r="Q98" t="str" cm="1">
        <f t="array" ref="Q98">_xlfn.IFS(F98&lt;=12,"morning",F98&lt;=18,"afternoon",F98&lt;=24,"night")</f>
        <v>night</v>
      </c>
      <c r="R98" t="str">
        <f t="shared" si="5"/>
        <v>Tuesday</v>
      </c>
    </row>
    <row r="99" spans="1:18" x14ac:dyDescent="0.3">
      <c r="A99" s="3">
        <v>708</v>
      </c>
      <c r="B99" s="4">
        <v>40575</v>
      </c>
      <c r="C99" s="3">
        <v>1</v>
      </c>
      <c r="D99" s="3">
        <v>0</v>
      </c>
      <c r="E99" s="3">
        <v>2</v>
      </c>
      <c r="F99" s="3">
        <v>20</v>
      </c>
      <c r="G99" s="3" t="b">
        <v>0</v>
      </c>
      <c r="H99" s="3">
        <v>2</v>
      </c>
      <c r="I99" s="3">
        <v>2</v>
      </c>
      <c r="J99" s="3">
        <v>0.22</v>
      </c>
      <c r="K99" s="3">
        <v>0.2273</v>
      </c>
      <c r="L99" s="3">
        <v>0.87</v>
      </c>
      <c r="M99" s="3">
        <v>0.1343</v>
      </c>
      <c r="N99" s="3">
        <v>5</v>
      </c>
      <c r="O99" s="3">
        <v>69</v>
      </c>
      <c r="P99" s="3">
        <v>74</v>
      </c>
      <c r="Q99" t="str" cm="1">
        <f t="array" ref="Q99">_xlfn.IFS(F99&lt;=12,"morning",F99&lt;=18,"afternoon",F99&lt;=24,"night")</f>
        <v>night</v>
      </c>
      <c r="R99" t="str">
        <f t="shared" si="5"/>
        <v>Tuesday</v>
      </c>
    </row>
    <row r="100" spans="1:18" x14ac:dyDescent="0.3">
      <c r="A100" s="3">
        <v>709</v>
      </c>
      <c r="B100" s="4">
        <v>40575</v>
      </c>
      <c r="C100" s="3">
        <v>1</v>
      </c>
      <c r="D100" s="3">
        <v>0</v>
      </c>
      <c r="E100" s="3">
        <v>2</v>
      </c>
      <c r="F100" s="3">
        <v>21</v>
      </c>
      <c r="G100" s="3" t="b">
        <v>0</v>
      </c>
      <c r="H100" s="3">
        <v>2</v>
      </c>
      <c r="I100" s="3">
        <v>2</v>
      </c>
      <c r="J100" s="3">
        <v>0.22</v>
      </c>
      <c r="K100" s="3">
        <v>0.2273</v>
      </c>
      <c r="L100" s="3">
        <v>0.87</v>
      </c>
      <c r="M100" s="3">
        <v>0.1343</v>
      </c>
      <c r="N100" s="3">
        <v>0</v>
      </c>
      <c r="O100" s="3">
        <v>64</v>
      </c>
      <c r="P100" s="3">
        <v>64</v>
      </c>
      <c r="Q100" t="str" cm="1">
        <f t="array" ref="Q100">_xlfn.IFS(F100&lt;=12,"morning",F100&lt;=18,"afternoon",F100&lt;=24,"night")</f>
        <v>night</v>
      </c>
      <c r="R100" t="str">
        <f t="shared" si="5"/>
        <v>Tuesday</v>
      </c>
    </row>
    <row r="101" spans="1:18" x14ac:dyDescent="0.3">
      <c r="A101" s="3">
        <v>710</v>
      </c>
      <c r="B101" s="4">
        <v>40575</v>
      </c>
      <c r="C101" s="3">
        <v>1</v>
      </c>
      <c r="D101" s="3">
        <v>0</v>
      </c>
      <c r="E101" s="3">
        <v>2</v>
      </c>
      <c r="F101" s="3">
        <v>22</v>
      </c>
      <c r="G101" s="3" t="b">
        <v>0</v>
      </c>
      <c r="H101" s="3">
        <v>2</v>
      </c>
      <c r="I101" s="3">
        <v>2</v>
      </c>
      <c r="J101" s="3">
        <v>0.22</v>
      </c>
      <c r="K101" s="3">
        <v>0.2576</v>
      </c>
      <c r="L101" s="3">
        <v>0.87</v>
      </c>
      <c r="M101" s="3">
        <v>8.9599999999999999E-2</v>
      </c>
      <c r="N101" s="3">
        <v>2</v>
      </c>
      <c r="O101" s="3">
        <v>34</v>
      </c>
      <c r="P101" s="3">
        <v>36</v>
      </c>
      <c r="Q101" t="str" cm="1">
        <f t="array" ref="Q101">_xlfn.IFS(F101&lt;=12,"morning",F101&lt;=18,"afternoon",F101&lt;=24,"night")</f>
        <v>night</v>
      </c>
      <c r="R101" t="str">
        <f t="shared" si="5"/>
        <v>Tuesday</v>
      </c>
    </row>
    <row r="102" spans="1:18" x14ac:dyDescent="0.3">
      <c r="A102" s="3">
        <v>711</v>
      </c>
      <c r="B102" s="4">
        <v>40575</v>
      </c>
      <c r="C102" s="3">
        <v>1</v>
      </c>
      <c r="D102" s="3">
        <v>0</v>
      </c>
      <c r="E102" s="3">
        <v>2</v>
      </c>
      <c r="F102" s="3">
        <v>23</v>
      </c>
      <c r="G102" s="3" t="b">
        <v>0</v>
      </c>
      <c r="H102" s="3">
        <v>2</v>
      </c>
      <c r="I102" s="3">
        <v>3</v>
      </c>
      <c r="J102" s="3">
        <v>0.2</v>
      </c>
      <c r="K102" s="3">
        <v>0.19700000000000001</v>
      </c>
      <c r="L102" s="3">
        <v>0.93</v>
      </c>
      <c r="M102" s="3">
        <v>0.19400000000000001</v>
      </c>
      <c r="N102" s="3">
        <v>1</v>
      </c>
      <c r="O102" s="3">
        <v>15</v>
      </c>
      <c r="P102" s="3">
        <v>16</v>
      </c>
      <c r="Q102" t="str" cm="1">
        <f t="array" ref="Q102">_xlfn.IFS(F102&lt;=12,"morning",F102&lt;=18,"afternoon",F102&lt;=24,"night")</f>
        <v>night</v>
      </c>
      <c r="R102" t="str">
        <f t="shared" si="5"/>
        <v>Tuesday</v>
      </c>
    </row>
    <row r="103" spans="1:18" x14ac:dyDescent="0.3">
      <c r="A103" s="3">
        <v>712</v>
      </c>
      <c r="B103" s="4">
        <v>40576</v>
      </c>
      <c r="C103" s="3">
        <v>1</v>
      </c>
      <c r="D103" s="3">
        <v>0</v>
      </c>
      <c r="E103" s="3">
        <v>2</v>
      </c>
      <c r="F103" s="3">
        <v>0</v>
      </c>
      <c r="G103" s="3" t="b">
        <v>0</v>
      </c>
      <c r="H103" s="3">
        <v>3</v>
      </c>
      <c r="I103" s="3">
        <v>3</v>
      </c>
      <c r="J103" s="3">
        <v>0.22</v>
      </c>
      <c r="K103" s="3">
        <v>0.2424</v>
      </c>
      <c r="L103" s="3">
        <v>0.93</v>
      </c>
      <c r="M103" s="3">
        <v>0.1045</v>
      </c>
      <c r="N103" s="3">
        <v>0</v>
      </c>
      <c r="O103" s="3">
        <v>2</v>
      </c>
      <c r="P103" s="3">
        <v>2</v>
      </c>
      <c r="Q103" t="str" cm="1">
        <f t="array" ref="Q103">_xlfn.IFS(F103&lt;=12,"morning",F103&lt;=18,"afternoon",F103&lt;=24,"night")</f>
        <v>morning</v>
      </c>
      <c r="R103" t="str">
        <f t="shared" si="5"/>
        <v>Wednesday</v>
      </c>
    </row>
    <row r="104" spans="1:18" x14ac:dyDescent="0.3">
      <c r="A104" s="3">
        <v>713</v>
      </c>
      <c r="B104" s="4">
        <v>40576</v>
      </c>
      <c r="C104" s="3">
        <v>1</v>
      </c>
      <c r="D104" s="3">
        <v>0</v>
      </c>
      <c r="E104" s="3">
        <v>2</v>
      </c>
      <c r="F104" s="3">
        <v>1</v>
      </c>
      <c r="G104" s="3" t="b">
        <v>0</v>
      </c>
      <c r="H104" s="3">
        <v>3</v>
      </c>
      <c r="I104" s="3">
        <v>3</v>
      </c>
      <c r="J104" s="3">
        <v>0.22</v>
      </c>
      <c r="K104" s="3">
        <v>0.2273</v>
      </c>
      <c r="L104" s="3">
        <v>0.93</v>
      </c>
      <c r="M104" s="3">
        <v>0.19400000000000001</v>
      </c>
      <c r="N104" s="3">
        <v>0</v>
      </c>
      <c r="O104" s="3">
        <v>3</v>
      </c>
      <c r="P104" s="3">
        <v>3</v>
      </c>
      <c r="Q104" t="str" cm="1">
        <f t="array" ref="Q104">_xlfn.IFS(F104&lt;=12,"morning",F104&lt;=18,"afternoon",F104&lt;=24,"night")</f>
        <v>morning</v>
      </c>
      <c r="R104" t="str">
        <f t="shared" si="5"/>
        <v>Wednesday</v>
      </c>
    </row>
    <row r="105" spans="1:18" x14ac:dyDescent="0.3">
      <c r="A105" s="3">
        <v>714</v>
      </c>
      <c r="B105" s="4">
        <v>40576</v>
      </c>
      <c r="C105" s="3">
        <v>1</v>
      </c>
      <c r="D105" s="3">
        <v>0</v>
      </c>
      <c r="E105" s="3">
        <v>2</v>
      </c>
      <c r="F105" s="3">
        <v>2</v>
      </c>
      <c r="G105" s="3" t="b">
        <v>0</v>
      </c>
      <c r="H105" s="3">
        <v>3</v>
      </c>
      <c r="I105" s="3">
        <v>3</v>
      </c>
      <c r="J105" s="3">
        <v>0.22</v>
      </c>
      <c r="K105" s="3">
        <v>0.2273</v>
      </c>
      <c r="L105" s="3">
        <v>0.93</v>
      </c>
      <c r="M105" s="3">
        <v>0.1343</v>
      </c>
      <c r="N105" s="3">
        <v>4</v>
      </c>
      <c r="O105" s="3">
        <v>0</v>
      </c>
      <c r="P105" s="3">
        <v>4</v>
      </c>
      <c r="Q105" t="str" cm="1">
        <f t="array" ref="Q105">_xlfn.IFS(F105&lt;=12,"morning",F105&lt;=18,"afternoon",F105&lt;=24,"night")</f>
        <v>morning</v>
      </c>
      <c r="R105" t="str">
        <f t="shared" si="5"/>
        <v>Wednesday</v>
      </c>
    </row>
    <row r="106" spans="1:18" x14ac:dyDescent="0.3">
      <c r="A106" s="3">
        <v>715</v>
      </c>
      <c r="B106" s="4">
        <v>40576</v>
      </c>
      <c r="C106" s="3">
        <v>1</v>
      </c>
      <c r="D106" s="3">
        <v>0</v>
      </c>
      <c r="E106" s="3">
        <v>2</v>
      </c>
      <c r="F106" s="3">
        <v>3</v>
      </c>
      <c r="G106" s="3" t="b">
        <v>0</v>
      </c>
      <c r="H106" s="3">
        <v>3</v>
      </c>
      <c r="I106" s="3">
        <v>3</v>
      </c>
      <c r="J106" s="3">
        <v>0.22</v>
      </c>
      <c r="K106" s="3">
        <v>0.2273</v>
      </c>
      <c r="L106" s="3">
        <v>0.93</v>
      </c>
      <c r="M106" s="3">
        <v>0.1343</v>
      </c>
      <c r="N106" s="3">
        <v>0</v>
      </c>
      <c r="O106" s="3">
        <v>1</v>
      </c>
      <c r="P106" s="3">
        <v>1</v>
      </c>
      <c r="Q106" t="str" cm="1">
        <f t="array" ref="Q106">_xlfn.IFS(F106&lt;=12,"morning",F106&lt;=18,"afternoon",F106&lt;=24,"night")</f>
        <v>morning</v>
      </c>
      <c r="R106" t="str">
        <f t="shared" si="5"/>
        <v>Wednesday</v>
      </c>
    </row>
    <row r="107" spans="1:18" x14ac:dyDescent="0.3">
      <c r="A107" s="3">
        <v>716</v>
      </c>
      <c r="B107" s="4">
        <v>40576</v>
      </c>
      <c r="C107" s="3">
        <v>1</v>
      </c>
      <c r="D107" s="3">
        <v>0</v>
      </c>
      <c r="E107" s="3">
        <v>2</v>
      </c>
      <c r="F107" s="3">
        <v>4</v>
      </c>
      <c r="G107" s="3" t="b">
        <v>0</v>
      </c>
      <c r="H107" s="3">
        <v>3</v>
      </c>
      <c r="I107" s="3">
        <v>3</v>
      </c>
      <c r="J107" s="3">
        <v>0.22</v>
      </c>
      <c r="K107" s="3">
        <v>0.21210000000000001</v>
      </c>
      <c r="L107" s="3">
        <v>0.93</v>
      </c>
      <c r="M107" s="3">
        <v>0.28360000000000002</v>
      </c>
      <c r="N107" s="3">
        <v>0</v>
      </c>
      <c r="O107" s="3">
        <v>1</v>
      </c>
      <c r="P107" s="3">
        <v>1</v>
      </c>
      <c r="Q107" t="str" cm="1">
        <f t="array" ref="Q107">_xlfn.IFS(F107&lt;=12,"morning",F107&lt;=18,"afternoon",F107&lt;=24,"night")</f>
        <v>morning</v>
      </c>
      <c r="R107" t="str">
        <f t="shared" si="5"/>
        <v>Wednesday</v>
      </c>
    </row>
    <row r="108" spans="1:18" x14ac:dyDescent="0.3">
      <c r="A108" s="3">
        <v>717</v>
      </c>
      <c r="B108" s="4">
        <v>40576</v>
      </c>
      <c r="C108" s="3">
        <v>1</v>
      </c>
      <c r="D108" s="3">
        <v>0</v>
      </c>
      <c r="E108" s="3">
        <v>2</v>
      </c>
      <c r="F108" s="3">
        <v>5</v>
      </c>
      <c r="G108" s="3" t="b">
        <v>0</v>
      </c>
      <c r="H108" s="3">
        <v>3</v>
      </c>
      <c r="I108" s="3">
        <v>3</v>
      </c>
      <c r="J108" s="3">
        <v>0.22</v>
      </c>
      <c r="K108" s="3">
        <v>0.2424</v>
      </c>
      <c r="L108" s="3">
        <v>0.93</v>
      </c>
      <c r="M108" s="3">
        <v>0.1045</v>
      </c>
      <c r="N108" s="3">
        <v>0</v>
      </c>
      <c r="O108" s="3">
        <v>3</v>
      </c>
      <c r="P108" s="3">
        <v>3</v>
      </c>
      <c r="Q108" t="str" cm="1">
        <f t="array" ref="Q108">_xlfn.IFS(F108&lt;=12,"morning",F108&lt;=18,"afternoon",F108&lt;=24,"night")</f>
        <v>morning</v>
      </c>
      <c r="R108" t="str">
        <f t="shared" si="5"/>
        <v>Wednesday</v>
      </c>
    </row>
    <row r="109" spans="1:18" x14ac:dyDescent="0.3">
      <c r="A109" s="3">
        <v>718</v>
      </c>
      <c r="B109" s="4">
        <v>40576</v>
      </c>
      <c r="C109" s="3">
        <v>1</v>
      </c>
      <c r="D109" s="3">
        <v>0</v>
      </c>
      <c r="E109" s="3">
        <v>2</v>
      </c>
      <c r="F109" s="3">
        <v>6</v>
      </c>
      <c r="G109" s="3" t="b">
        <v>0</v>
      </c>
      <c r="H109" s="3">
        <v>3</v>
      </c>
      <c r="I109" s="3">
        <v>3</v>
      </c>
      <c r="J109" s="3">
        <v>0.22</v>
      </c>
      <c r="K109" s="3">
        <v>0.2424</v>
      </c>
      <c r="L109" s="3">
        <v>0.93</v>
      </c>
      <c r="M109" s="3">
        <v>0.1045</v>
      </c>
      <c r="N109" s="3">
        <v>1</v>
      </c>
      <c r="O109" s="3">
        <v>17</v>
      </c>
      <c r="P109" s="3">
        <v>18</v>
      </c>
      <c r="Q109" t="str" cm="1">
        <f t="array" ref="Q109">_xlfn.IFS(F109&lt;=12,"morning",F109&lt;=18,"afternoon",F109&lt;=24,"night")</f>
        <v>morning</v>
      </c>
      <c r="R109" t="str">
        <f t="shared" si="5"/>
        <v>Wednesday</v>
      </c>
    </row>
    <row r="110" spans="1:18" x14ac:dyDescent="0.3">
      <c r="A110" s="3">
        <v>719</v>
      </c>
      <c r="B110" s="4">
        <v>40576</v>
      </c>
      <c r="C110" s="3">
        <v>1</v>
      </c>
      <c r="D110" s="3">
        <v>0</v>
      </c>
      <c r="E110" s="3">
        <v>2</v>
      </c>
      <c r="F110" s="3">
        <v>7</v>
      </c>
      <c r="G110" s="3" t="b">
        <v>0</v>
      </c>
      <c r="H110" s="3">
        <v>3</v>
      </c>
      <c r="I110" s="3">
        <v>3</v>
      </c>
      <c r="J110" s="3">
        <v>0.22</v>
      </c>
      <c r="K110" s="3">
        <v>0.21210000000000001</v>
      </c>
      <c r="L110" s="3">
        <v>0.93</v>
      </c>
      <c r="M110" s="3">
        <v>0.22389999999999999</v>
      </c>
      <c r="N110" s="3">
        <v>1</v>
      </c>
      <c r="O110" s="3">
        <v>48</v>
      </c>
      <c r="P110" s="3">
        <v>49</v>
      </c>
      <c r="Q110" t="str" cm="1">
        <f t="array" ref="Q110">_xlfn.IFS(F110&lt;=12,"morning",F110&lt;=18,"afternoon",F110&lt;=24,"night")</f>
        <v>morning</v>
      </c>
      <c r="R110" t="str">
        <f t="shared" si="5"/>
        <v>Wednesday</v>
      </c>
    </row>
    <row r="111" spans="1:18" x14ac:dyDescent="0.3">
      <c r="A111" s="3">
        <v>720</v>
      </c>
      <c r="B111" s="4">
        <v>40576</v>
      </c>
      <c r="C111" s="3">
        <v>1</v>
      </c>
      <c r="D111" s="3">
        <v>0</v>
      </c>
      <c r="E111" s="3">
        <v>2</v>
      </c>
      <c r="F111" s="3">
        <v>8</v>
      </c>
      <c r="G111" s="3" t="b">
        <v>0</v>
      </c>
      <c r="H111" s="3">
        <v>3</v>
      </c>
      <c r="I111" s="3">
        <v>3</v>
      </c>
      <c r="J111" s="3">
        <v>0.22</v>
      </c>
      <c r="K111" s="3">
        <v>0.21210000000000001</v>
      </c>
      <c r="L111" s="3">
        <v>0.93</v>
      </c>
      <c r="M111" s="3">
        <v>0.22389999999999999</v>
      </c>
      <c r="N111" s="3">
        <v>1</v>
      </c>
      <c r="O111" s="3">
        <v>154</v>
      </c>
      <c r="P111" s="3">
        <v>155</v>
      </c>
      <c r="Q111" t="str" cm="1">
        <f t="array" ref="Q111">_xlfn.IFS(F111&lt;=12,"morning",F111&lt;=18,"afternoon",F111&lt;=24,"night")</f>
        <v>morning</v>
      </c>
      <c r="R111" t="str">
        <f t="shared" si="5"/>
        <v>Wednesday</v>
      </c>
    </row>
    <row r="112" spans="1:18" x14ac:dyDescent="0.3">
      <c r="A112" s="3">
        <v>721</v>
      </c>
      <c r="B112" s="4">
        <v>40576</v>
      </c>
      <c r="C112" s="3">
        <v>1</v>
      </c>
      <c r="D112" s="3">
        <v>0</v>
      </c>
      <c r="E112" s="3">
        <v>2</v>
      </c>
      <c r="F112" s="3">
        <v>9</v>
      </c>
      <c r="G112" s="3" t="b">
        <v>0</v>
      </c>
      <c r="H112" s="3">
        <v>3</v>
      </c>
      <c r="I112" s="3">
        <v>2</v>
      </c>
      <c r="J112" s="3">
        <v>0.24</v>
      </c>
      <c r="K112" s="3">
        <v>0.2576</v>
      </c>
      <c r="L112" s="3">
        <v>0.93</v>
      </c>
      <c r="M112" s="3">
        <v>8.9599999999999999E-2</v>
      </c>
      <c r="N112" s="3">
        <v>4</v>
      </c>
      <c r="O112" s="3">
        <v>119</v>
      </c>
      <c r="P112" s="3">
        <v>123</v>
      </c>
      <c r="Q112" t="str" cm="1">
        <f t="array" ref="Q112">_xlfn.IFS(F112&lt;=12,"morning",F112&lt;=18,"afternoon",F112&lt;=24,"night")</f>
        <v>morning</v>
      </c>
      <c r="R112" t="str">
        <f t="shared" si="5"/>
        <v>Wednesday</v>
      </c>
    </row>
    <row r="113" spans="1:18" x14ac:dyDescent="0.3">
      <c r="A113" s="3">
        <v>722</v>
      </c>
      <c r="B113" s="4">
        <v>40576</v>
      </c>
      <c r="C113" s="3">
        <v>1</v>
      </c>
      <c r="D113" s="3">
        <v>0</v>
      </c>
      <c r="E113" s="3">
        <v>2</v>
      </c>
      <c r="F113" s="3">
        <v>10</v>
      </c>
      <c r="G113" s="3" t="b">
        <v>0</v>
      </c>
      <c r="H113" s="3">
        <v>3</v>
      </c>
      <c r="I113" s="3">
        <v>2</v>
      </c>
      <c r="J113" s="3">
        <v>0.22</v>
      </c>
      <c r="K113" s="3">
        <v>0.2727</v>
      </c>
      <c r="L113" s="3">
        <v>1</v>
      </c>
      <c r="M113" s="3">
        <v>0</v>
      </c>
      <c r="N113" s="3">
        <v>2</v>
      </c>
      <c r="O113" s="3">
        <v>59</v>
      </c>
      <c r="P113" s="3">
        <v>61</v>
      </c>
      <c r="Q113" t="str" cm="1">
        <f t="array" ref="Q113">_xlfn.IFS(F113&lt;=12,"morning",F113&lt;=18,"afternoon",F113&lt;=24,"night")</f>
        <v>morning</v>
      </c>
      <c r="R113" t="str">
        <f t="shared" si="5"/>
        <v>Wednesday</v>
      </c>
    </row>
    <row r="114" spans="1:18" x14ac:dyDescent="0.3">
      <c r="A114" s="3">
        <v>723</v>
      </c>
      <c r="B114" s="4">
        <v>40576</v>
      </c>
      <c r="C114" s="3">
        <v>1</v>
      </c>
      <c r="D114" s="3">
        <v>0</v>
      </c>
      <c r="E114" s="3">
        <v>2</v>
      </c>
      <c r="F114" s="3">
        <v>11</v>
      </c>
      <c r="G114" s="3" t="b">
        <v>0</v>
      </c>
      <c r="H114" s="3">
        <v>3</v>
      </c>
      <c r="I114" s="3">
        <v>2</v>
      </c>
      <c r="J114" s="3">
        <v>0.24</v>
      </c>
      <c r="K114" s="3">
        <v>0.2273</v>
      </c>
      <c r="L114" s="3">
        <v>0.93</v>
      </c>
      <c r="M114" s="3">
        <v>0.19400000000000001</v>
      </c>
      <c r="N114" s="3">
        <v>5</v>
      </c>
      <c r="O114" s="3">
        <v>47</v>
      </c>
      <c r="P114" s="3">
        <v>52</v>
      </c>
      <c r="Q114" t="str" cm="1">
        <f t="array" ref="Q114">_xlfn.IFS(F114&lt;=12,"morning",F114&lt;=18,"afternoon",F114&lt;=24,"night")</f>
        <v>morning</v>
      </c>
      <c r="R114" t="str">
        <f t="shared" si="5"/>
        <v>Wednesday</v>
      </c>
    </row>
    <row r="115" spans="1:18" x14ac:dyDescent="0.3">
      <c r="A115" s="3">
        <v>724</v>
      </c>
      <c r="B115" s="4">
        <v>40576</v>
      </c>
      <c r="C115" s="3">
        <v>1</v>
      </c>
      <c r="D115" s="3">
        <v>0</v>
      </c>
      <c r="E115" s="3">
        <v>2</v>
      </c>
      <c r="F115" s="3">
        <v>12</v>
      </c>
      <c r="G115" s="3" t="b">
        <v>0</v>
      </c>
      <c r="H115" s="3">
        <v>3</v>
      </c>
      <c r="I115" s="3">
        <v>2</v>
      </c>
      <c r="J115" s="3">
        <v>0.24</v>
      </c>
      <c r="K115" s="3">
        <v>0.2273</v>
      </c>
      <c r="L115" s="3">
        <v>0.93</v>
      </c>
      <c r="M115" s="3">
        <v>0.22389999999999999</v>
      </c>
      <c r="N115" s="3">
        <v>3</v>
      </c>
      <c r="O115" s="3">
        <v>61</v>
      </c>
      <c r="P115" s="3">
        <v>64</v>
      </c>
      <c r="Q115" t="str" cm="1">
        <f t="array" ref="Q115">_xlfn.IFS(F115&lt;=12,"morning",F115&lt;=18,"afternoon",F115&lt;=24,"night")</f>
        <v>morning</v>
      </c>
      <c r="R115" t="str">
        <f t="shared" si="5"/>
        <v>Wednesday</v>
      </c>
    </row>
    <row r="116" spans="1:18" x14ac:dyDescent="0.3">
      <c r="A116" s="3">
        <v>725</v>
      </c>
      <c r="B116" s="4">
        <v>40576</v>
      </c>
      <c r="C116" s="3">
        <v>1</v>
      </c>
      <c r="D116" s="3">
        <v>0</v>
      </c>
      <c r="E116" s="3">
        <v>2</v>
      </c>
      <c r="F116" s="3">
        <v>13</v>
      </c>
      <c r="G116" s="3" t="b">
        <v>0</v>
      </c>
      <c r="H116" s="3">
        <v>3</v>
      </c>
      <c r="I116" s="3">
        <v>1</v>
      </c>
      <c r="J116" s="3">
        <v>0.34</v>
      </c>
      <c r="K116" s="3">
        <v>0.33329999999999999</v>
      </c>
      <c r="L116" s="3">
        <v>0.93</v>
      </c>
      <c r="M116" s="3">
        <v>0.16420000000000001</v>
      </c>
      <c r="N116" s="3">
        <v>1</v>
      </c>
      <c r="O116" s="3">
        <v>74</v>
      </c>
      <c r="P116" s="3">
        <v>75</v>
      </c>
      <c r="Q116" t="str" cm="1">
        <f t="array" ref="Q116">_xlfn.IFS(F116&lt;=12,"morning",F116&lt;=18,"afternoon",F116&lt;=24,"night")</f>
        <v>afternoon</v>
      </c>
      <c r="R116" t="str">
        <f t="shared" si="5"/>
        <v>Wednesday</v>
      </c>
    </row>
    <row r="117" spans="1:18" x14ac:dyDescent="0.3">
      <c r="A117" s="3">
        <v>726</v>
      </c>
      <c r="B117" s="4">
        <v>40576</v>
      </c>
      <c r="C117" s="3">
        <v>1</v>
      </c>
      <c r="D117" s="3">
        <v>0</v>
      </c>
      <c r="E117" s="3">
        <v>2</v>
      </c>
      <c r="F117" s="3">
        <v>14</v>
      </c>
      <c r="G117" s="3" t="b">
        <v>0</v>
      </c>
      <c r="H117" s="3">
        <v>3</v>
      </c>
      <c r="I117" s="3">
        <v>1</v>
      </c>
      <c r="J117" s="3">
        <v>0.38</v>
      </c>
      <c r="K117" s="3">
        <v>0.39389999999999997</v>
      </c>
      <c r="L117" s="3">
        <v>0.82</v>
      </c>
      <c r="M117" s="3">
        <v>0.3881</v>
      </c>
      <c r="N117" s="3">
        <v>2</v>
      </c>
      <c r="O117" s="3">
        <v>61</v>
      </c>
      <c r="P117" s="3">
        <v>63</v>
      </c>
      <c r="Q117" t="str" cm="1">
        <f t="array" ref="Q117">_xlfn.IFS(F117&lt;=12,"morning",F117&lt;=18,"afternoon",F117&lt;=24,"night")</f>
        <v>afternoon</v>
      </c>
      <c r="R117" t="str">
        <f t="shared" si="5"/>
        <v>Wednesday</v>
      </c>
    </row>
    <row r="118" spans="1:18" x14ac:dyDescent="0.3">
      <c r="A118" s="3">
        <v>727</v>
      </c>
      <c r="B118" s="4">
        <v>40576</v>
      </c>
      <c r="C118" s="3">
        <v>1</v>
      </c>
      <c r="D118" s="3">
        <v>0</v>
      </c>
      <c r="E118" s="3">
        <v>2</v>
      </c>
      <c r="F118" s="3">
        <v>15</v>
      </c>
      <c r="G118" s="3" t="b">
        <v>0</v>
      </c>
      <c r="H118" s="3">
        <v>3</v>
      </c>
      <c r="I118" s="3">
        <v>1</v>
      </c>
      <c r="J118" s="3">
        <v>0.38</v>
      </c>
      <c r="K118" s="3">
        <v>0.39389999999999997</v>
      </c>
      <c r="L118" s="3">
        <v>0.76</v>
      </c>
      <c r="M118" s="3">
        <v>0.32840000000000003</v>
      </c>
      <c r="N118" s="3">
        <v>10</v>
      </c>
      <c r="O118" s="3">
        <v>66</v>
      </c>
      <c r="P118" s="3">
        <v>76</v>
      </c>
      <c r="Q118" t="str" cm="1">
        <f t="array" ref="Q118">_xlfn.IFS(F118&lt;=12,"morning",F118&lt;=18,"afternoon",F118&lt;=24,"night")</f>
        <v>afternoon</v>
      </c>
      <c r="R118" t="str">
        <f t="shared" si="5"/>
        <v>Wednesday</v>
      </c>
    </row>
    <row r="119" spans="1:18" x14ac:dyDescent="0.3">
      <c r="A119" s="3">
        <v>728</v>
      </c>
      <c r="B119" s="4">
        <v>40576</v>
      </c>
      <c r="C119" s="3">
        <v>1</v>
      </c>
      <c r="D119" s="3">
        <v>0</v>
      </c>
      <c r="E119" s="3">
        <v>2</v>
      </c>
      <c r="F119" s="3">
        <v>16</v>
      </c>
      <c r="G119" s="3" t="b">
        <v>0</v>
      </c>
      <c r="H119" s="3">
        <v>3</v>
      </c>
      <c r="I119" s="3">
        <v>1</v>
      </c>
      <c r="J119" s="3">
        <v>0.36</v>
      </c>
      <c r="K119" s="3">
        <v>0.33329999999999999</v>
      </c>
      <c r="L119" s="3">
        <v>0.71</v>
      </c>
      <c r="M119" s="3">
        <v>0.29849999999999999</v>
      </c>
      <c r="N119" s="3">
        <v>8</v>
      </c>
      <c r="O119" s="3">
        <v>95</v>
      </c>
      <c r="P119" s="3">
        <v>103</v>
      </c>
      <c r="Q119" t="str" cm="1">
        <f t="array" ref="Q119">_xlfn.IFS(F119&lt;=12,"morning",F119&lt;=18,"afternoon",F119&lt;=24,"night")</f>
        <v>afternoon</v>
      </c>
      <c r="R119" t="str">
        <f t="shared" si="5"/>
        <v>Wednesday</v>
      </c>
    </row>
    <row r="120" spans="1:18" x14ac:dyDescent="0.3">
      <c r="A120" s="3">
        <v>729</v>
      </c>
      <c r="B120" s="4">
        <v>40576</v>
      </c>
      <c r="C120" s="3">
        <v>1</v>
      </c>
      <c r="D120" s="3">
        <v>0</v>
      </c>
      <c r="E120" s="3">
        <v>2</v>
      </c>
      <c r="F120" s="3">
        <v>17</v>
      </c>
      <c r="G120" s="3" t="b">
        <v>0</v>
      </c>
      <c r="H120" s="3">
        <v>3</v>
      </c>
      <c r="I120" s="3">
        <v>1</v>
      </c>
      <c r="J120" s="3">
        <v>0.36</v>
      </c>
      <c r="K120" s="3">
        <v>0.31819999999999998</v>
      </c>
      <c r="L120" s="3">
        <v>0.53</v>
      </c>
      <c r="M120" s="3">
        <v>0.52239999999999998</v>
      </c>
      <c r="N120" s="3">
        <v>7</v>
      </c>
      <c r="O120" s="3">
        <v>183</v>
      </c>
      <c r="P120" s="3">
        <v>190</v>
      </c>
      <c r="Q120" t="str" cm="1">
        <f t="array" ref="Q120">_xlfn.IFS(F120&lt;=12,"morning",F120&lt;=18,"afternoon",F120&lt;=24,"night")</f>
        <v>afternoon</v>
      </c>
      <c r="R120" t="str">
        <f t="shared" si="5"/>
        <v>Wednesday</v>
      </c>
    </row>
    <row r="121" spans="1:18" x14ac:dyDescent="0.3">
      <c r="A121" s="3">
        <v>730</v>
      </c>
      <c r="B121" s="4">
        <v>40576</v>
      </c>
      <c r="C121" s="3">
        <v>1</v>
      </c>
      <c r="D121" s="3">
        <v>0</v>
      </c>
      <c r="E121" s="3">
        <v>2</v>
      </c>
      <c r="F121" s="3">
        <v>18</v>
      </c>
      <c r="G121" s="3" t="b">
        <v>0</v>
      </c>
      <c r="H121" s="3">
        <v>3</v>
      </c>
      <c r="I121" s="3">
        <v>1</v>
      </c>
      <c r="J121" s="3">
        <v>0.34</v>
      </c>
      <c r="K121" s="3">
        <v>0.28789999999999999</v>
      </c>
      <c r="L121" s="3">
        <v>0.42</v>
      </c>
      <c r="M121" s="3">
        <v>0.55220000000000002</v>
      </c>
      <c r="N121" s="3">
        <v>7</v>
      </c>
      <c r="O121" s="3">
        <v>175</v>
      </c>
      <c r="P121" s="3">
        <v>182</v>
      </c>
      <c r="Q121" t="str" cm="1">
        <f t="array" ref="Q121">_xlfn.IFS(F121&lt;=12,"morning",F121&lt;=18,"afternoon",F121&lt;=24,"night")</f>
        <v>afternoon</v>
      </c>
      <c r="R121" t="str">
        <f t="shared" si="5"/>
        <v>Wednesday</v>
      </c>
    </row>
    <row r="122" spans="1:18" x14ac:dyDescent="0.3">
      <c r="A122" s="3">
        <v>731</v>
      </c>
      <c r="B122" s="4">
        <v>40576</v>
      </c>
      <c r="C122" s="3">
        <v>1</v>
      </c>
      <c r="D122" s="3">
        <v>0</v>
      </c>
      <c r="E122" s="3">
        <v>2</v>
      </c>
      <c r="F122" s="3">
        <v>19</v>
      </c>
      <c r="G122" s="3" t="b">
        <v>0</v>
      </c>
      <c r="H122" s="3">
        <v>3</v>
      </c>
      <c r="I122" s="3">
        <v>1</v>
      </c>
      <c r="J122" s="3">
        <v>0.28000000000000003</v>
      </c>
      <c r="K122" s="3">
        <v>0.2424</v>
      </c>
      <c r="L122" s="3">
        <v>0.45</v>
      </c>
      <c r="M122" s="3">
        <v>0.49249999999999999</v>
      </c>
      <c r="N122" s="3">
        <v>3</v>
      </c>
      <c r="O122" s="3">
        <v>88</v>
      </c>
      <c r="P122" s="3">
        <v>91</v>
      </c>
      <c r="Q122" t="str" cm="1">
        <f t="array" ref="Q122">_xlfn.IFS(F122&lt;=12,"morning",F122&lt;=18,"afternoon",F122&lt;=24,"night")</f>
        <v>night</v>
      </c>
      <c r="R122" t="str">
        <f t="shared" si="5"/>
        <v>Wednesday</v>
      </c>
    </row>
    <row r="123" spans="1:18" x14ac:dyDescent="0.3">
      <c r="A123" s="3">
        <v>732</v>
      </c>
      <c r="B123" s="4">
        <v>40576</v>
      </c>
      <c r="C123" s="3">
        <v>1</v>
      </c>
      <c r="D123" s="3">
        <v>0</v>
      </c>
      <c r="E123" s="3">
        <v>2</v>
      </c>
      <c r="F123" s="3">
        <v>20</v>
      </c>
      <c r="G123" s="3" t="b">
        <v>0</v>
      </c>
      <c r="H123" s="3">
        <v>3</v>
      </c>
      <c r="I123" s="3">
        <v>1</v>
      </c>
      <c r="J123" s="3">
        <v>0.24</v>
      </c>
      <c r="K123" s="3">
        <v>0.19700000000000001</v>
      </c>
      <c r="L123" s="3">
        <v>0.48</v>
      </c>
      <c r="M123" s="3">
        <v>0.55220000000000002</v>
      </c>
      <c r="N123" s="3">
        <v>4</v>
      </c>
      <c r="O123" s="3">
        <v>71</v>
      </c>
      <c r="P123" s="3">
        <v>75</v>
      </c>
      <c r="Q123" t="str" cm="1">
        <f t="array" ref="Q123">_xlfn.IFS(F123&lt;=12,"morning",F123&lt;=18,"afternoon",F123&lt;=24,"night")</f>
        <v>night</v>
      </c>
      <c r="R123" t="str">
        <f t="shared" si="5"/>
        <v>Wednesday</v>
      </c>
    </row>
    <row r="124" spans="1:18" x14ac:dyDescent="0.3">
      <c r="A124" s="3">
        <v>733</v>
      </c>
      <c r="B124" s="4">
        <v>40576</v>
      </c>
      <c r="C124" s="3">
        <v>1</v>
      </c>
      <c r="D124" s="3">
        <v>0</v>
      </c>
      <c r="E124" s="3">
        <v>2</v>
      </c>
      <c r="F124" s="3">
        <v>21</v>
      </c>
      <c r="G124" s="3" t="b">
        <v>0</v>
      </c>
      <c r="H124" s="3">
        <v>3</v>
      </c>
      <c r="I124" s="3">
        <v>1</v>
      </c>
      <c r="J124" s="3">
        <v>0.22</v>
      </c>
      <c r="K124" s="3">
        <v>0.19700000000000001</v>
      </c>
      <c r="L124" s="3">
        <v>0.47</v>
      </c>
      <c r="M124" s="3">
        <v>0.32840000000000003</v>
      </c>
      <c r="N124" s="3">
        <v>1</v>
      </c>
      <c r="O124" s="3">
        <v>62</v>
      </c>
      <c r="P124" s="3">
        <v>63</v>
      </c>
      <c r="Q124" t="str" cm="1">
        <f t="array" ref="Q124">_xlfn.IFS(F124&lt;=12,"morning",F124&lt;=18,"afternoon",F124&lt;=24,"night")</f>
        <v>night</v>
      </c>
      <c r="R124" t="str">
        <f t="shared" si="5"/>
        <v>Wednesday</v>
      </c>
    </row>
    <row r="125" spans="1:18" x14ac:dyDescent="0.3">
      <c r="A125" s="3">
        <v>734</v>
      </c>
      <c r="B125" s="4">
        <v>40576</v>
      </c>
      <c r="C125" s="3">
        <v>1</v>
      </c>
      <c r="D125" s="3">
        <v>0</v>
      </c>
      <c r="E125" s="3">
        <v>2</v>
      </c>
      <c r="F125" s="3">
        <v>22</v>
      </c>
      <c r="G125" s="3" t="b">
        <v>0</v>
      </c>
      <c r="H125" s="3">
        <v>3</v>
      </c>
      <c r="I125" s="3">
        <v>1</v>
      </c>
      <c r="J125" s="3">
        <v>0.22</v>
      </c>
      <c r="K125" s="3">
        <v>0.21210000000000001</v>
      </c>
      <c r="L125" s="3">
        <v>0.44</v>
      </c>
      <c r="M125" s="3">
        <v>0.25369999999999998</v>
      </c>
      <c r="N125" s="3">
        <v>5</v>
      </c>
      <c r="O125" s="3">
        <v>35</v>
      </c>
      <c r="P125" s="3">
        <v>40</v>
      </c>
      <c r="Q125" t="str" cm="1">
        <f t="array" ref="Q125">_xlfn.IFS(F125&lt;=12,"morning",F125&lt;=18,"afternoon",F125&lt;=24,"night")</f>
        <v>night</v>
      </c>
      <c r="R125" t="str">
        <f t="shared" si="5"/>
        <v>Wednesday</v>
      </c>
    </row>
    <row r="126" spans="1:18" x14ac:dyDescent="0.3">
      <c r="A126" s="3">
        <v>735</v>
      </c>
      <c r="B126" s="4">
        <v>40576</v>
      </c>
      <c r="C126" s="3">
        <v>1</v>
      </c>
      <c r="D126" s="3">
        <v>0</v>
      </c>
      <c r="E126" s="3">
        <v>2</v>
      </c>
      <c r="F126" s="3">
        <v>23</v>
      </c>
      <c r="G126" s="3" t="b">
        <v>0</v>
      </c>
      <c r="H126" s="3">
        <v>3</v>
      </c>
      <c r="I126" s="3">
        <v>1</v>
      </c>
      <c r="J126" s="3">
        <v>0.2</v>
      </c>
      <c r="K126" s="3">
        <v>0.16669999999999999</v>
      </c>
      <c r="L126" s="3">
        <v>0.44</v>
      </c>
      <c r="M126" s="3">
        <v>0.44779999999999998</v>
      </c>
      <c r="N126" s="3">
        <v>3</v>
      </c>
      <c r="O126" s="3">
        <v>29</v>
      </c>
      <c r="P126" s="3">
        <v>32</v>
      </c>
      <c r="Q126" t="str" cm="1">
        <f t="array" ref="Q126">_xlfn.IFS(F126&lt;=12,"morning",F126&lt;=18,"afternoon",F126&lt;=24,"night")</f>
        <v>night</v>
      </c>
      <c r="R126" t="str">
        <f t="shared" si="5"/>
        <v>Wednesday</v>
      </c>
    </row>
    <row r="127" spans="1:18" x14ac:dyDescent="0.3">
      <c r="A127" s="3">
        <v>736</v>
      </c>
      <c r="B127" s="4">
        <v>40577</v>
      </c>
      <c r="C127" s="3">
        <v>1</v>
      </c>
      <c r="D127" s="3">
        <v>0</v>
      </c>
      <c r="E127" s="3">
        <v>2</v>
      </c>
      <c r="F127" s="3">
        <v>0</v>
      </c>
      <c r="G127" s="3" t="b">
        <v>0</v>
      </c>
      <c r="H127" s="3">
        <v>4</v>
      </c>
      <c r="I127" s="3">
        <v>1</v>
      </c>
      <c r="J127" s="3">
        <v>0.2</v>
      </c>
      <c r="K127" s="3">
        <v>0.16669999999999999</v>
      </c>
      <c r="L127" s="3">
        <v>0.4</v>
      </c>
      <c r="M127" s="3">
        <v>0.44779999999999998</v>
      </c>
      <c r="N127" s="3">
        <v>1</v>
      </c>
      <c r="O127" s="3">
        <v>11</v>
      </c>
      <c r="P127" s="3">
        <v>12</v>
      </c>
      <c r="Q127" t="str" cm="1">
        <f t="array" ref="Q127">_xlfn.IFS(F127&lt;=12,"morning",F127&lt;=18,"afternoon",F127&lt;=24,"night")</f>
        <v>morning</v>
      </c>
      <c r="R127" t="str">
        <f t="shared" si="5"/>
        <v>Thursday</v>
      </c>
    </row>
    <row r="128" spans="1:18" x14ac:dyDescent="0.3">
      <c r="A128" s="3">
        <v>737</v>
      </c>
      <c r="B128" s="4">
        <v>40577</v>
      </c>
      <c r="C128" s="3">
        <v>1</v>
      </c>
      <c r="D128" s="3">
        <v>0</v>
      </c>
      <c r="E128" s="3">
        <v>2</v>
      </c>
      <c r="F128" s="3">
        <v>1</v>
      </c>
      <c r="G128" s="3" t="b">
        <v>0</v>
      </c>
      <c r="H128" s="3">
        <v>4</v>
      </c>
      <c r="I128" s="3">
        <v>1</v>
      </c>
      <c r="J128" s="3">
        <v>0.2</v>
      </c>
      <c r="K128" s="3">
        <v>0.1515</v>
      </c>
      <c r="L128" s="3">
        <v>0.44</v>
      </c>
      <c r="M128" s="3">
        <v>0.52239999999999998</v>
      </c>
      <c r="N128" s="3">
        <v>0</v>
      </c>
      <c r="O128" s="3">
        <v>5</v>
      </c>
      <c r="P128" s="3">
        <v>5</v>
      </c>
      <c r="Q128" t="str" cm="1">
        <f t="array" ref="Q128">_xlfn.IFS(F128&lt;=12,"morning",F128&lt;=18,"afternoon",F128&lt;=24,"night")</f>
        <v>morning</v>
      </c>
      <c r="R128" t="str">
        <f t="shared" si="5"/>
        <v>Thursday</v>
      </c>
    </row>
    <row r="129" spans="1:18" x14ac:dyDescent="0.3">
      <c r="A129" s="3">
        <v>738</v>
      </c>
      <c r="B129" s="4">
        <v>40577</v>
      </c>
      <c r="C129" s="3">
        <v>1</v>
      </c>
      <c r="D129" s="3">
        <v>0</v>
      </c>
      <c r="E129" s="3">
        <v>2</v>
      </c>
      <c r="F129" s="3">
        <v>2</v>
      </c>
      <c r="G129" s="3" t="b">
        <v>0</v>
      </c>
      <c r="H129" s="3">
        <v>4</v>
      </c>
      <c r="I129" s="3">
        <v>1</v>
      </c>
      <c r="J129" s="3">
        <v>0.18</v>
      </c>
      <c r="K129" s="3">
        <v>0.16669999999999999</v>
      </c>
      <c r="L129" s="3">
        <v>0.43</v>
      </c>
      <c r="M129" s="3">
        <v>0.25369999999999998</v>
      </c>
      <c r="N129" s="3">
        <v>0</v>
      </c>
      <c r="O129" s="3">
        <v>2</v>
      </c>
      <c r="P129" s="3">
        <v>2</v>
      </c>
      <c r="Q129" t="str" cm="1">
        <f t="array" ref="Q129">_xlfn.IFS(F129&lt;=12,"morning",F129&lt;=18,"afternoon",F129&lt;=24,"night")</f>
        <v>morning</v>
      </c>
      <c r="R129" t="str">
        <f t="shared" si="5"/>
        <v>Thursday</v>
      </c>
    </row>
    <row r="130" spans="1:18" x14ac:dyDescent="0.3">
      <c r="A130" s="3">
        <v>739</v>
      </c>
      <c r="B130" s="4">
        <v>40577</v>
      </c>
      <c r="C130" s="3">
        <v>1</v>
      </c>
      <c r="D130" s="3">
        <v>0</v>
      </c>
      <c r="E130" s="3">
        <v>2</v>
      </c>
      <c r="F130" s="3">
        <v>3</v>
      </c>
      <c r="G130" s="3" t="b">
        <v>0</v>
      </c>
      <c r="H130" s="3">
        <v>4</v>
      </c>
      <c r="I130" s="3">
        <v>1</v>
      </c>
      <c r="J130" s="3">
        <v>0.18</v>
      </c>
      <c r="K130" s="3">
        <v>0.16669999999999999</v>
      </c>
      <c r="L130" s="3">
        <v>0.43</v>
      </c>
      <c r="M130" s="3">
        <v>0.25369999999999998</v>
      </c>
      <c r="N130" s="3">
        <v>0</v>
      </c>
      <c r="O130" s="3">
        <v>1</v>
      </c>
      <c r="P130" s="3">
        <v>1</v>
      </c>
      <c r="Q130" t="str" cm="1">
        <f t="array" ref="Q130">_xlfn.IFS(F130&lt;=12,"morning",F130&lt;=18,"afternoon",F130&lt;=24,"night")</f>
        <v>morning</v>
      </c>
      <c r="R130" t="str">
        <f t="shared" ref="R130:R193" si="6">TEXT(B130,"dddd")</f>
        <v>Thursday</v>
      </c>
    </row>
    <row r="131" spans="1:18" x14ac:dyDescent="0.3">
      <c r="A131" s="3">
        <v>740</v>
      </c>
      <c r="B131" s="4">
        <v>40577</v>
      </c>
      <c r="C131" s="3">
        <v>1</v>
      </c>
      <c r="D131" s="3">
        <v>0</v>
      </c>
      <c r="E131" s="3">
        <v>2</v>
      </c>
      <c r="F131" s="3">
        <v>5</v>
      </c>
      <c r="G131" s="3" t="b">
        <v>0</v>
      </c>
      <c r="H131" s="3">
        <v>4</v>
      </c>
      <c r="I131" s="3">
        <v>1</v>
      </c>
      <c r="J131" s="3">
        <v>0.16</v>
      </c>
      <c r="K131" s="3">
        <v>0.13639999999999999</v>
      </c>
      <c r="L131" s="3">
        <v>0.5</v>
      </c>
      <c r="M131" s="3">
        <v>0.29849999999999999</v>
      </c>
      <c r="N131" s="3">
        <v>0</v>
      </c>
      <c r="O131" s="3">
        <v>2</v>
      </c>
      <c r="P131" s="3">
        <v>2</v>
      </c>
      <c r="Q131" t="str" cm="1">
        <f t="array" ref="Q131">_xlfn.IFS(F131&lt;=12,"morning",F131&lt;=18,"afternoon",F131&lt;=24,"night")</f>
        <v>morning</v>
      </c>
      <c r="R131" t="str">
        <f t="shared" si="6"/>
        <v>Thursday</v>
      </c>
    </row>
    <row r="132" spans="1:18" x14ac:dyDescent="0.3">
      <c r="A132" s="3">
        <v>741</v>
      </c>
      <c r="B132" s="4">
        <v>40577</v>
      </c>
      <c r="C132" s="3">
        <v>1</v>
      </c>
      <c r="D132" s="3">
        <v>0</v>
      </c>
      <c r="E132" s="3">
        <v>2</v>
      </c>
      <c r="F132" s="3">
        <v>6</v>
      </c>
      <c r="G132" s="3" t="b">
        <v>0</v>
      </c>
      <c r="H132" s="3">
        <v>4</v>
      </c>
      <c r="I132" s="3">
        <v>1</v>
      </c>
      <c r="J132" s="3">
        <v>0.16</v>
      </c>
      <c r="K132" s="3">
        <v>0.13639999999999999</v>
      </c>
      <c r="L132" s="3">
        <v>0.43</v>
      </c>
      <c r="M132" s="3">
        <v>0.35820000000000002</v>
      </c>
      <c r="N132" s="3">
        <v>0</v>
      </c>
      <c r="O132" s="3">
        <v>39</v>
      </c>
      <c r="P132" s="3">
        <v>39</v>
      </c>
      <c r="Q132" t="str" cm="1">
        <f t="array" ref="Q132">_xlfn.IFS(F132&lt;=12,"morning",F132&lt;=18,"afternoon",F132&lt;=24,"night")</f>
        <v>morning</v>
      </c>
      <c r="R132" t="str">
        <f t="shared" si="6"/>
        <v>Thursday</v>
      </c>
    </row>
    <row r="133" spans="1:18" x14ac:dyDescent="0.3">
      <c r="A133" s="3">
        <v>742</v>
      </c>
      <c r="B133" s="4">
        <v>40577</v>
      </c>
      <c r="C133" s="3">
        <v>1</v>
      </c>
      <c r="D133" s="3">
        <v>0</v>
      </c>
      <c r="E133" s="3">
        <v>2</v>
      </c>
      <c r="F133" s="3">
        <v>7</v>
      </c>
      <c r="G133" s="3" t="b">
        <v>0</v>
      </c>
      <c r="H133" s="3">
        <v>4</v>
      </c>
      <c r="I133" s="3">
        <v>1</v>
      </c>
      <c r="J133" s="3">
        <v>0.14000000000000001</v>
      </c>
      <c r="K133" s="3">
        <v>0.1212</v>
      </c>
      <c r="L133" s="3">
        <v>0.5</v>
      </c>
      <c r="M133" s="3">
        <v>0.32840000000000003</v>
      </c>
      <c r="N133" s="3">
        <v>1</v>
      </c>
      <c r="O133" s="3">
        <v>86</v>
      </c>
      <c r="P133" s="3">
        <v>87</v>
      </c>
      <c r="Q133" t="str" cm="1">
        <f t="array" ref="Q133">_xlfn.IFS(F133&lt;=12,"morning",F133&lt;=18,"afternoon",F133&lt;=24,"night")</f>
        <v>morning</v>
      </c>
      <c r="R133" t="str">
        <f t="shared" si="6"/>
        <v>Thursday</v>
      </c>
    </row>
    <row r="134" spans="1:18" x14ac:dyDescent="0.3">
      <c r="A134" s="3">
        <v>743</v>
      </c>
      <c r="B134" s="4">
        <v>40577</v>
      </c>
      <c r="C134" s="3">
        <v>1</v>
      </c>
      <c r="D134" s="3">
        <v>0</v>
      </c>
      <c r="E134" s="3">
        <v>2</v>
      </c>
      <c r="F134" s="3">
        <v>8</v>
      </c>
      <c r="G134" s="3" t="b">
        <v>0</v>
      </c>
      <c r="H134" s="3">
        <v>4</v>
      </c>
      <c r="I134" s="3">
        <v>1</v>
      </c>
      <c r="J134" s="3">
        <v>0.14000000000000001</v>
      </c>
      <c r="K134" s="3">
        <v>0.1212</v>
      </c>
      <c r="L134" s="3">
        <v>0.5</v>
      </c>
      <c r="M134" s="3">
        <v>0.35820000000000002</v>
      </c>
      <c r="N134" s="3">
        <v>4</v>
      </c>
      <c r="O134" s="3">
        <v>184</v>
      </c>
      <c r="P134" s="3">
        <v>188</v>
      </c>
      <c r="Q134" t="str" cm="1">
        <f t="array" ref="Q134">_xlfn.IFS(F134&lt;=12,"morning",F134&lt;=18,"afternoon",F134&lt;=24,"night")</f>
        <v>morning</v>
      </c>
      <c r="R134" t="str">
        <f t="shared" si="6"/>
        <v>Thursday</v>
      </c>
    </row>
    <row r="135" spans="1:18" x14ac:dyDescent="0.3">
      <c r="A135" s="3">
        <v>744</v>
      </c>
      <c r="B135" s="4">
        <v>40577</v>
      </c>
      <c r="C135" s="3">
        <v>1</v>
      </c>
      <c r="D135" s="3">
        <v>0</v>
      </c>
      <c r="E135" s="3">
        <v>2</v>
      </c>
      <c r="F135" s="3">
        <v>9</v>
      </c>
      <c r="G135" s="3" t="b">
        <v>0</v>
      </c>
      <c r="H135" s="3">
        <v>4</v>
      </c>
      <c r="I135" s="3">
        <v>1</v>
      </c>
      <c r="J135" s="3">
        <v>0.16</v>
      </c>
      <c r="K135" s="3">
        <v>0.13639999999999999</v>
      </c>
      <c r="L135" s="3">
        <v>0.47</v>
      </c>
      <c r="M135" s="3">
        <v>0.29849999999999999</v>
      </c>
      <c r="N135" s="3">
        <v>6</v>
      </c>
      <c r="O135" s="3">
        <v>127</v>
      </c>
      <c r="P135" s="3">
        <v>133</v>
      </c>
      <c r="Q135" t="str" cm="1">
        <f t="array" ref="Q135">_xlfn.IFS(F135&lt;=12,"morning",F135&lt;=18,"afternoon",F135&lt;=24,"night")</f>
        <v>morning</v>
      </c>
      <c r="R135" t="str">
        <f t="shared" si="6"/>
        <v>Thursday</v>
      </c>
    </row>
    <row r="136" spans="1:18" x14ac:dyDescent="0.3">
      <c r="A136" s="3">
        <v>745</v>
      </c>
      <c r="B136" s="4">
        <v>40577</v>
      </c>
      <c r="C136" s="3">
        <v>1</v>
      </c>
      <c r="D136" s="3">
        <v>0</v>
      </c>
      <c r="E136" s="3">
        <v>2</v>
      </c>
      <c r="F136" s="3">
        <v>10</v>
      </c>
      <c r="G136" s="3" t="b">
        <v>0</v>
      </c>
      <c r="H136" s="3">
        <v>4</v>
      </c>
      <c r="I136" s="3">
        <v>1</v>
      </c>
      <c r="J136" s="3">
        <v>0.18</v>
      </c>
      <c r="K136" s="3">
        <v>0.1515</v>
      </c>
      <c r="L136" s="3">
        <v>0.43</v>
      </c>
      <c r="M136" s="3">
        <v>0.32840000000000003</v>
      </c>
      <c r="N136" s="3">
        <v>2</v>
      </c>
      <c r="O136" s="3">
        <v>50</v>
      </c>
      <c r="P136" s="3">
        <v>52</v>
      </c>
      <c r="Q136" t="str" cm="1">
        <f t="array" ref="Q136">_xlfn.IFS(F136&lt;=12,"morning",F136&lt;=18,"afternoon",F136&lt;=24,"night")</f>
        <v>morning</v>
      </c>
      <c r="R136" t="str">
        <f t="shared" si="6"/>
        <v>Thursday</v>
      </c>
    </row>
    <row r="137" spans="1:18" x14ac:dyDescent="0.3">
      <c r="A137" s="3">
        <v>746</v>
      </c>
      <c r="B137" s="4">
        <v>40577</v>
      </c>
      <c r="C137" s="3">
        <v>1</v>
      </c>
      <c r="D137" s="3">
        <v>0</v>
      </c>
      <c r="E137" s="3">
        <v>2</v>
      </c>
      <c r="F137" s="3">
        <v>11</v>
      </c>
      <c r="G137" s="3" t="b">
        <v>0</v>
      </c>
      <c r="H137" s="3">
        <v>4</v>
      </c>
      <c r="I137" s="3">
        <v>1</v>
      </c>
      <c r="J137" s="3">
        <v>0.18</v>
      </c>
      <c r="K137" s="3">
        <v>0.13639999999999999</v>
      </c>
      <c r="L137" s="3">
        <v>0.43</v>
      </c>
      <c r="M137" s="3">
        <v>0.44779999999999998</v>
      </c>
      <c r="N137" s="3">
        <v>9</v>
      </c>
      <c r="O137" s="3">
        <v>55</v>
      </c>
      <c r="P137" s="3">
        <v>64</v>
      </c>
      <c r="Q137" t="str" cm="1">
        <f t="array" ref="Q137">_xlfn.IFS(F137&lt;=12,"morning",F137&lt;=18,"afternoon",F137&lt;=24,"night")</f>
        <v>morning</v>
      </c>
      <c r="R137" t="str">
        <f t="shared" si="6"/>
        <v>Thursday</v>
      </c>
    </row>
    <row r="138" spans="1:18" x14ac:dyDescent="0.3">
      <c r="A138" s="3">
        <v>747</v>
      </c>
      <c r="B138" s="4">
        <v>40577</v>
      </c>
      <c r="C138" s="3">
        <v>1</v>
      </c>
      <c r="D138" s="3">
        <v>0</v>
      </c>
      <c r="E138" s="3">
        <v>2</v>
      </c>
      <c r="F138" s="3">
        <v>12</v>
      </c>
      <c r="G138" s="3" t="b">
        <v>0</v>
      </c>
      <c r="H138" s="3">
        <v>4</v>
      </c>
      <c r="I138" s="3">
        <v>1</v>
      </c>
      <c r="J138" s="3">
        <v>0.2</v>
      </c>
      <c r="K138" s="3">
        <v>0.18179999999999999</v>
      </c>
      <c r="L138" s="3">
        <v>0.4</v>
      </c>
      <c r="M138" s="3">
        <v>0.35820000000000002</v>
      </c>
      <c r="N138" s="3">
        <v>2</v>
      </c>
      <c r="O138" s="3">
        <v>67</v>
      </c>
      <c r="P138" s="3">
        <v>69</v>
      </c>
      <c r="Q138" t="str" cm="1">
        <f t="array" ref="Q138">_xlfn.IFS(F138&lt;=12,"morning",F138&lt;=18,"afternoon",F138&lt;=24,"night")</f>
        <v>morning</v>
      </c>
      <c r="R138" t="str">
        <f t="shared" si="6"/>
        <v>Thursday</v>
      </c>
    </row>
    <row r="139" spans="1:18" x14ac:dyDescent="0.3">
      <c r="A139" s="3">
        <v>748</v>
      </c>
      <c r="B139" s="4">
        <v>40577</v>
      </c>
      <c r="C139" s="3">
        <v>1</v>
      </c>
      <c r="D139" s="3">
        <v>0</v>
      </c>
      <c r="E139" s="3">
        <v>2</v>
      </c>
      <c r="F139" s="3">
        <v>13</v>
      </c>
      <c r="G139" s="3" t="b">
        <v>0</v>
      </c>
      <c r="H139" s="3">
        <v>4</v>
      </c>
      <c r="I139" s="3">
        <v>1</v>
      </c>
      <c r="J139" s="3">
        <v>0.2</v>
      </c>
      <c r="K139" s="3">
        <v>0.16669999999999999</v>
      </c>
      <c r="L139" s="3">
        <v>0.4</v>
      </c>
      <c r="M139" s="3">
        <v>0.41789999999999999</v>
      </c>
      <c r="N139" s="3">
        <v>4</v>
      </c>
      <c r="O139" s="3">
        <v>47</v>
      </c>
      <c r="P139" s="3">
        <v>51</v>
      </c>
      <c r="Q139" t="str" cm="1">
        <f t="array" ref="Q139">_xlfn.IFS(F139&lt;=12,"morning",F139&lt;=18,"afternoon",F139&lt;=24,"night")</f>
        <v>afternoon</v>
      </c>
      <c r="R139" t="str">
        <f t="shared" si="6"/>
        <v>Thursday</v>
      </c>
    </row>
    <row r="140" spans="1:18" x14ac:dyDescent="0.3">
      <c r="A140" s="3">
        <v>749</v>
      </c>
      <c r="B140" s="4">
        <v>40577</v>
      </c>
      <c r="C140" s="3">
        <v>1</v>
      </c>
      <c r="D140" s="3">
        <v>0</v>
      </c>
      <c r="E140" s="3">
        <v>2</v>
      </c>
      <c r="F140" s="3">
        <v>14</v>
      </c>
      <c r="G140" s="3" t="b">
        <v>0</v>
      </c>
      <c r="H140" s="3">
        <v>4</v>
      </c>
      <c r="I140" s="3">
        <v>1</v>
      </c>
      <c r="J140" s="3">
        <v>0.22</v>
      </c>
      <c r="K140" s="3">
        <v>0.19700000000000001</v>
      </c>
      <c r="L140" s="3">
        <v>0.37</v>
      </c>
      <c r="M140" s="3">
        <v>0.3881</v>
      </c>
      <c r="N140" s="3">
        <v>4</v>
      </c>
      <c r="O140" s="3">
        <v>43</v>
      </c>
      <c r="P140" s="3">
        <v>47</v>
      </c>
      <c r="Q140" t="str" cm="1">
        <f t="array" ref="Q140">_xlfn.IFS(F140&lt;=12,"morning",F140&lt;=18,"afternoon",F140&lt;=24,"night")</f>
        <v>afternoon</v>
      </c>
      <c r="R140" t="str">
        <f t="shared" si="6"/>
        <v>Thursday</v>
      </c>
    </row>
    <row r="141" spans="1:18" x14ac:dyDescent="0.3">
      <c r="A141" s="3">
        <v>750</v>
      </c>
      <c r="B141" s="4">
        <v>40577</v>
      </c>
      <c r="C141" s="3">
        <v>1</v>
      </c>
      <c r="D141" s="3">
        <v>0</v>
      </c>
      <c r="E141" s="3">
        <v>2</v>
      </c>
      <c r="F141" s="3">
        <v>15</v>
      </c>
      <c r="G141" s="3" t="b">
        <v>0</v>
      </c>
      <c r="H141" s="3">
        <v>4</v>
      </c>
      <c r="I141" s="3">
        <v>1</v>
      </c>
      <c r="J141" s="3">
        <v>0.22</v>
      </c>
      <c r="K141" s="3">
        <v>0.19700000000000001</v>
      </c>
      <c r="L141" s="3">
        <v>0.37</v>
      </c>
      <c r="M141" s="3">
        <v>0.32840000000000003</v>
      </c>
      <c r="N141" s="3">
        <v>4</v>
      </c>
      <c r="O141" s="3">
        <v>56</v>
      </c>
      <c r="P141" s="3">
        <v>60</v>
      </c>
      <c r="Q141" t="str" cm="1">
        <f t="array" ref="Q141">_xlfn.IFS(F141&lt;=12,"morning",F141&lt;=18,"afternoon",F141&lt;=24,"night")</f>
        <v>afternoon</v>
      </c>
      <c r="R141" t="str">
        <f t="shared" si="6"/>
        <v>Thursday</v>
      </c>
    </row>
    <row r="142" spans="1:18" x14ac:dyDescent="0.3">
      <c r="A142" s="3">
        <v>751</v>
      </c>
      <c r="B142" s="4">
        <v>40577</v>
      </c>
      <c r="C142" s="3">
        <v>1</v>
      </c>
      <c r="D142" s="3">
        <v>0</v>
      </c>
      <c r="E142" s="3">
        <v>2</v>
      </c>
      <c r="F142" s="3">
        <v>16</v>
      </c>
      <c r="G142" s="3" t="b">
        <v>0</v>
      </c>
      <c r="H142" s="3">
        <v>4</v>
      </c>
      <c r="I142" s="3">
        <v>1</v>
      </c>
      <c r="J142" s="3">
        <v>0.22</v>
      </c>
      <c r="K142" s="3">
        <v>0.21210000000000001</v>
      </c>
      <c r="L142" s="3">
        <v>0.37</v>
      </c>
      <c r="M142" s="3">
        <v>0.25369999999999998</v>
      </c>
      <c r="N142" s="3">
        <v>5</v>
      </c>
      <c r="O142" s="3">
        <v>73</v>
      </c>
      <c r="P142" s="3">
        <v>78</v>
      </c>
      <c r="Q142" t="str" cm="1">
        <f t="array" ref="Q142">_xlfn.IFS(F142&lt;=12,"morning",F142&lt;=18,"afternoon",F142&lt;=24,"night")</f>
        <v>afternoon</v>
      </c>
      <c r="R142" t="str">
        <f t="shared" si="6"/>
        <v>Thursday</v>
      </c>
    </row>
    <row r="143" spans="1:18" x14ac:dyDescent="0.3">
      <c r="A143" s="3">
        <v>752</v>
      </c>
      <c r="B143" s="4">
        <v>40577</v>
      </c>
      <c r="C143" s="3">
        <v>1</v>
      </c>
      <c r="D143" s="3">
        <v>0</v>
      </c>
      <c r="E143" s="3">
        <v>2</v>
      </c>
      <c r="F143" s="3">
        <v>17</v>
      </c>
      <c r="G143" s="3" t="b">
        <v>0</v>
      </c>
      <c r="H143" s="3">
        <v>4</v>
      </c>
      <c r="I143" s="3">
        <v>1</v>
      </c>
      <c r="J143" s="3">
        <v>0.2</v>
      </c>
      <c r="K143" s="3">
        <v>0.19700000000000001</v>
      </c>
      <c r="L143" s="3">
        <v>0.4</v>
      </c>
      <c r="M143" s="3">
        <v>0.19400000000000001</v>
      </c>
      <c r="N143" s="3">
        <v>5</v>
      </c>
      <c r="O143" s="3">
        <v>170</v>
      </c>
      <c r="P143" s="3">
        <v>175</v>
      </c>
      <c r="Q143" t="str" cm="1">
        <f t="array" ref="Q143">_xlfn.IFS(F143&lt;=12,"morning",F143&lt;=18,"afternoon",F143&lt;=24,"night")</f>
        <v>afternoon</v>
      </c>
      <c r="R143" t="str">
        <f t="shared" si="6"/>
        <v>Thursday</v>
      </c>
    </row>
    <row r="144" spans="1:18" x14ac:dyDescent="0.3">
      <c r="A144" s="3">
        <v>753</v>
      </c>
      <c r="B144" s="4">
        <v>40577</v>
      </c>
      <c r="C144" s="3">
        <v>1</v>
      </c>
      <c r="D144" s="3">
        <v>0</v>
      </c>
      <c r="E144" s="3">
        <v>2</v>
      </c>
      <c r="F144" s="3">
        <v>18</v>
      </c>
      <c r="G144" s="3" t="b">
        <v>0</v>
      </c>
      <c r="H144" s="3">
        <v>4</v>
      </c>
      <c r="I144" s="3">
        <v>1</v>
      </c>
      <c r="J144" s="3">
        <v>0.2</v>
      </c>
      <c r="K144" s="3">
        <v>0.21210000000000001</v>
      </c>
      <c r="L144" s="3">
        <v>0.4</v>
      </c>
      <c r="M144" s="3">
        <v>0.16420000000000001</v>
      </c>
      <c r="N144" s="3">
        <v>2</v>
      </c>
      <c r="O144" s="3">
        <v>145</v>
      </c>
      <c r="P144" s="3">
        <v>147</v>
      </c>
      <c r="Q144" t="str" cm="1">
        <f t="array" ref="Q144">_xlfn.IFS(F144&lt;=12,"morning",F144&lt;=18,"afternoon",F144&lt;=24,"night")</f>
        <v>afternoon</v>
      </c>
      <c r="R144" t="str">
        <f t="shared" si="6"/>
        <v>Thursday</v>
      </c>
    </row>
    <row r="145" spans="1:18" x14ac:dyDescent="0.3">
      <c r="A145" s="3">
        <v>754</v>
      </c>
      <c r="B145" s="4">
        <v>40577</v>
      </c>
      <c r="C145" s="3">
        <v>1</v>
      </c>
      <c r="D145" s="3">
        <v>0</v>
      </c>
      <c r="E145" s="3">
        <v>2</v>
      </c>
      <c r="F145" s="3">
        <v>19</v>
      </c>
      <c r="G145" s="3" t="b">
        <v>0</v>
      </c>
      <c r="H145" s="3">
        <v>4</v>
      </c>
      <c r="I145" s="3">
        <v>1</v>
      </c>
      <c r="J145" s="3">
        <v>0.2</v>
      </c>
      <c r="K145" s="3">
        <v>0.2576</v>
      </c>
      <c r="L145" s="3">
        <v>0.4</v>
      </c>
      <c r="M145" s="3">
        <v>0</v>
      </c>
      <c r="N145" s="3">
        <v>4</v>
      </c>
      <c r="O145" s="3">
        <v>92</v>
      </c>
      <c r="P145" s="3">
        <v>96</v>
      </c>
      <c r="Q145" t="str" cm="1">
        <f t="array" ref="Q145">_xlfn.IFS(F145&lt;=12,"morning",F145&lt;=18,"afternoon",F145&lt;=24,"night")</f>
        <v>night</v>
      </c>
      <c r="R145" t="str">
        <f t="shared" si="6"/>
        <v>Thursday</v>
      </c>
    </row>
    <row r="146" spans="1:18" x14ac:dyDescent="0.3">
      <c r="A146" s="3">
        <v>755</v>
      </c>
      <c r="B146" s="4">
        <v>40577</v>
      </c>
      <c r="C146" s="3">
        <v>1</v>
      </c>
      <c r="D146" s="3">
        <v>0</v>
      </c>
      <c r="E146" s="3">
        <v>2</v>
      </c>
      <c r="F146" s="3">
        <v>20</v>
      </c>
      <c r="G146" s="3" t="b">
        <v>0</v>
      </c>
      <c r="H146" s="3">
        <v>4</v>
      </c>
      <c r="I146" s="3">
        <v>1</v>
      </c>
      <c r="J146" s="3">
        <v>0.2</v>
      </c>
      <c r="K146" s="3">
        <v>0.2273</v>
      </c>
      <c r="L146" s="3">
        <v>0.47</v>
      </c>
      <c r="M146" s="3">
        <v>8.9599999999999999E-2</v>
      </c>
      <c r="N146" s="3">
        <v>1</v>
      </c>
      <c r="O146" s="3">
        <v>108</v>
      </c>
      <c r="P146" s="3">
        <v>109</v>
      </c>
      <c r="Q146" t="str" cm="1">
        <f t="array" ref="Q146">_xlfn.IFS(F146&lt;=12,"morning",F146&lt;=18,"afternoon",F146&lt;=24,"night")</f>
        <v>night</v>
      </c>
      <c r="R146" t="str">
        <f t="shared" si="6"/>
        <v>Thursday</v>
      </c>
    </row>
    <row r="147" spans="1:18" x14ac:dyDescent="0.3">
      <c r="A147" s="3">
        <v>756</v>
      </c>
      <c r="B147" s="4">
        <v>40577</v>
      </c>
      <c r="C147" s="3">
        <v>1</v>
      </c>
      <c r="D147" s="3">
        <v>0</v>
      </c>
      <c r="E147" s="3">
        <v>2</v>
      </c>
      <c r="F147" s="3">
        <v>21</v>
      </c>
      <c r="G147" s="3" t="b">
        <v>0</v>
      </c>
      <c r="H147" s="3">
        <v>4</v>
      </c>
      <c r="I147" s="3">
        <v>1</v>
      </c>
      <c r="J147" s="3">
        <v>0.18</v>
      </c>
      <c r="K147" s="3">
        <v>0.21210000000000001</v>
      </c>
      <c r="L147" s="3">
        <v>0.55000000000000004</v>
      </c>
      <c r="M147" s="3">
        <v>0.1045</v>
      </c>
      <c r="N147" s="3">
        <v>1</v>
      </c>
      <c r="O147" s="3">
        <v>53</v>
      </c>
      <c r="P147" s="3">
        <v>54</v>
      </c>
      <c r="Q147" t="str" cm="1">
        <f t="array" ref="Q147">_xlfn.IFS(F147&lt;=12,"morning",F147&lt;=18,"afternoon",F147&lt;=24,"night")</f>
        <v>night</v>
      </c>
      <c r="R147" t="str">
        <f t="shared" si="6"/>
        <v>Thursday</v>
      </c>
    </row>
    <row r="148" spans="1:18" x14ac:dyDescent="0.3">
      <c r="A148" s="3">
        <v>757</v>
      </c>
      <c r="B148" s="4">
        <v>40577</v>
      </c>
      <c r="C148" s="3">
        <v>1</v>
      </c>
      <c r="D148" s="3">
        <v>0</v>
      </c>
      <c r="E148" s="3">
        <v>2</v>
      </c>
      <c r="F148" s="3">
        <v>22</v>
      </c>
      <c r="G148" s="3" t="b">
        <v>0</v>
      </c>
      <c r="H148" s="3">
        <v>4</v>
      </c>
      <c r="I148" s="3">
        <v>1</v>
      </c>
      <c r="J148" s="3">
        <v>0.18</v>
      </c>
      <c r="K148" s="3">
        <v>0.21210000000000001</v>
      </c>
      <c r="L148" s="3">
        <v>0.51</v>
      </c>
      <c r="M148" s="3">
        <v>8.9599999999999999E-2</v>
      </c>
      <c r="N148" s="3">
        <v>2</v>
      </c>
      <c r="O148" s="3">
        <v>39</v>
      </c>
      <c r="P148" s="3">
        <v>41</v>
      </c>
      <c r="Q148" t="str" cm="1">
        <f t="array" ref="Q148">_xlfn.IFS(F148&lt;=12,"morning",F148&lt;=18,"afternoon",F148&lt;=24,"night")</f>
        <v>night</v>
      </c>
      <c r="R148" t="str">
        <f t="shared" si="6"/>
        <v>Thursday</v>
      </c>
    </row>
    <row r="149" spans="1:18" x14ac:dyDescent="0.3">
      <c r="A149" s="3">
        <v>758</v>
      </c>
      <c r="B149" s="4">
        <v>40577</v>
      </c>
      <c r="C149" s="3">
        <v>1</v>
      </c>
      <c r="D149" s="3">
        <v>0</v>
      </c>
      <c r="E149" s="3">
        <v>2</v>
      </c>
      <c r="F149" s="3">
        <v>23</v>
      </c>
      <c r="G149" s="3" t="b">
        <v>0</v>
      </c>
      <c r="H149" s="3">
        <v>4</v>
      </c>
      <c r="I149" s="3">
        <v>1</v>
      </c>
      <c r="J149" s="3">
        <v>0.2</v>
      </c>
      <c r="K149" s="3">
        <v>0.2273</v>
      </c>
      <c r="L149" s="3">
        <v>0.47</v>
      </c>
      <c r="M149" s="3">
        <v>0.1045</v>
      </c>
      <c r="N149" s="3">
        <v>4</v>
      </c>
      <c r="O149" s="3">
        <v>34</v>
      </c>
      <c r="P149" s="3">
        <v>38</v>
      </c>
      <c r="Q149" t="str" cm="1">
        <f t="array" ref="Q149">_xlfn.IFS(F149&lt;=12,"morning",F149&lt;=18,"afternoon",F149&lt;=24,"night")</f>
        <v>night</v>
      </c>
      <c r="R149" t="str">
        <f t="shared" si="6"/>
        <v>Thursday</v>
      </c>
    </row>
    <row r="150" spans="1:18" x14ac:dyDescent="0.3">
      <c r="A150" s="3">
        <v>759</v>
      </c>
      <c r="B150" s="4">
        <v>40578</v>
      </c>
      <c r="C150" s="3">
        <v>1</v>
      </c>
      <c r="D150" s="3">
        <v>0</v>
      </c>
      <c r="E150" s="3">
        <v>2</v>
      </c>
      <c r="F150" s="3">
        <v>0</v>
      </c>
      <c r="G150" s="3" t="b">
        <v>0</v>
      </c>
      <c r="H150" s="3">
        <v>5</v>
      </c>
      <c r="I150" s="3">
        <v>2</v>
      </c>
      <c r="J150" s="3">
        <v>0.2</v>
      </c>
      <c r="K150" s="3">
        <v>0.2576</v>
      </c>
      <c r="L150" s="3">
        <v>0.44</v>
      </c>
      <c r="M150" s="3">
        <v>0</v>
      </c>
      <c r="N150" s="3">
        <v>3</v>
      </c>
      <c r="O150" s="3">
        <v>10</v>
      </c>
      <c r="P150" s="3">
        <v>13</v>
      </c>
      <c r="Q150" t="str" cm="1">
        <f t="array" ref="Q150">_xlfn.IFS(F150&lt;=12,"morning",F150&lt;=18,"afternoon",F150&lt;=24,"night")</f>
        <v>morning</v>
      </c>
      <c r="R150" t="str">
        <f t="shared" si="6"/>
        <v>Friday</v>
      </c>
    </row>
    <row r="151" spans="1:18" x14ac:dyDescent="0.3">
      <c r="A151" s="3">
        <v>760</v>
      </c>
      <c r="B151" s="4">
        <v>40578</v>
      </c>
      <c r="C151" s="3">
        <v>1</v>
      </c>
      <c r="D151" s="3">
        <v>0</v>
      </c>
      <c r="E151" s="3">
        <v>2</v>
      </c>
      <c r="F151" s="3">
        <v>1</v>
      </c>
      <c r="G151" s="3" t="b">
        <v>0</v>
      </c>
      <c r="H151" s="3">
        <v>5</v>
      </c>
      <c r="I151" s="3">
        <v>2</v>
      </c>
      <c r="J151" s="3">
        <v>0.16</v>
      </c>
      <c r="K151" s="3">
        <v>0.2273</v>
      </c>
      <c r="L151" s="3">
        <v>0.59</v>
      </c>
      <c r="M151" s="3">
        <v>0</v>
      </c>
      <c r="N151" s="3">
        <v>0</v>
      </c>
      <c r="O151" s="3">
        <v>7</v>
      </c>
      <c r="P151" s="3">
        <v>7</v>
      </c>
      <c r="Q151" t="str" cm="1">
        <f t="array" ref="Q151">_xlfn.IFS(F151&lt;=12,"morning",F151&lt;=18,"afternoon",F151&lt;=24,"night")</f>
        <v>morning</v>
      </c>
      <c r="R151" t="str">
        <f t="shared" si="6"/>
        <v>Friday</v>
      </c>
    </row>
    <row r="152" spans="1:18" x14ac:dyDescent="0.3">
      <c r="A152" s="3">
        <v>761</v>
      </c>
      <c r="B152" s="4">
        <v>40578</v>
      </c>
      <c r="C152" s="3">
        <v>1</v>
      </c>
      <c r="D152" s="3">
        <v>0</v>
      </c>
      <c r="E152" s="3">
        <v>2</v>
      </c>
      <c r="F152" s="3">
        <v>2</v>
      </c>
      <c r="G152" s="3" t="b">
        <v>0</v>
      </c>
      <c r="H152" s="3">
        <v>5</v>
      </c>
      <c r="I152" s="3">
        <v>2</v>
      </c>
      <c r="J152" s="3">
        <v>0.14000000000000001</v>
      </c>
      <c r="K152" s="3">
        <v>0.16669999999999999</v>
      </c>
      <c r="L152" s="3">
        <v>0.63</v>
      </c>
      <c r="M152" s="3">
        <v>0.1045</v>
      </c>
      <c r="N152" s="3">
        <v>0</v>
      </c>
      <c r="O152" s="3">
        <v>1</v>
      </c>
      <c r="P152" s="3">
        <v>1</v>
      </c>
      <c r="Q152" t="str" cm="1">
        <f t="array" ref="Q152">_xlfn.IFS(F152&lt;=12,"morning",F152&lt;=18,"afternoon",F152&lt;=24,"night")</f>
        <v>morning</v>
      </c>
      <c r="R152" t="str">
        <f t="shared" si="6"/>
        <v>Friday</v>
      </c>
    </row>
    <row r="153" spans="1:18" x14ac:dyDescent="0.3">
      <c r="A153" s="3">
        <v>762</v>
      </c>
      <c r="B153" s="4">
        <v>40578</v>
      </c>
      <c r="C153" s="3">
        <v>1</v>
      </c>
      <c r="D153" s="3">
        <v>0</v>
      </c>
      <c r="E153" s="3">
        <v>2</v>
      </c>
      <c r="F153" s="3">
        <v>3</v>
      </c>
      <c r="G153" s="3" t="b">
        <v>0</v>
      </c>
      <c r="H153" s="3">
        <v>5</v>
      </c>
      <c r="I153" s="3">
        <v>2</v>
      </c>
      <c r="J153" s="3">
        <v>0.14000000000000001</v>
      </c>
      <c r="K153" s="3">
        <v>0.16669999999999999</v>
      </c>
      <c r="L153" s="3">
        <v>0.63</v>
      </c>
      <c r="M153" s="3">
        <v>0.1045</v>
      </c>
      <c r="N153" s="3">
        <v>0</v>
      </c>
      <c r="O153" s="3">
        <v>1</v>
      </c>
      <c r="P153" s="3">
        <v>1</v>
      </c>
      <c r="Q153" t="str" cm="1">
        <f t="array" ref="Q153">_xlfn.IFS(F153&lt;=12,"morning",F153&lt;=18,"afternoon",F153&lt;=24,"night")</f>
        <v>morning</v>
      </c>
      <c r="R153" t="str">
        <f t="shared" si="6"/>
        <v>Friday</v>
      </c>
    </row>
    <row r="154" spans="1:18" x14ac:dyDescent="0.3">
      <c r="A154" s="3">
        <v>763</v>
      </c>
      <c r="B154" s="4">
        <v>40578</v>
      </c>
      <c r="C154" s="3">
        <v>1</v>
      </c>
      <c r="D154" s="3">
        <v>0</v>
      </c>
      <c r="E154" s="3">
        <v>2</v>
      </c>
      <c r="F154" s="3">
        <v>5</v>
      </c>
      <c r="G154" s="3" t="b">
        <v>0</v>
      </c>
      <c r="H154" s="3">
        <v>5</v>
      </c>
      <c r="I154" s="3">
        <v>2</v>
      </c>
      <c r="J154" s="3">
        <v>0.14000000000000001</v>
      </c>
      <c r="K154" s="3">
        <v>0.1515</v>
      </c>
      <c r="L154" s="3">
        <v>0.63</v>
      </c>
      <c r="M154" s="3">
        <v>0.1343</v>
      </c>
      <c r="N154" s="3">
        <v>0</v>
      </c>
      <c r="O154" s="3">
        <v>7</v>
      </c>
      <c r="P154" s="3">
        <v>7</v>
      </c>
      <c r="Q154" t="str" cm="1">
        <f t="array" ref="Q154">_xlfn.IFS(F154&lt;=12,"morning",F154&lt;=18,"afternoon",F154&lt;=24,"night")</f>
        <v>morning</v>
      </c>
      <c r="R154" t="str">
        <f t="shared" si="6"/>
        <v>Friday</v>
      </c>
    </row>
    <row r="155" spans="1:18" x14ac:dyDescent="0.3">
      <c r="A155" s="3">
        <v>764</v>
      </c>
      <c r="B155" s="4">
        <v>40578</v>
      </c>
      <c r="C155" s="3">
        <v>1</v>
      </c>
      <c r="D155" s="3">
        <v>0</v>
      </c>
      <c r="E155" s="3">
        <v>2</v>
      </c>
      <c r="F155" s="3">
        <v>6</v>
      </c>
      <c r="G155" s="3" t="b">
        <v>0</v>
      </c>
      <c r="H155" s="3">
        <v>5</v>
      </c>
      <c r="I155" s="3">
        <v>2</v>
      </c>
      <c r="J155" s="3">
        <v>0.16</v>
      </c>
      <c r="K155" s="3">
        <v>0.2273</v>
      </c>
      <c r="L155" s="3">
        <v>0.55000000000000004</v>
      </c>
      <c r="M155" s="3">
        <v>0</v>
      </c>
      <c r="N155" s="3">
        <v>2</v>
      </c>
      <c r="O155" s="3">
        <v>26</v>
      </c>
      <c r="P155" s="3">
        <v>28</v>
      </c>
      <c r="Q155" t="str" cm="1">
        <f t="array" ref="Q155">_xlfn.IFS(F155&lt;=12,"morning",F155&lt;=18,"afternoon",F155&lt;=24,"night")</f>
        <v>morning</v>
      </c>
      <c r="R155" t="str">
        <f t="shared" si="6"/>
        <v>Friday</v>
      </c>
    </row>
    <row r="156" spans="1:18" x14ac:dyDescent="0.3">
      <c r="A156" s="3">
        <v>765</v>
      </c>
      <c r="B156" s="4">
        <v>40578</v>
      </c>
      <c r="C156" s="3">
        <v>1</v>
      </c>
      <c r="D156" s="3">
        <v>0</v>
      </c>
      <c r="E156" s="3">
        <v>2</v>
      </c>
      <c r="F156" s="3">
        <v>7</v>
      </c>
      <c r="G156" s="3" t="b">
        <v>0</v>
      </c>
      <c r="H156" s="3">
        <v>5</v>
      </c>
      <c r="I156" s="3">
        <v>1</v>
      </c>
      <c r="J156" s="3">
        <v>0.14000000000000001</v>
      </c>
      <c r="K156" s="3">
        <v>0.21210000000000001</v>
      </c>
      <c r="L156" s="3">
        <v>0.59</v>
      </c>
      <c r="M156" s="3">
        <v>0</v>
      </c>
      <c r="N156" s="3">
        <v>0</v>
      </c>
      <c r="O156" s="3">
        <v>87</v>
      </c>
      <c r="P156" s="3">
        <v>87</v>
      </c>
      <c r="Q156" t="str" cm="1">
        <f t="array" ref="Q156">_xlfn.IFS(F156&lt;=12,"morning",F156&lt;=18,"afternoon",F156&lt;=24,"night")</f>
        <v>morning</v>
      </c>
      <c r="R156" t="str">
        <f t="shared" si="6"/>
        <v>Friday</v>
      </c>
    </row>
    <row r="157" spans="1:18" x14ac:dyDescent="0.3">
      <c r="A157" s="3">
        <v>766</v>
      </c>
      <c r="B157" s="4">
        <v>40578</v>
      </c>
      <c r="C157" s="3">
        <v>1</v>
      </c>
      <c r="D157" s="3">
        <v>0</v>
      </c>
      <c r="E157" s="3">
        <v>2</v>
      </c>
      <c r="F157" s="3">
        <v>8</v>
      </c>
      <c r="G157" s="3" t="b">
        <v>0</v>
      </c>
      <c r="H157" s="3">
        <v>5</v>
      </c>
      <c r="I157" s="3">
        <v>1</v>
      </c>
      <c r="J157" s="3">
        <v>0.14000000000000001</v>
      </c>
      <c r="K157" s="3">
        <v>0.1515</v>
      </c>
      <c r="L157" s="3">
        <v>0.74</v>
      </c>
      <c r="M157" s="3">
        <v>0.1343</v>
      </c>
      <c r="N157" s="3">
        <v>3</v>
      </c>
      <c r="O157" s="3">
        <v>217</v>
      </c>
      <c r="P157" s="3">
        <v>220</v>
      </c>
      <c r="Q157" t="str" cm="1">
        <f t="array" ref="Q157">_xlfn.IFS(F157&lt;=12,"morning",F157&lt;=18,"afternoon",F157&lt;=24,"night")</f>
        <v>morning</v>
      </c>
      <c r="R157" t="str">
        <f t="shared" si="6"/>
        <v>Friday</v>
      </c>
    </row>
    <row r="158" spans="1:18" x14ac:dyDescent="0.3">
      <c r="A158" s="3">
        <v>767</v>
      </c>
      <c r="B158" s="4">
        <v>40578</v>
      </c>
      <c r="C158" s="3">
        <v>1</v>
      </c>
      <c r="D158" s="3">
        <v>0</v>
      </c>
      <c r="E158" s="3">
        <v>2</v>
      </c>
      <c r="F158" s="3">
        <v>9</v>
      </c>
      <c r="G158" s="3" t="b">
        <v>0</v>
      </c>
      <c r="H158" s="3">
        <v>5</v>
      </c>
      <c r="I158" s="3">
        <v>2</v>
      </c>
      <c r="J158" s="3">
        <v>0.16</v>
      </c>
      <c r="K158" s="3">
        <v>0.18179999999999999</v>
      </c>
      <c r="L158" s="3">
        <v>0.8</v>
      </c>
      <c r="M158" s="3">
        <v>0.1343</v>
      </c>
      <c r="N158" s="3">
        <v>3</v>
      </c>
      <c r="O158" s="3">
        <v>124</v>
      </c>
      <c r="P158" s="3">
        <v>127</v>
      </c>
      <c r="Q158" t="str" cm="1">
        <f t="array" ref="Q158">_xlfn.IFS(F158&lt;=12,"morning",F158&lt;=18,"afternoon",F158&lt;=24,"night")</f>
        <v>morning</v>
      </c>
      <c r="R158" t="str">
        <f t="shared" si="6"/>
        <v>Friday</v>
      </c>
    </row>
    <row r="159" spans="1:18" x14ac:dyDescent="0.3">
      <c r="A159" s="3">
        <v>768</v>
      </c>
      <c r="B159" s="4">
        <v>40578</v>
      </c>
      <c r="C159" s="3">
        <v>1</v>
      </c>
      <c r="D159" s="3">
        <v>0</v>
      </c>
      <c r="E159" s="3">
        <v>2</v>
      </c>
      <c r="F159" s="3">
        <v>10</v>
      </c>
      <c r="G159" s="3" t="b">
        <v>0</v>
      </c>
      <c r="H159" s="3">
        <v>5</v>
      </c>
      <c r="I159" s="3">
        <v>2</v>
      </c>
      <c r="J159" s="3">
        <v>0.2</v>
      </c>
      <c r="K159" s="3">
        <v>0.21210000000000001</v>
      </c>
      <c r="L159" s="3">
        <v>0.51</v>
      </c>
      <c r="M159" s="3">
        <v>0.1343</v>
      </c>
      <c r="N159" s="3">
        <v>5</v>
      </c>
      <c r="O159" s="3">
        <v>46</v>
      </c>
      <c r="P159" s="3">
        <v>51</v>
      </c>
      <c r="Q159" t="str" cm="1">
        <f t="array" ref="Q159">_xlfn.IFS(F159&lt;=12,"morning",F159&lt;=18,"afternoon",F159&lt;=24,"night")</f>
        <v>morning</v>
      </c>
      <c r="R159" t="str">
        <f t="shared" si="6"/>
        <v>Friday</v>
      </c>
    </row>
    <row r="160" spans="1:18" x14ac:dyDescent="0.3">
      <c r="A160" s="3">
        <v>769</v>
      </c>
      <c r="B160" s="4">
        <v>40578</v>
      </c>
      <c r="C160" s="3">
        <v>1</v>
      </c>
      <c r="D160" s="3">
        <v>0</v>
      </c>
      <c r="E160" s="3">
        <v>2</v>
      </c>
      <c r="F160" s="3">
        <v>11</v>
      </c>
      <c r="G160" s="3" t="b">
        <v>0</v>
      </c>
      <c r="H160" s="3">
        <v>5</v>
      </c>
      <c r="I160" s="3">
        <v>1</v>
      </c>
      <c r="J160" s="3">
        <v>0.22</v>
      </c>
      <c r="K160" s="3">
        <v>0.2273</v>
      </c>
      <c r="L160" s="3">
        <v>0.51</v>
      </c>
      <c r="M160" s="3">
        <v>0.16420000000000001</v>
      </c>
      <c r="N160" s="3">
        <v>3</v>
      </c>
      <c r="O160" s="3">
        <v>61</v>
      </c>
      <c r="P160" s="3">
        <v>64</v>
      </c>
      <c r="Q160" t="str" cm="1">
        <f t="array" ref="Q160">_xlfn.IFS(F160&lt;=12,"morning",F160&lt;=18,"afternoon",F160&lt;=24,"night")</f>
        <v>morning</v>
      </c>
      <c r="R160" t="str">
        <f t="shared" si="6"/>
        <v>Friday</v>
      </c>
    </row>
    <row r="161" spans="1:18" x14ac:dyDescent="0.3">
      <c r="A161" s="3">
        <v>770</v>
      </c>
      <c r="B161" s="4">
        <v>40578</v>
      </c>
      <c r="C161" s="3">
        <v>1</v>
      </c>
      <c r="D161" s="3">
        <v>0</v>
      </c>
      <c r="E161" s="3">
        <v>2</v>
      </c>
      <c r="F161" s="3">
        <v>12</v>
      </c>
      <c r="G161" s="3" t="b">
        <v>0</v>
      </c>
      <c r="H161" s="3">
        <v>5</v>
      </c>
      <c r="I161" s="3">
        <v>2</v>
      </c>
      <c r="J161" s="3">
        <v>0.24</v>
      </c>
      <c r="K161" s="3">
        <v>0.2424</v>
      </c>
      <c r="L161" s="3">
        <v>0.48</v>
      </c>
      <c r="M161" s="3">
        <v>0.16420000000000001</v>
      </c>
      <c r="N161" s="3">
        <v>8</v>
      </c>
      <c r="O161" s="3">
        <v>78</v>
      </c>
      <c r="P161" s="3">
        <v>86</v>
      </c>
      <c r="Q161" t="str" cm="1">
        <f t="array" ref="Q161">_xlfn.IFS(F161&lt;=12,"morning",F161&lt;=18,"afternoon",F161&lt;=24,"night")</f>
        <v>morning</v>
      </c>
      <c r="R161" t="str">
        <f t="shared" si="6"/>
        <v>Friday</v>
      </c>
    </row>
    <row r="162" spans="1:18" x14ac:dyDescent="0.3">
      <c r="A162" s="3">
        <v>771</v>
      </c>
      <c r="B162" s="4">
        <v>40578</v>
      </c>
      <c r="C162" s="3">
        <v>1</v>
      </c>
      <c r="D162" s="3">
        <v>0</v>
      </c>
      <c r="E162" s="3">
        <v>2</v>
      </c>
      <c r="F162" s="3">
        <v>13</v>
      </c>
      <c r="G162" s="3" t="b">
        <v>0</v>
      </c>
      <c r="H162" s="3">
        <v>5</v>
      </c>
      <c r="I162" s="3">
        <v>2</v>
      </c>
      <c r="J162" s="3">
        <v>0.26</v>
      </c>
      <c r="K162" s="3">
        <v>0.2576</v>
      </c>
      <c r="L162" s="3">
        <v>0.5</v>
      </c>
      <c r="M162" s="3">
        <v>0.22389999999999999</v>
      </c>
      <c r="N162" s="3">
        <v>9</v>
      </c>
      <c r="O162" s="3">
        <v>73</v>
      </c>
      <c r="P162" s="3">
        <v>82</v>
      </c>
      <c r="Q162" t="str" cm="1">
        <f t="array" ref="Q162">_xlfn.IFS(F162&lt;=12,"morning",F162&lt;=18,"afternoon",F162&lt;=24,"night")</f>
        <v>afternoon</v>
      </c>
      <c r="R162" t="str">
        <f t="shared" si="6"/>
        <v>Friday</v>
      </c>
    </row>
    <row r="163" spans="1:18" x14ac:dyDescent="0.3">
      <c r="A163" s="3">
        <v>772</v>
      </c>
      <c r="B163" s="4">
        <v>40578</v>
      </c>
      <c r="C163" s="3">
        <v>1</v>
      </c>
      <c r="D163" s="3">
        <v>0</v>
      </c>
      <c r="E163" s="3">
        <v>2</v>
      </c>
      <c r="F163" s="3">
        <v>14</v>
      </c>
      <c r="G163" s="3" t="b">
        <v>0</v>
      </c>
      <c r="H163" s="3">
        <v>5</v>
      </c>
      <c r="I163" s="3">
        <v>2</v>
      </c>
      <c r="J163" s="3">
        <v>0.28000000000000003</v>
      </c>
      <c r="K163" s="3">
        <v>0.2727</v>
      </c>
      <c r="L163" s="3">
        <v>0.45</v>
      </c>
      <c r="M163" s="3">
        <v>0.16420000000000001</v>
      </c>
      <c r="N163" s="3">
        <v>15</v>
      </c>
      <c r="O163" s="3">
        <v>76</v>
      </c>
      <c r="P163" s="3">
        <v>91</v>
      </c>
      <c r="Q163" t="str" cm="1">
        <f t="array" ref="Q163">_xlfn.IFS(F163&lt;=12,"morning",F163&lt;=18,"afternoon",F163&lt;=24,"night")</f>
        <v>afternoon</v>
      </c>
      <c r="R163" t="str">
        <f t="shared" si="6"/>
        <v>Friday</v>
      </c>
    </row>
    <row r="164" spans="1:18" x14ac:dyDescent="0.3">
      <c r="A164" s="3">
        <v>773</v>
      </c>
      <c r="B164" s="4">
        <v>40578</v>
      </c>
      <c r="C164" s="3">
        <v>1</v>
      </c>
      <c r="D164" s="3">
        <v>0</v>
      </c>
      <c r="E164" s="3">
        <v>2</v>
      </c>
      <c r="F164" s="3">
        <v>15</v>
      </c>
      <c r="G164" s="3" t="b">
        <v>0</v>
      </c>
      <c r="H164" s="3">
        <v>5</v>
      </c>
      <c r="I164" s="3">
        <v>2</v>
      </c>
      <c r="J164" s="3">
        <v>0.28000000000000003</v>
      </c>
      <c r="K164" s="3">
        <v>0.2727</v>
      </c>
      <c r="L164" s="3">
        <v>0.48</v>
      </c>
      <c r="M164" s="3">
        <v>0.25369999999999998</v>
      </c>
      <c r="N164" s="3">
        <v>9</v>
      </c>
      <c r="O164" s="3">
        <v>81</v>
      </c>
      <c r="P164" s="3">
        <v>90</v>
      </c>
      <c r="Q164" t="str" cm="1">
        <f t="array" ref="Q164">_xlfn.IFS(F164&lt;=12,"morning",F164&lt;=18,"afternoon",F164&lt;=24,"night")</f>
        <v>afternoon</v>
      </c>
      <c r="R164" t="str">
        <f t="shared" si="6"/>
        <v>Friday</v>
      </c>
    </row>
    <row r="165" spans="1:18" x14ac:dyDescent="0.3">
      <c r="A165" s="3">
        <v>774</v>
      </c>
      <c r="B165" s="4">
        <v>40578</v>
      </c>
      <c r="C165" s="3">
        <v>1</v>
      </c>
      <c r="D165" s="3">
        <v>0</v>
      </c>
      <c r="E165" s="3">
        <v>2</v>
      </c>
      <c r="F165" s="3">
        <v>16</v>
      </c>
      <c r="G165" s="3" t="b">
        <v>0</v>
      </c>
      <c r="H165" s="3">
        <v>5</v>
      </c>
      <c r="I165" s="3">
        <v>2</v>
      </c>
      <c r="J165" s="3">
        <v>0.3</v>
      </c>
      <c r="K165" s="3">
        <v>0.28789999999999999</v>
      </c>
      <c r="L165" s="3">
        <v>0.42</v>
      </c>
      <c r="M165" s="3">
        <v>0.22389999999999999</v>
      </c>
      <c r="N165" s="3">
        <v>8</v>
      </c>
      <c r="O165" s="3">
        <v>91</v>
      </c>
      <c r="P165" s="3">
        <v>99</v>
      </c>
      <c r="Q165" t="str" cm="1">
        <f t="array" ref="Q165">_xlfn.IFS(F165&lt;=12,"morning",F165&lt;=18,"afternoon",F165&lt;=24,"night")</f>
        <v>afternoon</v>
      </c>
      <c r="R165" t="str">
        <f t="shared" si="6"/>
        <v>Friday</v>
      </c>
    </row>
    <row r="166" spans="1:18" x14ac:dyDescent="0.3">
      <c r="A166" s="3">
        <v>775</v>
      </c>
      <c r="B166" s="4">
        <v>40578</v>
      </c>
      <c r="C166" s="3">
        <v>1</v>
      </c>
      <c r="D166" s="3">
        <v>0</v>
      </c>
      <c r="E166" s="3">
        <v>2</v>
      </c>
      <c r="F166" s="3">
        <v>17</v>
      </c>
      <c r="G166" s="3" t="b">
        <v>0</v>
      </c>
      <c r="H166" s="3">
        <v>5</v>
      </c>
      <c r="I166" s="3">
        <v>2</v>
      </c>
      <c r="J166" s="3">
        <v>0.26</v>
      </c>
      <c r="K166" s="3">
        <v>0.2727</v>
      </c>
      <c r="L166" s="3">
        <v>0.56000000000000005</v>
      </c>
      <c r="M166" s="3">
        <v>0.1343</v>
      </c>
      <c r="N166" s="3">
        <v>10</v>
      </c>
      <c r="O166" s="3">
        <v>195</v>
      </c>
      <c r="P166" s="3">
        <v>205</v>
      </c>
      <c r="Q166" t="str" cm="1">
        <f t="array" ref="Q166">_xlfn.IFS(F166&lt;=12,"morning",F166&lt;=18,"afternoon",F166&lt;=24,"night")</f>
        <v>afternoon</v>
      </c>
      <c r="R166" t="str">
        <f t="shared" si="6"/>
        <v>Friday</v>
      </c>
    </row>
    <row r="167" spans="1:18" x14ac:dyDescent="0.3">
      <c r="A167" s="3">
        <v>776</v>
      </c>
      <c r="B167" s="4">
        <v>40578</v>
      </c>
      <c r="C167" s="3">
        <v>1</v>
      </c>
      <c r="D167" s="3">
        <v>0</v>
      </c>
      <c r="E167" s="3">
        <v>2</v>
      </c>
      <c r="F167" s="3">
        <v>18</v>
      </c>
      <c r="G167" s="3" t="b">
        <v>0</v>
      </c>
      <c r="H167" s="3">
        <v>5</v>
      </c>
      <c r="I167" s="3">
        <v>2</v>
      </c>
      <c r="J167" s="3">
        <v>0.24</v>
      </c>
      <c r="K167" s="3">
        <v>0.2576</v>
      </c>
      <c r="L167" s="3">
        <v>0.6</v>
      </c>
      <c r="M167" s="3">
        <v>0.1045</v>
      </c>
      <c r="N167" s="3">
        <v>3</v>
      </c>
      <c r="O167" s="3">
        <v>152</v>
      </c>
      <c r="P167" s="3">
        <v>155</v>
      </c>
      <c r="Q167" t="str" cm="1">
        <f t="array" ref="Q167">_xlfn.IFS(F167&lt;=12,"morning",F167&lt;=18,"afternoon",F167&lt;=24,"night")</f>
        <v>afternoon</v>
      </c>
      <c r="R167" t="str">
        <f t="shared" si="6"/>
        <v>Friday</v>
      </c>
    </row>
    <row r="168" spans="1:18" x14ac:dyDescent="0.3">
      <c r="A168" s="3">
        <v>777</v>
      </c>
      <c r="B168" s="4">
        <v>40578</v>
      </c>
      <c r="C168" s="3">
        <v>1</v>
      </c>
      <c r="D168" s="3">
        <v>0</v>
      </c>
      <c r="E168" s="3">
        <v>2</v>
      </c>
      <c r="F168" s="3">
        <v>19</v>
      </c>
      <c r="G168" s="3" t="b">
        <v>0</v>
      </c>
      <c r="H168" s="3">
        <v>5</v>
      </c>
      <c r="I168" s="3">
        <v>2</v>
      </c>
      <c r="J168" s="3">
        <v>0.24</v>
      </c>
      <c r="K168" s="3">
        <v>0.2424</v>
      </c>
      <c r="L168" s="3">
        <v>0.65</v>
      </c>
      <c r="M168" s="3">
        <v>0.1343</v>
      </c>
      <c r="N168" s="3">
        <v>1</v>
      </c>
      <c r="O168" s="3">
        <v>102</v>
      </c>
      <c r="P168" s="3">
        <v>103</v>
      </c>
      <c r="Q168" t="str" cm="1">
        <f t="array" ref="Q168">_xlfn.IFS(F168&lt;=12,"morning",F168&lt;=18,"afternoon",F168&lt;=24,"night")</f>
        <v>night</v>
      </c>
      <c r="R168" t="str">
        <f t="shared" si="6"/>
        <v>Friday</v>
      </c>
    </row>
    <row r="169" spans="1:18" x14ac:dyDescent="0.3">
      <c r="A169" s="3">
        <v>778</v>
      </c>
      <c r="B169" s="4">
        <v>40578</v>
      </c>
      <c r="C169" s="3">
        <v>1</v>
      </c>
      <c r="D169" s="3">
        <v>0</v>
      </c>
      <c r="E169" s="3">
        <v>2</v>
      </c>
      <c r="F169" s="3">
        <v>20</v>
      </c>
      <c r="G169" s="3" t="b">
        <v>0</v>
      </c>
      <c r="H169" s="3">
        <v>5</v>
      </c>
      <c r="I169" s="3">
        <v>2</v>
      </c>
      <c r="J169" s="3">
        <v>0.24</v>
      </c>
      <c r="K169" s="3">
        <v>0.2424</v>
      </c>
      <c r="L169" s="3">
        <v>0.65</v>
      </c>
      <c r="M169" s="3">
        <v>0.16420000000000001</v>
      </c>
      <c r="N169" s="3">
        <v>2</v>
      </c>
      <c r="O169" s="3">
        <v>69</v>
      </c>
      <c r="P169" s="3">
        <v>71</v>
      </c>
      <c r="Q169" t="str" cm="1">
        <f t="array" ref="Q169">_xlfn.IFS(F169&lt;=12,"morning",F169&lt;=18,"afternoon",F169&lt;=24,"night")</f>
        <v>night</v>
      </c>
      <c r="R169" t="str">
        <f t="shared" si="6"/>
        <v>Friday</v>
      </c>
    </row>
    <row r="170" spans="1:18" x14ac:dyDescent="0.3">
      <c r="A170" s="3">
        <v>779</v>
      </c>
      <c r="B170" s="4">
        <v>40578</v>
      </c>
      <c r="C170" s="3">
        <v>1</v>
      </c>
      <c r="D170" s="3">
        <v>0</v>
      </c>
      <c r="E170" s="3">
        <v>2</v>
      </c>
      <c r="F170" s="3">
        <v>21</v>
      </c>
      <c r="G170" s="3" t="b">
        <v>0</v>
      </c>
      <c r="H170" s="3">
        <v>5</v>
      </c>
      <c r="I170" s="3">
        <v>2</v>
      </c>
      <c r="J170" s="3">
        <v>0.24</v>
      </c>
      <c r="K170" s="3">
        <v>0.2424</v>
      </c>
      <c r="L170" s="3">
        <v>0.7</v>
      </c>
      <c r="M170" s="3">
        <v>0.16420000000000001</v>
      </c>
      <c r="N170" s="3">
        <v>2</v>
      </c>
      <c r="O170" s="3">
        <v>41</v>
      </c>
      <c r="P170" s="3">
        <v>43</v>
      </c>
      <c r="Q170" t="str" cm="1">
        <f t="array" ref="Q170">_xlfn.IFS(F170&lt;=12,"morning",F170&lt;=18,"afternoon",F170&lt;=24,"night")</f>
        <v>night</v>
      </c>
      <c r="R170" t="str">
        <f t="shared" si="6"/>
        <v>Friday</v>
      </c>
    </row>
    <row r="171" spans="1:18" x14ac:dyDescent="0.3">
      <c r="A171" s="3">
        <v>780</v>
      </c>
      <c r="B171" s="4">
        <v>40578</v>
      </c>
      <c r="C171" s="3">
        <v>1</v>
      </c>
      <c r="D171" s="3">
        <v>0</v>
      </c>
      <c r="E171" s="3">
        <v>2</v>
      </c>
      <c r="F171" s="3">
        <v>22</v>
      </c>
      <c r="G171" s="3" t="b">
        <v>0</v>
      </c>
      <c r="H171" s="3">
        <v>5</v>
      </c>
      <c r="I171" s="3">
        <v>2</v>
      </c>
      <c r="J171" s="3">
        <v>0.24</v>
      </c>
      <c r="K171" s="3">
        <v>0.2424</v>
      </c>
      <c r="L171" s="3">
        <v>0.65</v>
      </c>
      <c r="M171" s="3">
        <v>0.16420000000000001</v>
      </c>
      <c r="N171" s="3">
        <v>1</v>
      </c>
      <c r="O171" s="3">
        <v>45</v>
      </c>
      <c r="P171" s="3">
        <v>46</v>
      </c>
      <c r="Q171" t="str" cm="1">
        <f t="array" ref="Q171">_xlfn.IFS(F171&lt;=12,"morning",F171&lt;=18,"afternoon",F171&lt;=24,"night")</f>
        <v>night</v>
      </c>
      <c r="R171" t="str">
        <f t="shared" si="6"/>
        <v>Friday</v>
      </c>
    </row>
    <row r="172" spans="1:18" x14ac:dyDescent="0.3">
      <c r="A172" s="3">
        <v>781</v>
      </c>
      <c r="B172" s="4">
        <v>40578</v>
      </c>
      <c r="C172" s="3">
        <v>1</v>
      </c>
      <c r="D172" s="3">
        <v>0</v>
      </c>
      <c r="E172" s="3">
        <v>2</v>
      </c>
      <c r="F172" s="3">
        <v>23</v>
      </c>
      <c r="G172" s="3" t="b">
        <v>0</v>
      </c>
      <c r="H172" s="3">
        <v>5</v>
      </c>
      <c r="I172" s="3">
        <v>2</v>
      </c>
      <c r="J172" s="3">
        <v>0.24</v>
      </c>
      <c r="K172" s="3">
        <v>0.2424</v>
      </c>
      <c r="L172" s="3">
        <v>0.7</v>
      </c>
      <c r="M172" s="3">
        <v>0.1343</v>
      </c>
      <c r="N172" s="3">
        <v>1</v>
      </c>
      <c r="O172" s="3">
        <v>30</v>
      </c>
      <c r="P172" s="3">
        <v>31</v>
      </c>
      <c r="Q172" t="str" cm="1">
        <f t="array" ref="Q172">_xlfn.IFS(F172&lt;=12,"morning",F172&lt;=18,"afternoon",F172&lt;=24,"night")</f>
        <v>night</v>
      </c>
      <c r="R172" t="str">
        <f t="shared" si="6"/>
        <v>Friday</v>
      </c>
    </row>
    <row r="173" spans="1:18" x14ac:dyDescent="0.3">
      <c r="A173" s="3">
        <v>782</v>
      </c>
      <c r="B173" s="4">
        <v>40579</v>
      </c>
      <c r="C173" s="3">
        <v>1</v>
      </c>
      <c r="D173" s="3">
        <v>0</v>
      </c>
      <c r="E173" s="3">
        <v>2</v>
      </c>
      <c r="F173" s="3">
        <v>0</v>
      </c>
      <c r="G173" s="3" t="b">
        <v>0</v>
      </c>
      <c r="H173" s="3">
        <v>6</v>
      </c>
      <c r="I173" s="3">
        <v>2</v>
      </c>
      <c r="J173" s="3">
        <v>0.24</v>
      </c>
      <c r="K173" s="3">
        <v>0.2424</v>
      </c>
      <c r="L173" s="3">
        <v>0.7</v>
      </c>
      <c r="M173" s="3">
        <v>0.16420000000000001</v>
      </c>
      <c r="N173" s="3">
        <v>3</v>
      </c>
      <c r="O173" s="3">
        <v>36</v>
      </c>
      <c r="P173" s="3">
        <v>39</v>
      </c>
      <c r="Q173" t="str" cm="1">
        <f t="array" ref="Q173">_xlfn.IFS(F173&lt;=12,"morning",F173&lt;=18,"afternoon",F173&lt;=24,"night")</f>
        <v>morning</v>
      </c>
      <c r="R173" t="str">
        <f t="shared" si="6"/>
        <v>Saturday</v>
      </c>
    </row>
    <row r="174" spans="1:18" x14ac:dyDescent="0.3">
      <c r="A174" s="3">
        <v>783</v>
      </c>
      <c r="B174" s="4">
        <v>40579</v>
      </c>
      <c r="C174" s="3">
        <v>1</v>
      </c>
      <c r="D174" s="3">
        <v>0</v>
      </c>
      <c r="E174" s="3">
        <v>2</v>
      </c>
      <c r="F174" s="3">
        <v>1</v>
      </c>
      <c r="G174" s="3" t="b">
        <v>0</v>
      </c>
      <c r="H174" s="3">
        <v>6</v>
      </c>
      <c r="I174" s="3">
        <v>2</v>
      </c>
      <c r="J174" s="3">
        <v>0.24</v>
      </c>
      <c r="K174" s="3">
        <v>0.2424</v>
      </c>
      <c r="L174" s="3">
        <v>0.65</v>
      </c>
      <c r="M174" s="3">
        <v>0.16420000000000001</v>
      </c>
      <c r="N174" s="3">
        <v>1</v>
      </c>
      <c r="O174" s="3">
        <v>17</v>
      </c>
      <c r="P174" s="3">
        <v>18</v>
      </c>
      <c r="Q174" t="str" cm="1">
        <f t="array" ref="Q174">_xlfn.IFS(F174&lt;=12,"morning",F174&lt;=18,"afternoon",F174&lt;=24,"night")</f>
        <v>morning</v>
      </c>
      <c r="R174" t="str">
        <f t="shared" si="6"/>
        <v>Saturday</v>
      </c>
    </row>
    <row r="175" spans="1:18" x14ac:dyDescent="0.3">
      <c r="A175" s="3">
        <v>784</v>
      </c>
      <c r="B175" s="4">
        <v>40579</v>
      </c>
      <c r="C175" s="3">
        <v>1</v>
      </c>
      <c r="D175" s="3">
        <v>0</v>
      </c>
      <c r="E175" s="3">
        <v>2</v>
      </c>
      <c r="F175" s="3">
        <v>2</v>
      </c>
      <c r="G175" s="3" t="b">
        <v>0</v>
      </c>
      <c r="H175" s="3">
        <v>6</v>
      </c>
      <c r="I175" s="3">
        <v>2</v>
      </c>
      <c r="J175" s="3">
        <v>0.24</v>
      </c>
      <c r="K175" s="3">
        <v>0.2424</v>
      </c>
      <c r="L175" s="3">
        <v>0.75</v>
      </c>
      <c r="M175" s="3">
        <v>0.16420000000000001</v>
      </c>
      <c r="N175" s="3">
        <v>5</v>
      </c>
      <c r="O175" s="3">
        <v>12</v>
      </c>
      <c r="P175" s="3">
        <v>17</v>
      </c>
      <c r="Q175" t="str" cm="1">
        <f t="array" ref="Q175">_xlfn.IFS(F175&lt;=12,"morning",F175&lt;=18,"afternoon",F175&lt;=24,"night")</f>
        <v>morning</v>
      </c>
      <c r="R175" t="str">
        <f t="shared" si="6"/>
        <v>Saturday</v>
      </c>
    </row>
    <row r="176" spans="1:18" x14ac:dyDescent="0.3">
      <c r="A176" s="3">
        <v>785</v>
      </c>
      <c r="B176" s="4">
        <v>40579</v>
      </c>
      <c r="C176" s="3">
        <v>1</v>
      </c>
      <c r="D176" s="3">
        <v>0</v>
      </c>
      <c r="E176" s="3">
        <v>2</v>
      </c>
      <c r="F176" s="3">
        <v>3</v>
      </c>
      <c r="G176" s="3" t="b">
        <v>0</v>
      </c>
      <c r="H176" s="3">
        <v>6</v>
      </c>
      <c r="I176" s="3">
        <v>2</v>
      </c>
      <c r="J176" s="3">
        <v>0.24</v>
      </c>
      <c r="K176" s="3">
        <v>0.2424</v>
      </c>
      <c r="L176" s="3">
        <v>0.75</v>
      </c>
      <c r="M176" s="3">
        <v>0.16420000000000001</v>
      </c>
      <c r="N176" s="3">
        <v>1</v>
      </c>
      <c r="O176" s="3">
        <v>10</v>
      </c>
      <c r="P176" s="3">
        <v>11</v>
      </c>
      <c r="Q176" t="str" cm="1">
        <f t="array" ref="Q176">_xlfn.IFS(F176&lt;=12,"morning",F176&lt;=18,"afternoon",F176&lt;=24,"night")</f>
        <v>morning</v>
      </c>
      <c r="R176" t="str">
        <f t="shared" si="6"/>
        <v>Saturday</v>
      </c>
    </row>
    <row r="177" spans="1:18" x14ac:dyDescent="0.3">
      <c r="A177" s="3">
        <v>786</v>
      </c>
      <c r="B177" s="4">
        <v>40579</v>
      </c>
      <c r="C177" s="3">
        <v>1</v>
      </c>
      <c r="D177" s="3">
        <v>0</v>
      </c>
      <c r="E177" s="3">
        <v>2</v>
      </c>
      <c r="F177" s="3">
        <v>4</v>
      </c>
      <c r="G177" s="3" t="b">
        <v>0</v>
      </c>
      <c r="H177" s="3">
        <v>6</v>
      </c>
      <c r="I177" s="3">
        <v>3</v>
      </c>
      <c r="J177" s="3">
        <v>0.22</v>
      </c>
      <c r="K177" s="3">
        <v>0.2273</v>
      </c>
      <c r="L177" s="3">
        <v>0.93</v>
      </c>
      <c r="M177" s="3">
        <v>0.1343</v>
      </c>
      <c r="N177" s="3">
        <v>0</v>
      </c>
      <c r="O177" s="3">
        <v>8</v>
      </c>
      <c r="P177" s="3">
        <v>8</v>
      </c>
      <c r="Q177" t="str" cm="1">
        <f t="array" ref="Q177">_xlfn.IFS(F177&lt;=12,"morning",F177&lt;=18,"afternoon",F177&lt;=24,"night")</f>
        <v>morning</v>
      </c>
      <c r="R177" t="str">
        <f t="shared" si="6"/>
        <v>Saturday</v>
      </c>
    </row>
    <row r="178" spans="1:18" x14ac:dyDescent="0.3">
      <c r="A178" s="3">
        <v>787</v>
      </c>
      <c r="B178" s="4">
        <v>40579</v>
      </c>
      <c r="C178" s="3">
        <v>1</v>
      </c>
      <c r="D178" s="3">
        <v>0</v>
      </c>
      <c r="E178" s="3">
        <v>2</v>
      </c>
      <c r="F178" s="3">
        <v>5</v>
      </c>
      <c r="G178" s="3" t="b">
        <v>0</v>
      </c>
      <c r="H178" s="3">
        <v>6</v>
      </c>
      <c r="I178" s="3">
        <v>3</v>
      </c>
      <c r="J178" s="3">
        <v>0.2</v>
      </c>
      <c r="K178" s="3">
        <v>0.2273</v>
      </c>
      <c r="L178" s="3">
        <v>1</v>
      </c>
      <c r="M178" s="3">
        <v>8.9599999999999999E-2</v>
      </c>
      <c r="N178" s="3">
        <v>0</v>
      </c>
      <c r="O178" s="3">
        <v>9</v>
      </c>
      <c r="P178" s="3">
        <v>9</v>
      </c>
      <c r="Q178" t="str" cm="1">
        <f t="array" ref="Q178">_xlfn.IFS(F178&lt;=12,"morning",F178&lt;=18,"afternoon",F178&lt;=24,"night")</f>
        <v>morning</v>
      </c>
      <c r="R178" t="str">
        <f t="shared" si="6"/>
        <v>Saturday</v>
      </c>
    </row>
    <row r="179" spans="1:18" x14ac:dyDescent="0.3">
      <c r="A179" s="3">
        <v>788</v>
      </c>
      <c r="B179" s="4">
        <v>40579</v>
      </c>
      <c r="C179" s="3">
        <v>1</v>
      </c>
      <c r="D179" s="3">
        <v>0</v>
      </c>
      <c r="E179" s="3">
        <v>2</v>
      </c>
      <c r="F179" s="3">
        <v>6</v>
      </c>
      <c r="G179" s="3" t="b">
        <v>0</v>
      </c>
      <c r="H179" s="3">
        <v>6</v>
      </c>
      <c r="I179" s="3">
        <v>3</v>
      </c>
      <c r="J179" s="3">
        <v>0.2</v>
      </c>
      <c r="K179" s="3">
        <v>0.2576</v>
      </c>
      <c r="L179" s="3">
        <v>1</v>
      </c>
      <c r="M179" s="3">
        <v>0</v>
      </c>
      <c r="N179" s="3">
        <v>0</v>
      </c>
      <c r="O179" s="3">
        <v>4</v>
      </c>
      <c r="P179" s="3">
        <v>4</v>
      </c>
      <c r="Q179" t="str" cm="1">
        <f t="array" ref="Q179">_xlfn.IFS(F179&lt;=12,"morning",F179&lt;=18,"afternoon",F179&lt;=24,"night")</f>
        <v>morning</v>
      </c>
      <c r="R179" t="str">
        <f t="shared" si="6"/>
        <v>Saturday</v>
      </c>
    </row>
    <row r="180" spans="1:18" x14ac:dyDescent="0.3">
      <c r="A180" s="3">
        <v>789</v>
      </c>
      <c r="B180" s="4">
        <v>40579</v>
      </c>
      <c r="C180" s="3">
        <v>1</v>
      </c>
      <c r="D180" s="3">
        <v>0</v>
      </c>
      <c r="E180" s="3">
        <v>2</v>
      </c>
      <c r="F180" s="3">
        <v>7</v>
      </c>
      <c r="G180" s="3" t="b">
        <v>0</v>
      </c>
      <c r="H180" s="3">
        <v>6</v>
      </c>
      <c r="I180" s="3">
        <v>3</v>
      </c>
      <c r="J180" s="3">
        <v>0.22</v>
      </c>
      <c r="K180" s="3">
        <v>0.2576</v>
      </c>
      <c r="L180" s="3">
        <v>0.93</v>
      </c>
      <c r="M180" s="3">
        <v>8.9599999999999999E-2</v>
      </c>
      <c r="N180" s="3">
        <v>0</v>
      </c>
      <c r="O180" s="3">
        <v>4</v>
      </c>
      <c r="P180" s="3">
        <v>4</v>
      </c>
      <c r="Q180" t="str" cm="1">
        <f t="array" ref="Q180">_xlfn.IFS(F180&lt;=12,"morning",F180&lt;=18,"afternoon",F180&lt;=24,"night")</f>
        <v>morning</v>
      </c>
      <c r="R180" t="str">
        <f t="shared" si="6"/>
        <v>Saturday</v>
      </c>
    </row>
    <row r="181" spans="1:18" x14ac:dyDescent="0.3">
      <c r="A181" s="3">
        <v>790</v>
      </c>
      <c r="B181" s="4">
        <v>40579</v>
      </c>
      <c r="C181" s="3">
        <v>1</v>
      </c>
      <c r="D181" s="3">
        <v>0</v>
      </c>
      <c r="E181" s="3">
        <v>2</v>
      </c>
      <c r="F181" s="3">
        <v>8</v>
      </c>
      <c r="G181" s="3" t="b">
        <v>0</v>
      </c>
      <c r="H181" s="3">
        <v>6</v>
      </c>
      <c r="I181" s="3">
        <v>3</v>
      </c>
      <c r="J181" s="3">
        <v>0.2</v>
      </c>
      <c r="K181" s="3">
        <v>0.2273</v>
      </c>
      <c r="L181" s="3">
        <v>1</v>
      </c>
      <c r="M181" s="3">
        <v>8.9599999999999999E-2</v>
      </c>
      <c r="N181" s="3">
        <v>0</v>
      </c>
      <c r="O181" s="3">
        <v>10</v>
      </c>
      <c r="P181" s="3">
        <v>10</v>
      </c>
      <c r="Q181" t="str" cm="1">
        <f t="array" ref="Q181">_xlfn.IFS(F181&lt;=12,"morning",F181&lt;=18,"afternoon",F181&lt;=24,"night")</f>
        <v>morning</v>
      </c>
      <c r="R181" t="str">
        <f t="shared" si="6"/>
        <v>Saturday</v>
      </c>
    </row>
    <row r="182" spans="1:18" x14ac:dyDescent="0.3">
      <c r="A182" s="3">
        <v>791</v>
      </c>
      <c r="B182" s="4">
        <v>40579</v>
      </c>
      <c r="C182" s="3">
        <v>1</v>
      </c>
      <c r="D182" s="3">
        <v>0</v>
      </c>
      <c r="E182" s="3">
        <v>2</v>
      </c>
      <c r="F182" s="3">
        <v>9</v>
      </c>
      <c r="G182" s="3" t="b">
        <v>0</v>
      </c>
      <c r="H182" s="3">
        <v>6</v>
      </c>
      <c r="I182" s="3">
        <v>3</v>
      </c>
      <c r="J182" s="3">
        <v>0.2</v>
      </c>
      <c r="K182" s="3">
        <v>0.2273</v>
      </c>
      <c r="L182" s="3">
        <v>1</v>
      </c>
      <c r="M182" s="3">
        <v>8.9599999999999999E-2</v>
      </c>
      <c r="N182" s="3">
        <v>3</v>
      </c>
      <c r="O182" s="3">
        <v>17</v>
      </c>
      <c r="P182" s="3">
        <v>20</v>
      </c>
      <c r="Q182" t="str" cm="1">
        <f t="array" ref="Q182">_xlfn.IFS(F182&lt;=12,"morning",F182&lt;=18,"afternoon",F182&lt;=24,"night")</f>
        <v>morning</v>
      </c>
      <c r="R182" t="str">
        <f t="shared" si="6"/>
        <v>Saturday</v>
      </c>
    </row>
    <row r="183" spans="1:18" x14ac:dyDescent="0.3">
      <c r="A183" s="3">
        <v>792</v>
      </c>
      <c r="B183" s="4">
        <v>40579</v>
      </c>
      <c r="C183" s="3">
        <v>1</v>
      </c>
      <c r="D183" s="3">
        <v>0</v>
      </c>
      <c r="E183" s="3">
        <v>2</v>
      </c>
      <c r="F183" s="3">
        <v>10</v>
      </c>
      <c r="G183" s="3" t="b">
        <v>0</v>
      </c>
      <c r="H183" s="3">
        <v>6</v>
      </c>
      <c r="I183" s="3">
        <v>3</v>
      </c>
      <c r="J183" s="3">
        <v>0.2</v>
      </c>
      <c r="K183" s="3">
        <v>0.21210000000000001</v>
      </c>
      <c r="L183" s="3">
        <v>1</v>
      </c>
      <c r="M183" s="3">
        <v>0.1343</v>
      </c>
      <c r="N183" s="3">
        <v>3</v>
      </c>
      <c r="O183" s="3">
        <v>31</v>
      </c>
      <c r="P183" s="3">
        <v>34</v>
      </c>
      <c r="Q183" t="str" cm="1">
        <f t="array" ref="Q183">_xlfn.IFS(F183&lt;=12,"morning",F183&lt;=18,"afternoon",F183&lt;=24,"night")</f>
        <v>morning</v>
      </c>
      <c r="R183" t="str">
        <f t="shared" si="6"/>
        <v>Saturday</v>
      </c>
    </row>
    <row r="184" spans="1:18" x14ac:dyDescent="0.3">
      <c r="A184" s="3">
        <v>793</v>
      </c>
      <c r="B184" s="4">
        <v>40579</v>
      </c>
      <c r="C184" s="3">
        <v>1</v>
      </c>
      <c r="D184" s="3">
        <v>0</v>
      </c>
      <c r="E184" s="3">
        <v>2</v>
      </c>
      <c r="F184" s="3">
        <v>11</v>
      </c>
      <c r="G184" s="3" t="b">
        <v>0</v>
      </c>
      <c r="H184" s="3">
        <v>6</v>
      </c>
      <c r="I184" s="3">
        <v>3</v>
      </c>
      <c r="J184" s="3">
        <v>0.22</v>
      </c>
      <c r="K184" s="3">
        <v>0.2273</v>
      </c>
      <c r="L184" s="3">
        <v>1</v>
      </c>
      <c r="M184" s="3">
        <v>0.1343</v>
      </c>
      <c r="N184" s="3">
        <v>1</v>
      </c>
      <c r="O184" s="3">
        <v>46</v>
      </c>
      <c r="P184" s="3">
        <v>47</v>
      </c>
      <c r="Q184" t="str" cm="1">
        <f t="array" ref="Q184">_xlfn.IFS(F184&lt;=12,"morning",F184&lt;=18,"afternoon",F184&lt;=24,"night")</f>
        <v>morning</v>
      </c>
      <c r="R184" t="str">
        <f t="shared" si="6"/>
        <v>Saturday</v>
      </c>
    </row>
    <row r="185" spans="1:18" x14ac:dyDescent="0.3">
      <c r="A185" s="3">
        <v>794</v>
      </c>
      <c r="B185" s="4">
        <v>40579</v>
      </c>
      <c r="C185" s="3">
        <v>1</v>
      </c>
      <c r="D185" s="3">
        <v>0</v>
      </c>
      <c r="E185" s="3">
        <v>2</v>
      </c>
      <c r="F185" s="3">
        <v>12</v>
      </c>
      <c r="G185" s="3" t="b">
        <v>0</v>
      </c>
      <c r="H185" s="3">
        <v>6</v>
      </c>
      <c r="I185" s="3">
        <v>3</v>
      </c>
      <c r="J185" s="3">
        <v>0.22</v>
      </c>
      <c r="K185" s="3">
        <v>0.2273</v>
      </c>
      <c r="L185" s="3">
        <v>1</v>
      </c>
      <c r="M185" s="3">
        <v>0.16420000000000001</v>
      </c>
      <c r="N185" s="3">
        <v>10</v>
      </c>
      <c r="O185" s="3">
        <v>42</v>
      </c>
      <c r="P185" s="3">
        <v>52</v>
      </c>
      <c r="Q185" t="str" cm="1">
        <f t="array" ref="Q185">_xlfn.IFS(F185&lt;=12,"morning",F185&lt;=18,"afternoon",F185&lt;=24,"night")</f>
        <v>morning</v>
      </c>
      <c r="R185" t="str">
        <f t="shared" si="6"/>
        <v>Saturday</v>
      </c>
    </row>
    <row r="186" spans="1:18" x14ac:dyDescent="0.3">
      <c r="A186" s="3">
        <v>795</v>
      </c>
      <c r="B186" s="4">
        <v>40579</v>
      </c>
      <c r="C186" s="3">
        <v>1</v>
      </c>
      <c r="D186" s="3">
        <v>0</v>
      </c>
      <c r="E186" s="3">
        <v>2</v>
      </c>
      <c r="F186" s="3">
        <v>13</v>
      </c>
      <c r="G186" s="3" t="b">
        <v>0</v>
      </c>
      <c r="H186" s="3">
        <v>6</v>
      </c>
      <c r="I186" s="3">
        <v>3</v>
      </c>
      <c r="J186" s="3">
        <v>0.22</v>
      </c>
      <c r="K186" s="3">
        <v>0.2273</v>
      </c>
      <c r="L186" s="3">
        <v>1</v>
      </c>
      <c r="M186" s="3">
        <v>0.16420000000000001</v>
      </c>
      <c r="N186" s="3">
        <v>10</v>
      </c>
      <c r="O186" s="3">
        <v>62</v>
      </c>
      <c r="P186" s="3">
        <v>72</v>
      </c>
      <c r="Q186" t="str" cm="1">
        <f t="array" ref="Q186">_xlfn.IFS(F186&lt;=12,"morning",F186&lt;=18,"afternoon",F186&lt;=24,"night")</f>
        <v>afternoon</v>
      </c>
      <c r="R186" t="str">
        <f t="shared" si="6"/>
        <v>Saturday</v>
      </c>
    </row>
    <row r="187" spans="1:18" x14ac:dyDescent="0.3">
      <c r="A187" s="3">
        <v>796</v>
      </c>
      <c r="B187" s="4">
        <v>40579</v>
      </c>
      <c r="C187" s="3">
        <v>1</v>
      </c>
      <c r="D187" s="3">
        <v>0</v>
      </c>
      <c r="E187" s="3">
        <v>2</v>
      </c>
      <c r="F187" s="3">
        <v>14</v>
      </c>
      <c r="G187" s="3" t="b">
        <v>0</v>
      </c>
      <c r="H187" s="3">
        <v>6</v>
      </c>
      <c r="I187" s="3">
        <v>3</v>
      </c>
      <c r="J187" s="3">
        <v>0.22</v>
      </c>
      <c r="K187" s="3">
        <v>0.2727</v>
      </c>
      <c r="L187" s="3">
        <v>1</v>
      </c>
      <c r="M187" s="3">
        <v>0</v>
      </c>
      <c r="N187" s="3">
        <v>5</v>
      </c>
      <c r="O187" s="3">
        <v>50</v>
      </c>
      <c r="P187" s="3">
        <v>55</v>
      </c>
      <c r="Q187" t="str" cm="1">
        <f t="array" ref="Q187">_xlfn.IFS(F187&lt;=12,"morning",F187&lt;=18,"afternoon",F187&lt;=24,"night")</f>
        <v>afternoon</v>
      </c>
      <c r="R187" t="str">
        <f t="shared" si="6"/>
        <v>Saturday</v>
      </c>
    </row>
    <row r="188" spans="1:18" x14ac:dyDescent="0.3">
      <c r="A188" s="3">
        <v>797</v>
      </c>
      <c r="B188" s="4">
        <v>40579</v>
      </c>
      <c r="C188" s="3">
        <v>1</v>
      </c>
      <c r="D188" s="3">
        <v>0</v>
      </c>
      <c r="E188" s="3">
        <v>2</v>
      </c>
      <c r="F188" s="3">
        <v>15</v>
      </c>
      <c r="G188" s="3" t="b">
        <v>0</v>
      </c>
      <c r="H188" s="3">
        <v>6</v>
      </c>
      <c r="I188" s="3">
        <v>3</v>
      </c>
      <c r="J188" s="3">
        <v>0.22</v>
      </c>
      <c r="K188" s="3">
        <v>0.2727</v>
      </c>
      <c r="L188" s="3">
        <v>1</v>
      </c>
      <c r="M188" s="3">
        <v>0</v>
      </c>
      <c r="N188" s="3">
        <v>11</v>
      </c>
      <c r="O188" s="3">
        <v>49</v>
      </c>
      <c r="P188" s="3">
        <v>60</v>
      </c>
      <c r="Q188" t="str" cm="1">
        <f t="array" ref="Q188">_xlfn.IFS(F188&lt;=12,"morning",F188&lt;=18,"afternoon",F188&lt;=24,"night")</f>
        <v>afternoon</v>
      </c>
      <c r="R188" t="str">
        <f t="shared" si="6"/>
        <v>Saturday</v>
      </c>
    </row>
    <row r="189" spans="1:18" x14ac:dyDescent="0.3">
      <c r="A189" s="3">
        <v>798</v>
      </c>
      <c r="B189" s="4">
        <v>40579</v>
      </c>
      <c r="C189" s="3">
        <v>1</v>
      </c>
      <c r="D189" s="3">
        <v>0</v>
      </c>
      <c r="E189" s="3">
        <v>2</v>
      </c>
      <c r="F189" s="3">
        <v>16</v>
      </c>
      <c r="G189" s="3" t="b">
        <v>0</v>
      </c>
      <c r="H189" s="3">
        <v>6</v>
      </c>
      <c r="I189" s="3">
        <v>3</v>
      </c>
      <c r="J189" s="3">
        <v>0.22</v>
      </c>
      <c r="K189" s="3">
        <v>0.2273</v>
      </c>
      <c r="L189" s="3">
        <v>1</v>
      </c>
      <c r="M189" s="3">
        <v>0.1343</v>
      </c>
      <c r="N189" s="3">
        <v>8</v>
      </c>
      <c r="O189" s="3">
        <v>63</v>
      </c>
      <c r="P189" s="3">
        <v>71</v>
      </c>
      <c r="Q189" t="str" cm="1">
        <f t="array" ref="Q189">_xlfn.IFS(F189&lt;=12,"morning",F189&lt;=18,"afternoon",F189&lt;=24,"night")</f>
        <v>afternoon</v>
      </c>
      <c r="R189" t="str">
        <f t="shared" si="6"/>
        <v>Saturday</v>
      </c>
    </row>
    <row r="190" spans="1:18" x14ac:dyDescent="0.3">
      <c r="A190" s="3">
        <v>799</v>
      </c>
      <c r="B190" s="4">
        <v>40579</v>
      </c>
      <c r="C190" s="3">
        <v>1</v>
      </c>
      <c r="D190" s="3">
        <v>0</v>
      </c>
      <c r="E190" s="3">
        <v>2</v>
      </c>
      <c r="F190" s="3">
        <v>17</v>
      </c>
      <c r="G190" s="3" t="b">
        <v>0</v>
      </c>
      <c r="H190" s="3">
        <v>6</v>
      </c>
      <c r="I190" s="3">
        <v>2</v>
      </c>
      <c r="J190" s="3">
        <v>0.24</v>
      </c>
      <c r="K190" s="3">
        <v>0.21210000000000001</v>
      </c>
      <c r="L190" s="3">
        <v>1</v>
      </c>
      <c r="M190" s="3">
        <v>0.28360000000000002</v>
      </c>
      <c r="N190" s="3">
        <v>14</v>
      </c>
      <c r="O190" s="3">
        <v>64</v>
      </c>
      <c r="P190" s="3">
        <v>78</v>
      </c>
      <c r="Q190" t="str" cm="1">
        <f t="array" ref="Q190">_xlfn.IFS(F190&lt;=12,"morning",F190&lt;=18,"afternoon",F190&lt;=24,"night")</f>
        <v>afternoon</v>
      </c>
      <c r="R190" t="str">
        <f t="shared" si="6"/>
        <v>Saturday</v>
      </c>
    </row>
    <row r="191" spans="1:18" x14ac:dyDescent="0.3">
      <c r="A191" s="3">
        <v>800</v>
      </c>
      <c r="B191" s="4">
        <v>40579</v>
      </c>
      <c r="C191" s="3">
        <v>1</v>
      </c>
      <c r="D191" s="3">
        <v>0</v>
      </c>
      <c r="E191" s="3">
        <v>2</v>
      </c>
      <c r="F191" s="3">
        <v>18</v>
      </c>
      <c r="G191" s="3" t="b">
        <v>0</v>
      </c>
      <c r="H191" s="3">
        <v>6</v>
      </c>
      <c r="I191" s="3">
        <v>2</v>
      </c>
      <c r="J191" s="3">
        <v>0.28000000000000003</v>
      </c>
      <c r="K191" s="3">
        <v>0.2424</v>
      </c>
      <c r="L191" s="3">
        <v>0.93</v>
      </c>
      <c r="M191" s="3">
        <v>0.44779999999999998</v>
      </c>
      <c r="N191" s="3">
        <v>2</v>
      </c>
      <c r="O191" s="3">
        <v>81</v>
      </c>
      <c r="P191" s="3">
        <v>83</v>
      </c>
      <c r="Q191" t="str" cm="1">
        <f t="array" ref="Q191">_xlfn.IFS(F191&lt;=12,"morning",F191&lt;=18,"afternoon",F191&lt;=24,"night")</f>
        <v>afternoon</v>
      </c>
      <c r="R191" t="str">
        <f t="shared" si="6"/>
        <v>Saturday</v>
      </c>
    </row>
    <row r="192" spans="1:18" x14ac:dyDescent="0.3">
      <c r="A192" s="3">
        <v>801</v>
      </c>
      <c r="B192" s="4">
        <v>40579</v>
      </c>
      <c r="C192" s="3">
        <v>1</v>
      </c>
      <c r="D192" s="3">
        <v>0</v>
      </c>
      <c r="E192" s="3">
        <v>2</v>
      </c>
      <c r="F192" s="3">
        <v>19</v>
      </c>
      <c r="G192" s="3" t="b">
        <v>0</v>
      </c>
      <c r="H192" s="3">
        <v>6</v>
      </c>
      <c r="I192" s="3">
        <v>2</v>
      </c>
      <c r="J192" s="3">
        <v>0.28000000000000003</v>
      </c>
      <c r="K192" s="3">
        <v>0.2424</v>
      </c>
      <c r="L192" s="3">
        <v>0.93</v>
      </c>
      <c r="M192" s="3">
        <v>0.44779999999999998</v>
      </c>
      <c r="N192" s="3">
        <v>6</v>
      </c>
      <c r="O192" s="3">
        <v>78</v>
      </c>
      <c r="P192" s="3">
        <v>84</v>
      </c>
      <c r="Q192" t="str" cm="1">
        <f t="array" ref="Q192">_xlfn.IFS(F192&lt;=12,"morning",F192&lt;=18,"afternoon",F192&lt;=24,"night")</f>
        <v>night</v>
      </c>
      <c r="R192" t="str">
        <f t="shared" si="6"/>
        <v>Saturday</v>
      </c>
    </row>
    <row r="193" spans="1:18" x14ac:dyDescent="0.3">
      <c r="A193" s="3">
        <v>802</v>
      </c>
      <c r="B193" s="4">
        <v>40579</v>
      </c>
      <c r="C193" s="3">
        <v>1</v>
      </c>
      <c r="D193" s="3">
        <v>0</v>
      </c>
      <c r="E193" s="3">
        <v>2</v>
      </c>
      <c r="F193" s="3">
        <v>20</v>
      </c>
      <c r="G193" s="3" t="b">
        <v>0</v>
      </c>
      <c r="H193" s="3">
        <v>6</v>
      </c>
      <c r="I193" s="3">
        <v>1</v>
      </c>
      <c r="J193" s="3">
        <v>0.3</v>
      </c>
      <c r="K193" s="3">
        <v>0.28789999999999999</v>
      </c>
      <c r="L193" s="3">
        <v>0.87</v>
      </c>
      <c r="M193" s="3">
        <v>0.25369999999999998</v>
      </c>
      <c r="N193" s="3">
        <v>5</v>
      </c>
      <c r="O193" s="3">
        <v>64</v>
      </c>
      <c r="P193" s="3">
        <v>69</v>
      </c>
      <c r="Q193" t="str" cm="1">
        <f t="array" ref="Q193">_xlfn.IFS(F193&lt;=12,"morning",F193&lt;=18,"afternoon",F193&lt;=24,"night")</f>
        <v>night</v>
      </c>
      <c r="R193" t="str">
        <f t="shared" si="6"/>
        <v>Saturday</v>
      </c>
    </row>
    <row r="194" spans="1:18" x14ac:dyDescent="0.3">
      <c r="A194" s="3">
        <v>803</v>
      </c>
      <c r="B194" s="4">
        <v>40579</v>
      </c>
      <c r="C194" s="3">
        <v>1</v>
      </c>
      <c r="D194" s="3">
        <v>0</v>
      </c>
      <c r="E194" s="3">
        <v>2</v>
      </c>
      <c r="F194" s="3">
        <v>21</v>
      </c>
      <c r="G194" s="3" t="b">
        <v>0</v>
      </c>
      <c r="H194" s="3">
        <v>6</v>
      </c>
      <c r="I194" s="3">
        <v>1</v>
      </c>
      <c r="J194" s="3">
        <v>0.26</v>
      </c>
      <c r="K194" s="3">
        <v>0.2576</v>
      </c>
      <c r="L194" s="3">
        <v>1</v>
      </c>
      <c r="M194" s="3">
        <v>0.19400000000000001</v>
      </c>
      <c r="N194" s="3">
        <v>3</v>
      </c>
      <c r="O194" s="3">
        <v>53</v>
      </c>
      <c r="P194" s="3">
        <v>56</v>
      </c>
      <c r="Q194" t="str" cm="1">
        <f t="array" ref="Q194">_xlfn.IFS(F194&lt;=12,"morning",F194&lt;=18,"afternoon",F194&lt;=24,"night")</f>
        <v>night</v>
      </c>
      <c r="R194" t="str">
        <f t="shared" ref="R194:R257" si="7">TEXT(B194,"dddd")</f>
        <v>Saturday</v>
      </c>
    </row>
    <row r="195" spans="1:18" x14ac:dyDescent="0.3">
      <c r="A195" s="3">
        <v>804</v>
      </c>
      <c r="B195" s="4">
        <v>40579</v>
      </c>
      <c r="C195" s="3">
        <v>1</v>
      </c>
      <c r="D195" s="3">
        <v>0</v>
      </c>
      <c r="E195" s="3">
        <v>2</v>
      </c>
      <c r="F195" s="3">
        <v>22</v>
      </c>
      <c r="G195" s="3" t="b">
        <v>0</v>
      </c>
      <c r="H195" s="3">
        <v>6</v>
      </c>
      <c r="I195" s="3">
        <v>1</v>
      </c>
      <c r="J195" s="3">
        <v>0.26</v>
      </c>
      <c r="K195" s="3">
        <v>0.2727</v>
      </c>
      <c r="L195" s="3">
        <v>0.93</v>
      </c>
      <c r="M195" s="3">
        <v>0.1343</v>
      </c>
      <c r="N195" s="3">
        <v>2</v>
      </c>
      <c r="O195" s="3">
        <v>43</v>
      </c>
      <c r="P195" s="3">
        <v>45</v>
      </c>
      <c r="Q195" t="str" cm="1">
        <f t="array" ref="Q195">_xlfn.IFS(F195&lt;=12,"morning",F195&lt;=18,"afternoon",F195&lt;=24,"night")</f>
        <v>night</v>
      </c>
      <c r="R195" t="str">
        <f t="shared" si="7"/>
        <v>Saturday</v>
      </c>
    </row>
    <row r="196" spans="1:18" x14ac:dyDescent="0.3">
      <c r="A196" s="3">
        <v>805</v>
      </c>
      <c r="B196" s="4">
        <v>40579</v>
      </c>
      <c r="C196" s="3">
        <v>1</v>
      </c>
      <c r="D196" s="3">
        <v>0</v>
      </c>
      <c r="E196" s="3">
        <v>2</v>
      </c>
      <c r="F196" s="3">
        <v>23</v>
      </c>
      <c r="G196" s="3" t="b">
        <v>0</v>
      </c>
      <c r="H196" s="3">
        <v>6</v>
      </c>
      <c r="I196" s="3">
        <v>1</v>
      </c>
      <c r="J196" s="3">
        <v>0.26</v>
      </c>
      <c r="K196" s="3">
        <v>0.2576</v>
      </c>
      <c r="L196" s="3">
        <v>0.93</v>
      </c>
      <c r="M196" s="3">
        <v>0.22389999999999999</v>
      </c>
      <c r="N196" s="3">
        <v>7</v>
      </c>
      <c r="O196" s="3">
        <v>52</v>
      </c>
      <c r="P196" s="3">
        <v>59</v>
      </c>
      <c r="Q196" t="str" cm="1">
        <f t="array" ref="Q196">_xlfn.IFS(F196&lt;=12,"morning",F196&lt;=18,"afternoon",F196&lt;=24,"night")</f>
        <v>night</v>
      </c>
      <c r="R196" t="str">
        <f t="shared" si="7"/>
        <v>Saturday</v>
      </c>
    </row>
    <row r="197" spans="1:18" x14ac:dyDescent="0.3">
      <c r="A197" s="3">
        <v>806</v>
      </c>
      <c r="B197" s="4">
        <v>40580</v>
      </c>
      <c r="C197" s="3">
        <v>1</v>
      </c>
      <c r="D197" s="3">
        <v>0</v>
      </c>
      <c r="E197" s="3">
        <v>2</v>
      </c>
      <c r="F197" s="3">
        <v>0</v>
      </c>
      <c r="G197" s="3" t="b">
        <v>0</v>
      </c>
      <c r="H197" s="3">
        <v>0</v>
      </c>
      <c r="I197" s="3">
        <v>1</v>
      </c>
      <c r="J197" s="3">
        <v>0.26</v>
      </c>
      <c r="K197" s="3">
        <v>0.2576</v>
      </c>
      <c r="L197" s="3">
        <v>0.7</v>
      </c>
      <c r="M197" s="3">
        <v>0.19400000000000001</v>
      </c>
      <c r="N197" s="3">
        <v>2</v>
      </c>
      <c r="O197" s="3">
        <v>37</v>
      </c>
      <c r="P197" s="3">
        <v>39</v>
      </c>
      <c r="Q197" t="str" cm="1">
        <f t="array" ref="Q197">_xlfn.IFS(F197&lt;=12,"morning",F197&lt;=18,"afternoon",F197&lt;=24,"night")</f>
        <v>morning</v>
      </c>
      <c r="R197" t="str">
        <f t="shared" si="7"/>
        <v>Sunday</v>
      </c>
    </row>
    <row r="198" spans="1:18" x14ac:dyDescent="0.3">
      <c r="A198" s="3">
        <v>807</v>
      </c>
      <c r="B198" s="4">
        <v>40580</v>
      </c>
      <c r="C198" s="3">
        <v>1</v>
      </c>
      <c r="D198" s="3">
        <v>0</v>
      </c>
      <c r="E198" s="3">
        <v>2</v>
      </c>
      <c r="F198" s="3">
        <v>1</v>
      </c>
      <c r="G198" s="3" t="b">
        <v>0</v>
      </c>
      <c r="H198" s="3">
        <v>0</v>
      </c>
      <c r="I198" s="3">
        <v>1</v>
      </c>
      <c r="J198" s="3">
        <v>0.26</v>
      </c>
      <c r="K198" s="3">
        <v>0.2273</v>
      </c>
      <c r="L198" s="3">
        <v>0.65</v>
      </c>
      <c r="M198" s="3">
        <v>0.41789999999999999</v>
      </c>
      <c r="N198" s="3">
        <v>4</v>
      </c>
      <c r="O198" s="3">
        <v>40</v>
      </c>
      <c r="P198" s="3">
        <v>44</v>
      </c>
      <c r="Q198" t="str" cm="1">
        <f t="array" ref="Q198">_xlfn.IFS(F198&lt;=12,"morning",F198&lt;=18,"afternoon",F198&lt;=24,"night")</f>
        <v>morning</v>
      </c>
      <c r="R198" t="str">
        <f t="shared" si="7"/>
        <v>Sunday</v>
      </c>
    </row>
    <row r="199" spans="1:18" x14ac:dyDescent="0.3">
      <c r="A199" s="3">
        <v>808</v>
      </c>
      <c r="B199" s="4">
        <v>40580</v>
      </c>
      <c r="C199" s="3">
        <v>1</v>
      </c>
      <c r="D199" s="3">
        <v>0</v>
      </c>
      <c r="E199" s="3">
        <v>2</v>
      </c>
      <c r="F199" s="3">
        <v>2</v>
      </c>
      <c r="G199" s="3" t="b">
        <v>0</v>
      </c>
      <c r="H199" s="3">
        <v>0</v>
      </c>
      <c r="I199" s="3">
        <v>1</v>
      </c>
      <c r="J199" s="3">
        <v>0.26</v>
      </c>
      <c r="K199" s="3">
        <v>0.2273</v>
      </c>
      <c r="L199" s="3">
        <v>0.6</v>
      </c>
      <c r="M199" s="3">
        <v>0.32840000000000003</v>
      </c>
      <c r="N199" s="3">
        <v>0</v>
      </c>
      <c r="O199" s="3">
        <v>20</v>
      </c>
      <c r="P199" s="3">
        <v>20</v>
      </c>
      <c r="Q199" t="str" cm="1">
        <f t="array" ref="Q199">_xlfn.IFS(F199&lt;=12,"morning",F199&lt;=18,"afternoon",F199&lt;=24,"night")</f>
        <v>morning</v>
      </c>
      <c r="R199" t="str">
        <f t="shared" si="7"/>
        <v>Sunday</v>
      </c>
    </row>
    <row r="200" spans="1:18" x14ac:dyDescent="0.3">
      <c r="A200" s="3">
        <v>809</v>
      </c>
      <c r="B200" s="4">
        <v>40580</v>
      </c>
      <c r="C200" s="3">
        <v>1</v>
      </c>
      <c r="D200" s="3">
        <v>0</v>
      </c>
      <c r="E200" s="3">
        <v>2</v>
      </c>
      <c r="F200" s="3">
        <v>3</v>
      </c>
      <c r="G200" s="3" t="b">
        <v>0</v>
      </c>
      <c r="H200" s="3">
        <v>0</v>
      </c>
      <c r="I200" s="3">
        <v>1</v>
      </c>
      <c r="J200" s="3">
        <v>0.26</v>
      </c>
      <c r="K200" s="3">
        <v>0.28789999999999999</v>
      </c>
      <c r="L200" s="3">
        <v>0.6</v>
      </c>
      <c r="M200" s="3">
        <v>8.9599999999999999E-2</v>
      </c>
      <c r="N200" s="3">
        <v>3</v>
      </c>
      <c r="O200" s="3">
        <v>10</v>
      </c>
      <c r="P200" s="3">
        <v>13</v>
      </c>
      <c r="Q200" t="str" cm="1">
        <f t="array" ref="Q200">_xlfn.IFS(F200&lt;=12,"morning",F200&lt;=18,"afternoon",F200&lt;=24,"night")</f>
        <v>morning</v>
      </c>
      <c r="R200" t="str">
        <f t="shared" si="7"/>
        <v>Sunday</v>
      </c>
    </row>
    <row r="201" spans="1:18" x14ac:dyDescent="0.3">
      <c r="A201" s="3">
        <v>810</v>
      </c>
      <c r="B201" s="4">
        <v>40580</v>
      </c>
      <c r="C201" s="3">
        <v>1</v>
      </c>
      <c r="D201" s="3">
        <v>0</v>
      </c>
      <c r="E201" s="3">
        <v>2</v>
      </c>
      <c r="F201" s="3">
        <v>4</v>
      </c>
      <c r="G201" s="3" t="b">
        <v>0</v>
      </c>
      <c r="H201" s="3">
        <v>0</v>
      </c>
      <c r="I201" s="3">
        <v>1</v>
      </c>
      <c r="J201" s="3">
        <v>0.26</v>
      </c>
      <c r="K201" s="3">
        <v>0.2273</v>
      </c>
      <c r="L201" s="3">
        <v>0.6</v>
      </c>
      <c r="M201" s="3">
        <v>0.35820000000000002</v>
      </c>
      <c r="N201" s="3">
        <v>0</v>
      </c>
      <c r="O201" s="3">
        <v>2</v>
      </c>
      <c r="P201" s="3">
        <v>2</v>
      </c>
      <c r="Q201" t="str" cm="1">
        <f t="array" ref="Q201">_xlfn.IFS(F201&lt;=12,"morning",F201&lt;=18,"afternoon",F201&lt;=24,"night")</f>
        <v>morning</v>
      </c>
      <c r="R201" t="str">
        <f t="shared" si="7"/>
        <v>Sunday</v>
      </c>
    </row>
    <row r="202" spans="1:18" x14ac:dyDescent="0.3">
      <c r="A202" s="3">
        <v>811</v>
      </c>
      <c r="B202" s="4">
        <v>40580</v>
      </c>
      <c r="C202" s="3">
        <v>1</v>
      </c>
      <c r="D202" s="3">
        <v>0</v>
      </c>
      <c r="E202" s="3">
        <v>2</v>
      </c>
      <c r="F202" s="3">
        <v>5</v>
      </c>
      <c r="G202" s="3" t="b">
        <v>0</v>
      </c>
      <c r="H202" s="3">
        <v>0</v>
      </c>
      <c r="I202" s="3">
        <v>1</v>
      </c>
      <c r="J202" s="3">
        <v>0.26</v>
      </c>
      <c r="K202" s="3">
        <v>0.2576</v>
      </c>
      <c r="L202" s="3">
        <v>0.6</v>
      </c>
      <c r="M202" s="3">
        <v>0.22389999999999999</v>
      </c>
      <c r="N202" s="3">
        <v>0</v>
      </c>
      <c r="O202" s="3">
        <v>1</v>
      </c>
      <c r="P202" s="3">
        <v>1</v>
      </c>
      <c r="Q202" t="str" cm="1">
        <f t="array" ref="Q202">_xlfn.IFS(F202&lt;=12,"morning",F202&lt;=18,"afternoon",F202&lt;=24,"night")</f>
        <v>morning</v>
      </c>
      <c r="R202" t="str">
        <f t="shared" si="7"/>
        <v>Sunday</v>
      </c>
    </row>
    <row r="203" spans="1:18" x14ac:dyDescent="0.3">
      <c r="A203" s="3">
        <v>812</v>
      </c>
      <c r="B203" s="4">
        <v>40580</v>
      </c>
      <c r="C203" s="3">
        <v>1</v>
      </c>
      <c r="D203" s="3">
        <v>0</v>
      </c>
      <c r="E203" s="3">
        <v>2</v>
      </c>
      <c r="F203" s="3">
        <v>6</v>
      </c>
      <c r="G203" s="3" t="b">
        <v>0</v>
      </c>
      <c r="H203" s="3">
        <v>0</v>
      </c>
      <c r="I203" s="3">
        <v>1</v>
      </c>
      <c r="J203" s="3">
        <v>0.26</v>
      </c>
      <c r="K203" s="3">
        <v>0.2576</v>
      </c>
      <c r="L203" s="3">
        <v>0.6</v>
      </c>
      <c r="M203" s="3">
        <v>0.22389999999999999</v>
      </c>
      <c r="N203" s="3">
        <v>0</v>
      </c>
      <c r="O203" s="3">
        <v>1</v>
      </c>
      <c r="P203" s="3">
        <v>1</v>
      </c>
      <c r="Q203" t="str" cm="1">
        <f t="array" ref="Q203">_xlfn.IFS(F203&lt;=12,"morning",F203&lt;=18,"afternoon",F203&lt;=24,"night")</f>
        <v>morning</v>
      </c>
      <c r="R203" t="str">
        <f t="shared" si="7"/>
        <v>Sunday</v>
      </c>
    </row>
    <row r="204" spans="1:18" x14ac:dyDescent="0.3">
      <c r="A204" s="3">
        <v>813</v>
      </c>
      <c r="B204" s="4">
        <v>40580</v>
      </c>
      <c r="C204" s="3">
        <v>1</v>
      </c>
      <c r="D204" s="3">
        <v>0</v>
      </c>
      <c r="E204" s="3">
        <v>2</v>
      </c>
      <c r="F204" s="3">
        <v>7</v>
      </c>
      <c r="G204" s="3" t="b">
        <v>0</v>
      </c>
      <c r="H204" s="3">
        <v>0</v>
      </c>
      <c r="I204" s="3">
        <v>1</v>
      </c>
      <c r="J204" s="3">
        <v>0.24</v>
      </c>
      <c r="K204" s="3">
        <v>0.2424</v>
      </c>
      <c r="L204" s="3">
        <v>0.65</v>
      </c>
      <c r="M204" s="3">
        <v>0.16420000000000001</v>
      </c>
      <c r="N204" s="3">
        <v>0</v>
      </c>
      <c r="O204" s="3">
        <v>8</v>
      </c>
      <c r="P204" s="3">
        <v>8</v>
      </c>
      <c r="Q204" t="str" cm="1">
        <f t="array" ref="Q204">_xlfn.IFS(F204&lt;=12,"morning",F204&lt;=18,"afternoon",F204&lt;=24,"night")</f>
        <v>morning</v>
      </c>
      <c r="R204" t="str">
        <f t="shared" si="7"/>
        <v>Sunday</v>
      </c>
    </row>
    <row r="205" spans="1:18" x14ac:dyDescent="0.3">
      <c r="A205" s="3">
        <v>814</v>
      </c>
      <c r="B205" s="4">
        <v>40580</v>
      </c>
      <c r="C205" s="3">
        <v>1</v>
      </c>
      <c r="D205" s="3">
        <v>0</v>
      </c>
      <c r="E205" s="3">
        <v>2</v>
      </c>
      <c r="F205" s="3">
        <v>8</v>
      </c>
      <c r="G205" s="3" t="b">
        <v>0</v>
      </c>
      <c r="H205" s="3">
        <v>0</v>
      </c>
      <c r="I205" s="3">
        <v>1</v>
      </c>
      <c r="J205" s="3">
        <v>0.24</v>
      </c>
      <c r="K205" s="3">
        <v>0.2576</v>
      </c>
      <c r="L205" s="3">
        <v>0.65</v>
      </c>
      <c r="M205" s="3">
        <v>0.1045</v>
      </c>
      <c r="N205" s="3">
        <v>2</v>
      </c>
      <c r="O205" s="3">
        <v>21</v>
      </c>
      <c r="P205" s="3">
        <v>23</v>
      </c>
      <c r="Q205" t="str" cm="1">
        <f t="array" ref="Q205">_xlfn.IFS(F205&lt;=12,"morning",F205&lt;=18,"afternoon",F205&lt;=24,"night")</f>
        <v>morning</v>
      </c>
      <c r="R205" t="str">
        <f t="shared" si="7"/>
        <v>Sunday</v>
      </c>
    </row>
    <row r="206" spans="1:18" x14ac:dyDescent="0.3">
      <c r="A206" s="3">
        <v>815</v>
      </c>
      <c r="B206" s="4">
        <v>40580</v>
      </c>
      <c r="C206" s="3">
        <v>1</v>
      </c>
      <c r="D206" s="3">
        <v>0</v>
      </c>
      <c r="E206" s="3">
        <v>2</v>
      </c>
      <c r="F206" s="3">
        <v>9</v>
      </c>
      <c r="G206" s="3" t="b">
        <v>0</v>
      </c>
      <c r="H206" s="3">
        <v>0</v>
      </c>
      <c r="I206" s="3">
        <v>1</v>
      </c>
      <c r="J206" s="3">
        <v>0.28000000000000003</v>
      </c>
      <c r="K206" s="3">
        <v>0.28789999999999999</v>
      </c>
      <c r="L206" s="3">
        <v>0.56000000000000005</v>
      </c>
      <c r="M206" s="3">
        <v>0.1045</v>
      </c>
      <c r="N206" s="3">
        <v>7</v>
      </c>
      <c r="O206" s="3">
        <v>38</v>
      </c>
      <c r="P206" s="3">
        <v>45</v>
      </c>
      <c r="Q206" t="str" cm="1">
        <f t="array" ref="Q206">_xlfn.IFS(F206&lt;=12,"morning",F206&lt;=18,"afternoon",F206&lt;=24,"night")</f>
        <v>morning</v>
      </c>
      <c r="R206" t="str">
        <f t="shared" si="7"/>
        <v>Sunday</v>
      </c>
    </row>
    <row r="207" spans="1:18" x14ac:dyDescent="0.3">
      <c r="A207" s="3">
        <v>816</v>
      </c>
      <c r="B207" s="4">
        <v>40580</v>
      </c>
      <c r="C207" s="3">
        <v>1</v>
      </c>
      <c r="D207" s="3">
        <v>0</v>
      </c>
      <c r="E207" s="3">
        <v>2</v>
      </c>
      <c r="F207" s="3">
        <v>10</v>
      </c>
      <c r="G207" s="3" t="b">
        <v>0</v>
      </c>
      <c r="H207" s="3">
        <v>0</v>
      </c>
      <c r="I207" s="3">
        <v>1</v>
      </c>
      <c r="J207" s="3">
        <v>0.3</v>
      </c>
      <c r="K207" s="3">
        <v>0.28789999999999999</v>
      </c>
      <c r="L207" s="3">
        <v>0.52</v>
      </c>
      <c r="M207" s="3">
        <v>0.25369999999999998</v>
      </c>
      <c r="N207" s="3">
        <v>15</v>
      </c>
      <c r="O207" s="3">
        <v>74</v>
      </c>
      <c r="P207" s="3">
        <v>89</v>
      </c>
      <c r="Q207" t="str" cm="1">
        <f t="array" ref="Q207">_xlfn.IFS(F207&lt;=12,"morning",F207&lt;=18,"afternoon",F207&lt;=24,"night")</f>
        <v>morning</v>
      </c>
      <c r="R207" t="str">
        <f t="shared" si="7"/>
        <v>Sunday</v>
      </c>
    </row>
    <row r="208" spans="1:18" x14ac:dyDescent="0.3">
      <c r="A208" s="3">
        <v>817</v>
      </c>
      <c r="B208" s="4">
        <v>40580</v>
      </c>
      <c r="C208" s="3">
        <v>1</v>
      </c>
      <c r="D208" s="3">
        <v>0</v>
      </c>
      <c r="E208" s="3">
        <v>2</v>
      </c>
      <c r="F208" s="3">
        <v>11</v>
      </c>
      <c r="G208" s="3" t="b">
        <v>0</v>
      </c>
      <c r="H208" s="3">
        <v>0</v>
      </c>
      <c r="I208" s="3">
        <v>1</v>
      </c>
      <c r="J208" s="3">
        <v>0.32</v>
      </c>
      <c r="K208" s="3">
        <v>0.30299999999999999</v>
      </c>
      <c r="L208" s="3">
        <v>0.49</v>
      </c>
      <c r="M208" s="3">
        <v>0.25369999999999998</v>
      </c>
      <c r="N208" s="3">
        <v>28</v>
      </c>
      <c r="O208" s="3">
        <v>89</v>
      </c>
      <c r="P208" s="3">
        <v>117</v>
      </c>
      <c r="Q208" t="str" cm="1">
        <f t="array" ref="Q208">_xlfn.IFS(F208&lt;=12,"morning",F208&lt;=18,"afternoon",F208&lt;=24,"night")</f>
        <v>morning</v>
      </c>
      <c r="R208" t="str">
        <f t="shared" si="7"/>
        <v>Sunday</v>
      </c>
    </row>
    <row r="209" spans="1:18" x14ac:dyDescent="0.3">
      <c r="A209" s="3">
        <v>818</v>
      </c>
      <c r="B209" s="4">
        <v>40580</v>
      </c>
      <c r="C209" s="3">
        <v>1</v>
      </c>
      <c r="D209" s="3">
        <v>0</v>
      </c>
      <c r="E209" s="3">
        <v>2</v>
      </c>
      <c r="F209" s="3">
        <v>12</v>
      </c>
      <c r="G209" s="3" t="b">
        <v>0</v>
      </c>
      <c r="H209" s="3">
        <v>0</v>
      </c>
      <c r="I209" s="3">
        <v>1</v>
      </c>
      <c r="J209" s="3">
        <v>0.34</v>
      </c>
      <c r="K209" s="3">
        <v>0.33329999999999999</v>
      </c>
      <c r="L209" s="3">
        <v>0.46</v>
      </c>
      <c r="M209" s="3">
        <v>0</v>
      </c>
      <c r="N209" s="3">
        <v>48</v>
      </c>
      <c r="O209" s="3">
        <v>126</v>
      </c>
      <c r="P209" s="3">
        <v>174</v>
      </c>
      <c r="Q209" t="str" cm="1">
        <f t="array" ref="Q209">_xlfn.IFS(F209&lt;=12,"morning",F209&lt;=18,"afternoon",F209&lt;=24,"night")</f>
        <v>morning</v>
      </c>
      <c r="R209" t="str">
        <f t="shared" si="7"/>
        <v>Sunday</v>
      </c>
    </row>
    <row r="210" spans="1:18" x14ac:dyDescent="0.3">
      <c r="A210" s="3">
        <v>819</v>
      </c>
      <c r="B210" s="4">
        <v>40580</v>
      </c>
      <c r="C210" s="3">
        <v>1</v>
      </c>
      <c r="D210" s="3">
        <v>0</v>
      </c>
      <c r="E210" s="3">
        <v>2</v>
      </c>
      <c r="F210" s="3">
        <v>13</v>
      </c>
      <c r="G210" s="3" t="b">
        <v>0</v>
      </c>
      <c r="H210" s="3">
        <v>0</v>
      </c>
      <c r="I210" s="3">
        <v>1</v>
      </c>
      <c r="J210" s="3">
        <v>0.34</v>
      </c>
      <c r="K210" s="3">
        <v>0.36359999999999998</v>
      </c>
      <c r="L210" s="3">
        <v>0.46</v>
      </c>
      <c r="M210" s="3">
        <v>0</v>
      </c>
      <c r="N210" s="3">
        <v>47</v>
      </c>
      <c r="O210" s="3">
        <v>135</v>
      </c>
      <c r="P210" s="3">
        <v>182</v>
      </c>
      <c r="Q210" t="str" cm="1">
        <f t="array" ref="Q210">_xlfn.IFS(F210&lt;=12,"morning",F210&lt;=18,"afternoon",F210&lt;=24,"night")</f>
        <v>afternoon</v>
      </c>
      <c r="R210" t="str">
        <f t="shared" si="7"/>
        <v>Sunday</v>
      </c>
    </row>
    <row r="211" spans="1:18" x14ac:dyDescent="0.3">
      <c r="A211" s="3">
        <v>820</v>
      </c>
      <c r="B211" s="4">
        <v>40580</v>
      </c>
      <c r="C211" s="3">
        <v>1</v>
      </c>
      <c r="D211" s="3">
        <v>0</v>
      </c>
      <c r="E211" s="3">
        <v>2</v>
      </c>
      <c r="F211" s="3">
        <v>14</v>
      </c>
      <c r="G211" s="3" t="b">
        <v>0</v>
      </c>
      <c r="H211" s="3">
        <v>0</v>
      </c>
      <c r="I211" s="3">
        <v>1</v>
      </c>
      <c r="J211" s="3">
        <v>0.34</v>
      </c>
      <c r="K211" s="3">
        <v>0.34849999999999998</v>
      </c>
      <c r="L211" s="3">
        <v>0.46</v>
      </c>
      <c r="M211" s="3">
        <v>8.9599999999999999E-2</v>
      </c>
      <c r="N211" s="3">
        <v>47</v>
      </c>
      <c r="O211" s="3">
        <v>114</v>
      </c>
      <c r="P211" s="3">
        <v>161</v>
      </c>
      <c r="Q211" t="str" cm="1">
        <f t="array" ref="Q211">_xlfn.IFS(F211&lt;=12,"morning",F211&lt;=18,"afternoon",F211&lt;=24,"night")</f>
        <v>afternoon</v>
      </c>
      <c r="R211" t="str">
        <f t="shared" si="7"/>
        <v>Sunday</v>
      </c>
    </row>
    <row r="212" spans="1:18" x14ac:dyDescent="0.3">
      <c r="A212" s="3">
        <v>821</v>
      </c>
      <c r="B212" s="4">
        <v>40580</v>
      </c>
      <c r="C212" s="3">
        <v>1</v>
      </c>
      <c r="D212" s="3">
        <v>0</v>
      </c>
      <c r="E212" s="3">
        <v>2</v>
      </c>
      <c r="F212" s="3">
        <v>15</v>
      </c>
      <c r="G212" s="3" t="b">
        <v>0</v>
      </c>
      <c r="H212" s="3">
        <v>0</v>
      </c>
      <c r="I212" s="3">
        <v>1</v>
      </c>
      <c r="J212" s="3">
        <v>0.34</v>
      </c>
      <c r="K212" s="3">
        <v>0.34849999999999998</v>
      </c>
      <c r="L212" s="3">
        <v>0.46</v>
      </c>
      <c r="M212" s="3">
        <v>8.9599999999999999E-2</v>
      </c>
      <c r="N212" s="3">
        <v>52</v>
      </c>
      <c r="O212" s="3">
        <v>130</v>
      </c>
      <c r="P212" s="3">
        <v>182</v>
      </c>
      <c r="Q212" t="str" cm="1">
        <f t="array" ref="Q212">_xlfn.IFS(F212&lt;=12,"morning",F212&lt;=18,"afternoon",F212&lt;=24,"night")</f>
        <v>afternoon</v>
      </c>
      <c r="R212" t="str">
        <f t="shared" si="7"/>
        <v>Sunday</v>
      </c>
    </row>
    <row r="213" spans="1:18" x14ac:dyDescent="0.3">
      <c r="A213" s="3">
        <v>822</v>
      </c>
      <c r="B213" s="4">
        <v>40580</v>
      </c>
      <c r="C213" s="3">
        <v>1</v>
      </c>
      <c r="D213" s="3">
        <v>0</v>
      </c>
      <c r="E213" s="3">
        <v>2</v>
      </c>
      <c r="F213" s="3">
        <v>16</v>
      </c>
      <c r="G213" s="3" t="b">
        <v>0</v>
      </c>
      <c r="H213" s="3">
        <v>0</v>
      </c>
      <c r="I213" s="3">
        <v>1</v>
      </c>
      <c r="J213" s="3">
        <v>0.34</v>
      </c>
      <c r="K213" s="3">
        <v>0.34849999999999998</v>
      </c>
      <c r="L213" s="3">
        <v>0.49</v>
      </c>
      <c r="M213" s="3">
        <v>0.1045</v>
      </c>
      <c r="N213" s="3">
        <v>42</v>
      </c>
      <c r="O213" s="3">
        <v>115</v>
      </c>
      <c r="P213" s="3">
        <v>157</v>
      </c>
      <c r="Q213" t="str" cm="1">
        <f t="array" ref="Q213">_xlfn.IFS(F213&lt;=12,"morning",F213&lt;=18,"afternoon",F213&lt;=24,"night")</f>
        <v>afternoon</v>
      </c>
      <c r="R213" t="str">
        <f t="shared" si="7"/>
        <v>Sunday</v>
      </c>
    </row>
    <row r="214" spans="1:18" x14ac:dyDescent="0.3">
      <c r="A214" s="3">
        <v>823</v>
      </c>
      <c r="B214" s="4">
        <v>40580</v>
      </c>
      <c r="C214" s="3">
        <v>1</v>
      </c>
      <c r="D214" s="3">
        <v>0</v>
      </c>
      <c r="E214" s="3">
        <v>2</v>
      </c>
      <c r="F214" s="3">
        <v>17</v>
      </c>
      <c r="G214" s="3" t="b">
        <v>0</v>
      </c>
      <c r="H214" s="3">
        <v>0</v>
      </c>
      <c r="I214" s="3">
        <v>1</v>
      </c>
      <c r="J214" s="3">
        <v>0.34</v>
      </c>
      <c r="K214" s="3">
        <v>0.36359999999999998</v>
      </c>
      <c r="L214" s="3">
        <v>0.46</v>
      </c>
      <c r="M214" s="3">
        <v>0</v>
      </c>
      <c r="N214" s="3">
        <v>24</v>
      </c>
      <c r="O214" s="3">
        <v>97</v>
      </c>
      <c r="P214" s="3">
        <v>121</v>
      </c>
      <c r="Q214" t="str" cm="1">
        <f t="array" ref="Q214">_xlfn.IFS(F214&lt;=12,"morning",F214&lt;=18,"afternoon",F214&lt;=24,"night")</f>
        <v>afternoon</v>
      </c>
      <c r="R214" t="str">
        <f t="shared" si="7"/>
        <v>Sunday</v>
      </c>
    </row>
    <row r="215" spans="1:18" x14ac:dyDescent="0.3">
      <c r="A215" s="3">
        <v>824</v>
      </c>
      <c r="B215" s="4">
        <v>40580</v>
      </c>
      <c r="C215" s="3">
        <v>1</v>
      </c>
      <c r="D215" s="3">
        <v>0</v>
      </c>
      <c r="E215" s="3">
        <v>2</v>
      </c>
      <c r="F215" s="3">
        <v>18</v>
      </c>
      <c r="G215" s="3" t="b">
        <v>0</v>
      </c>
      <c r="H215" s="3">
        <v>0</v>
      </c>
      <c r="I215" s="3">
        <v>1</v>
      </c>
      <c r="J215" s="3">
        <v>0.3</v>
      </c>
      <c r="K215" s="3">
        <v>0.30299999999999999</v>
      </c>
      <c r="L215" s="3">
        <v>0.56000000000000005</v>
      </c>
      <c r="M215" s="3">
        <v>0.16420000000000001</v>
      </c>
      <c r="N215" s="3">
        <v>13</v>
      </c>
      <c r="O215" s="3">
        <v>65</v>
      </c>
      <c r="P215" s="3">
        <v>78</v>
      </c>
      <c r="Q215" t="str" cm="1">
        <f t="array" ref="Q215">_xlfn.IFS(F215&lt;=12,"morning",F215&lt;=18,"afternoon",F215&lt;=24,"night")</f>
        <v>afternoon</v>
      </c>
      <c r="R215" t="str">
        <f t="shared" si="7"/>
        <v>Sunday</v>
      </c>
    </row>
    <row r="216" spans="1:18" x14ac:dyDescent="0.3">
      <c r="A216" s="3">
        <v>825</v>
      </c>
      <c r="B216" s="4">
        <v>40580</v>
      </c>
      <c r="C216" s="3">
        <v>1</v>
      </c>
      <c r="D216" s="3">
        <v>0</v>
      </c>
      <c r="E216" s="3">
        <v>2</v>
      </c>
      <c r="F216" s="3">
        <v>19</v>
      </c>
      <c r="G216" s="3" t="b">
        <v>0</v>
      </c>
      <c r="H216" s="3">
        <v>0</v>
      </c>
      <c r="I216" s="3">
        <v>1</v>
      </c>
      <c r="J216" s="3">
        <v>0.28000000000000003</v>
      </c>
      <c r="K216" s="3">
        <v>0.28789999999999999</v>
      </c>
      <c r="L216" s="3">
        <v>0.61</v>
      </c>
      <c r="M216" s="3">
        <v>0.1343</v>
      </c>
      <c r="N216" s="3">
        <v>1</v>
      </c>
      <c r="O216" s="3">
        <v>20</v>
      </c>
      <c r="P216" s="3">
        <v>21</v>
      </c>
      <c r="Q216" t="str" cm="1">
        <f t="array" ref="Q216">_xlfn.IFS(F216&lt;=12,"morning",F216&lt;=18,"afternoon",F216&lt;=24,"night")</f>
        <v>night</v>
      </c>
      <c r="R216" t="str">
        <f t="shared" si="7"/>
        <v>Sunday</v>
      </c>
    </row>
    <row r="217" spans="1:18" x14ac:dyDescent="0.3">
      <c r="A217" s="3">
        <v>826</v>
      </c>
      <c r="B217" s="4">
        <v>40580</v>
      </c>
      <c r="C217" s="3">
        <v>1</v>
      </c>
      <c r="D217" s="3">
        <v>0</v>
      </c>
      <c r="E217" s="3">
        <v>2</v>
      </c>
      <c r="F217" s="3">
        <v>20</v>
      </c>
      <c r="G217" s="3" t="b">
        <v>0</v>
      </c>
      <c r="H217" s="3">
        <v>0</v>
      </c>
      <c r="I217" s="3">
        <v>1</v>
      </c>
      <c r="J217" s="3">
        <v>0.28000000000000003</v>
      </c>
      <c r="K217" s="3">
        <v>0.28789999999999999</v>
      </c>
      <c r="L217" s="3">
        <v>0.61</v>
      </c>
      <c r="M217" s="3">
        <v>0.1045</v>
      </c>
      <c r="N217" s="3">
        <v>5</v>
      </c>
      <c r="O217" s="3">
        <v>21</v>
      </c>
      <c r="P217" s="3">
        <v>26</v>
      </c>
      <c r="Q217" t="str" cm="1">
        <f t="array" ref="Q217">_xlfn.IFS(F217&lt;=12,"morning",F217&lt;=18,"afternoon",F217&lt;=24,"night")</f>
        <v>night</v>
      </c>
      <c r="R217" t="str">
        <f t="shared" si="7"/>
        <v>Sunday</v>
      </c>
    </row>
    <row r="218" spans="1:18" x14ac:dyDescent="0.3">
      <c r="A218" s="3">
        <v>827</v>
      </c>
      <c r="B218" s="4">
        <v>40580</v>
      </c>
      <c r="C218" s="3">
        <v>1</v>
      </c>
      <c r="D218" s="3">
        <v>0</v>
      </c>
      <c r="E218" s="3">
        <v>2</v>
      </c>
      <c r="F218" s="3">
        <v>21</v>
      </c>
      <c r="G218" s="3" t="b">
        <v>0</v>
      </c>
      <c r="H218" s="3">
        <v>0</v>
      </c>
      <c r="I218" s="3">
        <v>1</v>
      </c>
      <c r="J218" s="3">
        <v>0.26</v>
      </c>
      <c r="K218" s="3">
        <v>0.30299999999999999</v>
      </c>
      <c r="L218" s="3">
        <v>0.6</v>
      </c>
      <c r="M218" s="3">
        <v>0</v>
      </c>
      <c r="N218" s="3">
        <v>5</v>
      </c>
      <c r="O218" s="3">
        <v>22</v>
      </c>
      <c r="P218" s="3">
        <v>27</v>
      </c>
      <c r="Q218" t="str" cm="1">
        <f t="array" ref="Q218">_xlfn.IFS(F218&lt;=12,"morning",F218&lt;=18,"afternoon",F218&lt;=24,"night")</f>
        <v>night</v>
      </c>
      <c r="R218" t="str">
        <f t="shared" si="7"/>
        <v>Sunday</v>
      </c>
    </row>
    <row r="219" spans="1:18" x14ac:dyDescent="0.3">
      <c r="A219" s="3">
        <v>828</v>
      </c>
      <c r="B219" s="4">
        <v>40580</v>
      </c>
      <c r="C219" s="3">
        <v>1</v>
      </c>
      <c r="D219" s="3">
        <v>0</v>
      </c>
      <c r="E219" s="3">
        <v>2</v>
      </c>
      <c r="F219" s="3">
        <v>22</v>
      </c>
      <c r="G219" s="3" t="b">
        <v>0</v>
      </c>
      <c r="H219" s="3">
        <v>0</v>
      </c>
      <c r="I219" s="3">
        <v>1</v>
      </c>
      <c r="J219" s="3">
        <v>0.26</v>
      </c>
      <c r="K219" s="3">
        <v>0.30299999999999999</v>
      </c>
      <c r="L219" s="3">
        <v>0.6</v>
      </c>
      <c r="M219" s="3">
        <v>0</v>
      </c>
      <c r="N219" s="3">
        <v>5</v>
      </c>
      <c r="O219" s="3">
        <v>57</v>
      </c>
      <c r="P219" s="3">
        <v>62</v>
      </c>
      <c r="Q219" t="str" cm="1">
        <f t="array" ref="Q219">_xlfn.IFS(F219&lt;=12,"morning",F219&lt;=18,"afternoon",F219&lt;=24,"night")</f>
        <v>night</v>
      </c>
      <c r="R219" t="str">
        <f t="shared" si="7"/>
        <v>Sunday</v>
      </c>
    </row>
    <row r="220" spans="1:18" x14ac:dyDescent="0.3">
      <c r="A220" s="3">
        <v>829</v>
      </c>
      <c r="B220" s="4">
        <v>40580</v>
      </c>
      <c r="C220" s="3">
        <v>1</v>
      </c>
      <c r="D220" s="3">
        <v>0</v>
      </c>
      <c r="E220" s="3">
        <v>2</v>
      </c>
      <c r="F220" s="3">
        <v>23</v>
      </c>
      <c r="G220" s="3" t="b">
        <v>0</v>
      </c>
      <c r="H220" s="3">
        <v>0</v>
      </c>
      <c r="I220" s="3">
        <v>1</v>
      </c>
      <c r="J220" s="3">
        <v>0.24</v>
      </c>
      <c r="K220" s="3">
        <v>0.28789999999999999</v>
      </c>
      <c r="L220" s="3">
        <v>0.65</v>
      </c>
      <c r="M220" s="3">
        <v>0</v>
      </c>
      <c r="N220" s="3">
        <v>4</v>
      </c>
      <c r="O220" s="3">
        <v>26</v>
      </c>
      <c r="P220" s="3">
        <v>30</v>
      </c>
      <c r="Q220" t="str" cm="1">
        <f t="array" ref="Q220">_xlfn.IFS(F220&lt;=12,"morning",F220&lt;=18,"afternoon",F220&lt;=24,"night")</f>
        <v>night</v>
      </c>
      <c r="R220" t="str">
        <f t="shared" si="7"/>
        <v>Sunday</v>
      </c>
    </row>
    <row r="221" spans="1:18" x14ac:dyDescent="0.3">
      <c r="A221" s="3">
        <v>830</v>
      </c>
      <c r="B221" s="4">
        <v>40581</v>
      </c>
      <c r="C221" s="3">
        <v>1</v>
      </c>
      <c r="D221" s="3">
        <v>0</v>
      </c>
      <c r="E221" s="3">
        <v>2</v>
      </c>
      <c r="F221" s="3">
        <v>0</v>
      </c>
      <c r="G221" s="3" t="b">
        <v>0</v>
      </c>
      <c r="H221" s="3">
        <v>1</v>
      </c>
      <c r="I221" s="3">
        <v>1</v>
      </c>
      <c r="J221" s="3">
        <v>0.24</v>
      </c>
      <c r="K221" s="3">
        <v>0.28789999999999999</v>
      </c>
      <c r="L221" s="3">
        <v>0.65</v>
      </c>
      <c r="M221" s="3">
        <v>0</v>
      </c>
      <c r="N221" s="3">
        <v>1</v>
      </c>
      <c r="O221" s="3">
        <v>14</v>
      </c>
      <c r="P221" s="3">
        <v>15</v>
      </c>
      <c r="Q221" t="str" cm="1">
        <f t="array" ref="Q221">_xlfn.IFS(F221&lt;=12,"morning",F221&lt;=18,"afternoon",F221&lt;=24,"night")</f>
        <v>morning</v>
      </c>
      <c r="R221" t="str">
        <f t="shared" si="7"/>
        <v>Monday</v>
      </c>
    </row>
    <row r="222" spans="1:18" x14ac:dyDescent="0.3">
      <c r="A222" s="3">
        <v>831</v>
      </c>
      <c r="B222" s="4">
        <v>40581</v>
      </c>
      <c r="C222" s="3">
        <v>1</v>
      </c>
      <c r="D222" s="3">
        <v>0</v>
      </c>
      <c r="E222" s="3">
        <v>2</v>
      </c>
      <c r="F222" s="3">
        <v>1</v>
      </c>
      <c r="G222" s="3" t="b">
        <v>0</v>
      </c>
      <c r="H222" s="3">
        <v>1</v>
      </c>
      <c r="I222" s="3">
        <v>1</v>
      </c>
      <c r="J222" s="3">
        <v>0.22</v>
      </c>
      <c r="K222" s="3">
        <v>0.2727</v>
      </c>
      <c r="L222" s="3">
        <v>0.75</v>
      </c>
      <c r="M222" s="3">
        <v>0</v>
      </c>
      <c r="N222" s="3">
        <v>1</v>
      </c>
      <c r="O222" s="3">
        <v>4</v>
      </c>
      <c r="P222" s="3">
        <v>5</v>
      </c>
      <c r="Q222" t="str" cm="1">
        <f t="array" ref="Q222">_xlfn.IFS(F222&lt;=12,"morning",F222&lt;=18,"afternoon",F222&lt;=24,"night")</f>
        <v>morning</v>
      </c>
      <c r="R222" t="str">
        <f t="shared" si="7"/>
        <v>Monday</v>
      </c>
    </row>
    <row r="223" spans="1:18" x14ac:dyDescent="0.3">
      <c r="A223" s="3">
        <v>832</v>
      </c>
      <c r="B223" s="4">
        <v>40581</v>
      </c>
      <c r="C223" s="3">
        <v>1</v>
      </c>
      <c r="D223" s="3">
        <v>0</v>
      </c>
      <c r="E223" s="3">
        <v>2</v>
      </c>
      <c r="F223" s="3">
        <v>2</v>
      </c>
      <c r="G223" s="3" t="b">
        <v>0</v>
      </c>
      <c r="H223" s="3">
        <v>1</v>
      </c>
      <c r="I223" s="3">
        <v>1</v>
      </c>
      <c r="J223" s="3">
        <v>0.2</v>
      </c>
      <c r="K223" s="3">
        <v>0.2576</v>
      </c>
      <c r="L223" s="3">
        <v>0.8</v>
      </c>
      <c r="M223" s="3">
        <v>0</v>
      </c>
      <c r="N223" s="3">
        <v>0</v>
      </c>
      <c r="O223" s="3">
        <v>3</v>
      </c>
      <c r="P223" s="3">
        <v>3</v>
      </c>
      <c r="Q223" t="str" cm="1">
        <f t="array" ref="Q223">_xlfn.IFS(F223&lt;=12,"morning",F223&lt;=18,"afternoon",F223&lt;=24,"night")</f>
        <v>morning</v>
      </c>
      <c r="R223" t="str">
        <f t="shared" si="7"/>
        <v>Monday</v>
      </c>
    </row>
    <row r="224" spans="1:18" x14ac:dyDescent="0.3">
      <c r="A224" s="3">
        <v>833</v>
      </c>
      <c r="B224" s="4">
        <v>40581</v>
      </c>
      <c r="C224" s="3">
        <v>1</v>
      </c>
      <c r="D224" s="3">
        <v>0</v>
      </c>
      <c r="E224" s="3">
        <v>2</v>
      </c>
      <c r="F224" s="3">
        <v>3</v>
      </c>
      <c r="G224" s="3" t="b">
        <v>0</v>
      </c>
      <c r="H224" s="3">
        <v>1</v>
      </c>
      <c r="I224" s="3">
        <v>1</v>
      </c>
      <c r="J224" s="3">
        <v>0.2</v>
      </c>
      <c r="K224" s="3">
        <v>0.2576</v>
      </c>
      <c r="L224" s="3">
        <v>0.86</v>
      </c>
      <c r="M224" s="3">
        <v>0</v>
      </c>
      <c r="N224" s="3">
        <v>0</v>
      </c>
      <c r="O224" s="3">
        <v>1</v>
      </c>
      <c r="P224" s="3">
        <v>1</v>
      </c>
      <c r="Q224" t="str" cm="1">
        <f t="array" ref="Q224">_xlfn.IFS(F224&lt;=12,"morning",F224&lt;=18,"afternoon",F224&lt;=24,"night")</f>
        <v>morning</v>
      </c>
      <c r="R224" t="str">
        <f t="shared" si="7"/>
        <v>Monday</v>
      </c>
    </row>
    <row r="225" spans="1:18" x14ac:dyDescent="0.3">
      <c r="A225" s="3">
        <v>834</v>
      </c>
      <c r="B225" s="4">
        <v>40581</v>
      </c>
      <c r="C225" s="3">
        <v>1</v>
      </c>
      <c r="D225" s="3">
        <v>0</v>
      </c>
      <c r="E225" s="3">
        <v>2</v>
      </c>
      <c r="F225" s="3">
        <v>4</v>
      </c>
      <c r="G225" s="3" t="b">
        <v>0</v>
      </c>
      <c r="H225" s="3">
        <v>1</v>
      </c>
      <c r="I225" s="3">
        <v>1</v>
      </c>
      <c r="J225" s="3">
        <v>0.2</v>
      </c>
      <c r="K225" s="3">
        <v>0.2576</v>
      </c>
      <c r="L225" s="3">
        <v>0.86</v>
      </c>
      <c r="M225" s="3">
        <v>0</v>
      </c>
      <c r="N225" s="3">
        <v>1</v>
      </c>
      <c r="O225" s="3">
        <v>1</v>
      </c>
      <c r="P225" s="3">
        <v>2</v>
      </c>
      <c r="Q225" t="str" cm="1">
        <f t="array" ref="Q225">_xlfn.IFS(F225&lt;=12,"morning",F225&lt;=18,"afternoon",F225&lt;=24,"night")</f>
        <v>morning</v>
      </c>
      <c r="R225" t="str">
        <f t="shared" si="7"/>
        <v>Monday</v>
      </c>
    </row>
    <row r="226" spans="1:18" x14ac:dyDescent="0.3">
      <c r="A226" s="3">
        <v>835</v>
      </c>
      <c r="B226" s="4">
        <v>40581</v>
      </c>
      <c r="C226" s="3">
        <v>1</v>
      </c>
      <c r="D226" s="3">
        <v>0</v>
      </c>
      <c r="E226" s="3">
        <v>2</v>
      </c>
      <c r="F226" s="3">
        <v>5</v>
      </c>
      <c r="G226" s="3" t="b">
        <v>0</v>
      </c>
      <c r="H226" s="3">
        <v>1</v>
      </c>
      <c r="I226" s="3">
        <v>1</v>
      </c>
      <c r="J226" s="3">
        <v>0.2</v>
      </c>
      <c r="K226" s="3">
        <v>0.2576</v>
      </c>
      <c r="L226" s="3">
        <v>0.86</v>
      </c>
      <c r="M226" s="3">
        <v>0</v>
      </c>
      <c r="N226" s="3">
        <v>1</v>
      </c>
      <c r="O226" s="3">
        <v>9</v>
      </c>
      <c r="P226" s="3">
        <v>10</v>
      </c>
      <c r="Q226" t="str" cm="1">
        <f t="array" ref="Q226">_xlfn.IFS(F226&lt;=12,"morning",F226&lt;=18,"afternoon",F226&lt;=24,"night")</f>
        <v>morning</v>
      </c>
      <c r="R226" t="str">
        <f t="shared" si="7"/>
        <v>Monday</v>
      </c>
    </row>
    <row r="227" spans="1:18" x14ac:dyDescent="0.3">
      <c r="A227" s="3">
        <v>836</v>
      </c>
      <c r="B227" s="4">
        <v>40581</v>
      </c>
      <c r="C227" s="3">
        <v>1</v>
      </c>
      <c r="D227" s="3">
        <v>0</v>
      </c>
      <c r="E227" s="3">
        <v>2</v>
      </c>
      <c r="F227" s="3">
        <v>6</v>
      </c>
      <c r="G227" s="3" t="b">
        <v>0</v>
      </c>
      <c r="H227" s="3">
        <v>1</v>
      </c>
      <c r="I227" s="3">
        <v>1</v>
      </c>
      <c r="J227" s="3">
        <v>0.18</v>
      </c>
      <c r="K227" s="3">
        <v>0.2424</v>
      </c>
      <c r="L227" s="3">
        <v>0.93</v>
      </c>
      <c r="M227" s="3">
        <v>0</v>
      </c>
      <c r="N227" s="3">
        <v>1</v>
      </c>
      <c r="O227" s="3">
        <v>29</v>
      </c>
      <c r="P227" s="3">
        <v>30</v>
      </c>
      <c r="Q227" t="str" cm="1">
        <f t="array" ref="Q227">_xlfn.IFS(F227&lt;=12,"morning",F227&lt;=18,"afternoon",F227&lt;=24,"night")</f>
        <v>morning</v>
      </c>
      <c r="R227" t="str">
        <f t="shared" si="7"/>
        <v>Monday</v>
      </c>
    </row>
    <row r="228" spans="1:18" x14ac:dyDescent="0.3">
      <c r="A228" s="3">
        <v>837</v>
      </c>
      <c r="B228" s="4">
        <v>40581</v>
      </c>
      <c r="C228" s="3">
        <v>1</v>
      </c>
      <c r="D228" s="3">
        <v>0</v>
      </c>
      <c r="E228" s="3">
        <v>2</v>
      </c>
      <c r="F228" s="3">
        <v>7</v>
      </c>
      <c r="G228" s="3" t="b">
        <v>0</v>
      </c>
      <c r="H228" s="3">
        <v>1</v>
      </c>
      <c r="I228" s="3">
        <v>1</v>
      </c>
      <c r="J228" s="3">
        <v>0.18</v>
      </c>
      <c r="K228" s="3">
        <v>0.2424</v>
      </c>
      <c r="L228" s="3">
        <v>0.86</v>
      </c>
      <c r="M228" s="3">
        <v>0</v>
      </c>
      <c r="N228" s="3">
        <v>6</v>
      </c>
      <c r="O228" s="3">
        <v>89</v>
      </c>
      <c r="P228" s="3">
        <v>95</v>
      </c>
      <c r="Q228" t="str" cm="1">
        <f t="array" ref="Q228">_xlfn.IFS(F228&lt;=12,"morning",F228&lt;=18,"afternoon",F228&lt;=24,"night")</f>
        <v>morning</v>
      </c>
      <c r="R228" t="str">
        <f t="shared" si="7"/>
        <v>Monday</v>
      </c>
    </row>
    <row r="229" spans="1:18" x14ac:dyDescent="0.3">
      <c r="A229" s="3">
        <v>838</v>
      </c>
      <c r="B229" s="4">
        <v>40581</v>
      </c>
      <c r="C229" s="3">
        <v>1</v>
      </c>
      <c r="D229" s="3">
        <v>0</v>
      </c>
      <c r="E229" s="3">
        <v>2</v>
      </c>
      <c r="F229" s="3">
        <v>8</v>
      </c>
      <c r="G229" s="3" t="b">
        <v>0</v>
      </c>
      <c r="H229" s="3">
        <v>1</v>
      </c>
      <c r="I229" s="3">
        <v>2</v>
      </c>
      <c r="J229" s="3">
        <v>0.16</v>
      </c>
      <c r="K229" s="3">
        <v>0.2273</v>
      </c>
      <c r="L229" s="3">
        <v>1</v>
      </c>
      <c r="M229" s="3">
        <v>0</v>
      </c>
      <c r="N229" s="3">
        <v>7</v>
      </c>
      <c r="O229" s="3">
        <v>223</v>
      </c>
      <c r="P229" s="3">
        <v>230</v>
      </c>
      <c r="Q229" t="str" cm="1">
        <f t="array" ref="Q229">_xlfn.IFS(F229&lt;=12,"morning",F229&lt;=18,"afternoon",F229&lt;=24,"night")</f>
        <v>morning</v>
      </c>
      <c r="R229" t="str">
        <f t="shared" si="7"/>
        <v>Monday</v>
      </c>
    </row>
    <row r="230" spans="1:18" x14ac:dyDescent="0.3">
      <c r="A230" s="3">
        <v>839</v>
      </c>
      <c r="B230" s="4">
        <v>40581</v>
      </c>
      <c r="C230" s="3">
        <v>1</v>
      </c>
      <c r="D230" s="3">
        <v>0</v>
      </c>
      <c r="E230" s="3">
        <v>2</v>
      </c>
      <c r="F230" s="3">
        <v>9</v>
      </c>
      <c r="G230" s="3" t="b">
        <v>0</v>
      </c>
      <c r="H230" s="3">
        <v>1</v>
      </c>
      <c r="I230" s="3">
        <v>1</v>
      </c>
      <c r="J230" s="3">
        <v>0.22</v>
      </c>
      <c r="K230" s="3">
        <v>0.2727</v>
      </c>
      <c r="L230" s="3">
        <v>0.8</v>
      </c>
      <c r="M230" s="3">
        <v>0</v>
      </c>
      <c r="N230" s="3">
        <v>3</v>
      </c>
      <c r="O230" s="3">
        <v>115</v>
      </c>
      <c r="P230" s="3">
        <v>118</v>
      </c>
      <c r="Q230" t="str" cm="1">
        <f t="array" ref="Q230">_xlfn.IFS(F230&lt;=12,"morning",F230&lt;=18,"afternoon",F230&lt;=24,"night")</f>
        <v>morning</v>
      </c>
      <c r="R230" t="str">
        <f t="shared" si="7"/>
        <v>Monday</v>
      </c>
    </row>
    <row r="231" spans="1:18" x14ac:dyDescent="0.3">
      <c r="A231" s="3">
        <v>840</v>
      </c>
      <c r="B231" s="4">
        <v>40581</v>
      </c>
      <c r="C231" s="3">
        <v>1</v>
      </c>
      <c r="D231" s="3">
        <v>0</v>
      </c>
      <c r="E231" s="3">
        <v>2</v>
      </c>
      <c r="F231" s="3">
        <v>10</v>
      </c>
      <c r="G231" s="3" t="b">
        <v>0</v>
      </c>
      <c r="H231" s="3">
        <v>1</v>
      </c>
      <c r="I231" s="3">
        <v>1</v>
      </c>
      <c r="J231" s="3">
        <v>0.24</v>
      </c>
      <c r="K231" s="3">
        <v>0.2576</v>
      </c>
      <c r="L231" s="3">
        <v>0.75</v>
      </c>
      <c r="M231" s="3">
        <v>0.1045</v>
      </c>
      <c r="N231" s="3">
        <v>6</v>
      </c>
      <c r="O231" s="3">
        <v>49</v>
      </c>
      <c r="P231" s="3">
        <v>55</v>
      </c>
      <c r="Q231" t="str" cm="1">
        <f t="array" ref="Q231">_xlfn.IFS(F231&lt;=12,"morning",F231&lt;=18,"afternoon",F231&lt;=24,"night")</f>
        <v>morning</v>
      </c>
      <c r="R231" t="str">
        <f t="shared" si="7"/>
        <v>Monday</v>
      </c>
    </row>
    <row r="232" spans="1:18" x14ac:dyDescent="0.3">
      <c r="A232" s="3">
        <v>841</v>
      </c>
      <c r="B232" s="4">
        <v>40581</v>
      </c>
      <c r="C232" s="3">
        <v>1</v>
      </c>
      <c r="D232" s="3">
        <v>0</v>
      </c>
      <c r="E232" s="3">
        <v>2</v>
      </c>
      <c r="F232" s="3">
        <v>11</v>
      </c>
      <c r="G232" s="3" t="b">
        <v>0</v>
      </c>
      <c r="H232" s="3">
        <v>1</v>
      </c>
      <c r="I232" s="3">
        <v>1</v>
      </c>
      <c r="J232" s="3">
        <v>0.3</v>
      </c>
      <c r="K232" s="3">
        <v>0.31819999999999998</v>
      </c>
      <c r="L232" s="3">
        <v>0.65</v>
      </c>
      <c r="M232" s="3">
        <v>8.9599999999999999E-2</v>
      </c>
      <c r="N232" s="3">
        <v>11</v>
      </c>
      <c r="O232" s="3">
        <v>36</v>
      </c>
      <c r="P232" s="3">
        <v>47</v>
      </c>
      <c r="Q232" t="str" cm="1">
        <f t="array" ref="Q232">_xlfn.IFS(F232&lt;=12,"morning",F232&lt;=18,"afternoon",F232&lt;=24,"night")</f>
        <v>morning</v>
      </c>
      <c r="R232" t="str">
        <f t="shared" si="7"/>
        <v>Monday</v>
      </c>
    </row>
    <row r="233" spans="1:18" x14ac:dyDescent="0.3">
      <c r="A233" s="3">
        <v>842</v>
      </c>
      <c r="B233" s="4">
        <v>40581</v>
      </c>
      <c r="C233" s="3">
        <v>1</v>
      </c>
      <c r="D233" s="3">
        <v>0</v>
      </c>
      <c r="E233" s="3">
        <v>2</v>
      </c>
      <c r="F233" s="3">
        <v>12</v>
      </c>
      <c r="G233" s="3" t="b">
        <v>0</v>
      </c>
      <c r="H233" s="3">
        <v>1</v>
      </c>
      <c r="I233" s="3">
        <v>2</v>
      </c>
      <c r="J233" s="3">
        <v>0.32</v>
      </c>
      <c r="K233" s="3">
        <v>0.34849999999999998</v>
      </c>
      <c r="L233" s="3">
        <v>0.62</v>
      </c>
      <c r="M233" s="3">
        <v>0</v>
      </c>
      <c r="N233" s="3">
        <v>7</v>
      </c>
      <c r="O233" s="3">
        <v>59</v>
      </c>
      <c r="P233" s="3">
        <v>66</v>
      </c>
      <c r="Q233" t="str" cm="1">
        <f t="array" ref="Q233">_xlfn.IFS(F233&lt;=12,"morning",F233&lt;=18,"afternoon",F233&lt;=24,"night")</f>
        <v>morning</v>
      </c>
      <c r="R233" t="str">
        <f t="shared" si="7"/>
        <v>Monday</v>
      </c>
    </row>
    <row r="234" spans="1:18" x14ac:dyDescent="0.3">
      <c r="A234" s="3">
        <v>843</v>
      </c>
      <c r="B234" s="4">
        <v>40581</v>
      </c>
      <c r="C234" s="3">
        <v>1</v>
      </c>
      <c r="D234" s="3">
        <v>0</v>
      </c>
      <c r="E234" s="3">
        <v>2</v>
      </c>
      <c r="F234" s="3">
        <v>13</v>
      </c>
      <c r="G234" s="3" t="b">
        <v>0</v>
      </c>
      <c r="H234" s="3">
        <v>1</v>
      </c>
      <c r="I234" s="3">
        <v>2</v>
      </c>
      <c r="J234" s="3">
        <v>0.36</v>
      </c>
      <c r="K234" s="3">
        <v>0.36359999999999998</v>
      </c>
      <c r="L234" s="3">
        <v>0.56999999999999995</v>
      </c>
      <c r="M234" s="3">
        <v>8.9599999999999999E-2</v>
      </c>
      <c r="N234" s="3">
        <v>10</v>
      </c>
      <c r="O234" s="3">
        <v>54</v>
      </c>
      <c r="P234" s="3">
        <v>64</v>
      </c>
      <c r="Q234" t="str" cm="1">
        <f t="array" ref="Q234">_xlfn.IFS(F234&lt;=12,"morning",F234&lt;=18,"afternoon",F234&lt;=24,"night")</f>
        <v>afternoon</v>
      </c>
      <c r="R234" t="str">
        <f t="shared" si="7"/>
        <v>Monday</v>
      </c>
    </row>
    <row r="235" spans="1:18" x14ac:dyDescent="0.3">
      <c r="A235" s="3">
        <v>844</v>
      </c>
      <c r="B235" s="4">
        <v>40581</v>
      </c>
      <c r="C235" s="3">
        <v>1</v>
      </c>
      <c r="D235" s="3">
        <v>0</v>
      </c>
      <c r="E235" s="3">
        <v>2</v>
      </c>
      <c r="F235" s="3">
        <v>14</v>
      </c>
      <c r="G235" s="3" t="b">
        <v>0</v>
      </c>
      <c r="H235" s="3">
        <v>1</v>
      </c>
      <c r="I235" s="3">
        <v>2</v>
      </c>
      <c r="J235" s="3">
        <v>0.36</v>
      </c>
      <c r="K235" s="3">
        <v>0.36359999999999998</v>
      </c>
      <c r="L235" s="3">
        <v>0.56999999999999995</v>
      </c>
      <c r="M235" s="3">
        <v>8.9599999999999999E-2</v>
      </c>
      <c r="N235" s="3">
        <v>8</v>
      </c>
      <c r="O235" s="3">
        <v>52</v>
      </c>
      <c r="P235" s="3">
        <v>60</v>
      </c>
      <c r="Q235" t="str" cm="1">
        <f t="array" ref="Q235">_xlfn.IFS(F235&lt;=12,"morning",F235&lt;=18,"afternoon",F235&lt;=24,"night")</f>
        <v>afternoon</v>
      </c>
      <c r="R235" t="str">
        <f t="shared" si="7"/>
        <v>Monday</v>
      </c>
    </row>
    <row r="236" spans="1:18" x14ac:dyDescent="0.3">
      <c r="A236" s="3">
        <v>845</v>
      </c>
      <c r="B236" s="4">
        <v>40581</v>
      </c>
      <c r="C236" s="3">
        <v>1</v>
      </c>
      <c r="D236" s="3">
        <v>0</v>
      </c>
      <c r="E236" s="3">
        <v>2</v>
      </c>
      <c r="F236" s="3">
        <v>15</v>
      </c>
      <c r="G236" s="3" t="b">
        <v>0</v>
      </c>
      <c r="H236" s="3">
        <v>1</v>
      </c>
      <c r="I236" s="3">
        <v>2</v>
      </c>
      <c r="J236" s="3">
        <v>0.38</v>
      </c>
      <c r="K236" s="3">
        <v>0.39389999999999997</v>
      </c>
      <c r="L236" s="3">
        <v>0.54</v>
      </c>
      <c r="M236" s="3">
        <v>8.9599999999999999E-2</v>
      </c>
      <c r="N236" s="3">
        <v>4</v>
      </c>
      <c r="O236" s="3">
        <v>46</v>
      </c>
      <c r="P236" s="3">
        <v>50</v>
      </c>
      <c r="Q236" t="str" cm="1">
        <f t="array" ref="Q236">_xlfn.IFS(F236&lt;=12,"morning",F236&lt;=18,"afternoon",F236&lt;=24,"night")</f>
        <v>afternoon</v>
      </c>
      <c r="R236" t="str">
        <f t="shared" si="7"/>
        <v>Monday</v>
      </c>
    </row>
    <row r="237" spans="1:18" x14ac:dyDescent="0.3">
      <c r="A237" s="3">
        <v>846</v>
      </c>
      <c r="B237" s="4">
        <v>40581</v>
      </c>
      <c r="C237" s="3">
        <v>1</v>
      </c>
      <c r="D237" s="3">
        <v>0</v>
      </c>
      <c r="E237" s="3">
        <v>2</v>
      </c>
      <c r="F237" s="3">
        <v>16</v>
      </c>
      <c r="G237" s="3" t="b">
        <v>0</v>
      </c>
      <c r="H237" s="3">
        <v>1</v>
      </c>
      <c r="I237" s="3">
        <v>2</v>
      </c>
      <c r="J237" s="3">
        <v>0.36</v>
      </c>
      <c r="K237" s="3">
        <v>0.34849999999999998</v>
      </c>
      <c r="L237" s="3">
        <v>0.56999999999999995</v>
      </c>
      <c r="M237" s="3">
        <v>0.1343</v>
      </c>
      <c r="N237" s="3">
        <v>16</v>
      </c>
      <c r="O237" s="3">
        <v>98</v>
      </c>
      <c r="P237" s="3">
        <v>114</v>
      </c>
      <c r="Q237" t="str" cm="1">
        <f t="array" ref="Q237">_xlfn.IFS(F237&lt;=12,"morning",F237&lt;=18,"afternoon",F237&lt;=24,"night")</f>
        <v>afternoon</v>
      </c>
      <c r="R237" t="str">
        <f t="shared" si="7"/>
        <v>Monday</v>
      </c>
    </row>
    <row r="238" spans="1:18" x14ac:dyDescent="0.3">
      <c r="A238" s="3">
        <v>847</v>
      </c>
      <c r="B238" s="4">
        <v>40581</v>
      </c>
      <c r="C238" s="3">
        <v>1</v>
      </c>
      <c r="D238" s="3">
        <v>0</v>
      </c>
      <c r="E238" s="3">
        <v>2</v>
      </c>
      <c r="F238" s="3">
        <v>17</v>
      </c>
      <c r="G238" s="3" t="b">
        <v>0</v>
      </c>
      <c r="H238" s="3">
        <v>1</v>
      </c>
      <c r="I238" s="3">
        <v>2</v>
      </c>
      <c r="J238" s="3">
        <v>0.32</v>
      </c>
      <c r="K238" s="3">
        <v>0.31819999999999998</v>
      </c>
      <c r="L238" s="3">
        <v>0.7</v>
      </c>
      <c r="M238" s="3">
        <v>0.16420000000000001</v>
      </c>
      <c r="N238" s="3">
        <v>9</v>
      </c>
      <c r="O238" s="3">
        <v>207</v>
      </c>
      <c r="P238" s="3">
        <v>216</v>
      </c>
      <c r="Q238" t="str" cm="1">
        <f t="array" ref="Q238">_xlfn.IFS(F238&lt;=12,"morning",F238&lt;=18,"afternoon",F238&lt;=24,"night")</f>
        <v>afternoon</v>
      </c>
      <c r="R238" t="str">
        <f t="shared" si="7"/>
        <v>Monday</v>
      </c>
    </row>
    <row r="239" spans="1:18" x14ac:dyDescent="0.3">
      <c r="A239" s="3">
        <v>848</v>
      </c>
      <c r="B239" s="4">
        <v>40581</v>
      </c>
      <c r="C239" s="3">
        <v>1</v>
      </c>
      <c r="D239" s="3">
        <v>0</v>
      </c>
      <c r="E239" s="3">
        <v>2</v>
      </c>
      <c r="F239" s="3">
        <v>18</v>
      </c>
      <c r="G239" s="3" t="b">
        <v>0</v>
      </c>
      <c r="H239" s="3">
        <v>1</v>
      </c>
      <c r="I239" s="3">
        <v>2</v>
      </c>
      <c r="J239" s="3">
        <v>0.34</v>
      </c>
      <c r="K239" s="3">
        <v>0.33329999999999999</v>
      </c>
      <c r="L239" s="3">
        <v>0.66</v>
      </c>
      <c r="M239" s="3">
        <v>0.1343</v>
      </c>
      <c r="N239" s="3">
        <v>5</v>
      </c>
      <c r="O239" s="3">
        <v>170</v>
      </c>
      <c r="P239" s="3">
        <v>175</v>
      </c>
      <c r="Q239" t="str" cm="1">
        <f t="array" ref="Q239">_xlfn.IFS(F239&lt;=12,"morning",F239&lt;=18,"afternoon",F239&lt;=24,"night")</f>
        <v>afternoon</v>
      </c>
      <c r="R239" t="str">
        <f t="shared" si="7"/>
        <v>Monday</v>
      </c>
    </row>
    <row r="240" spans="1:18" x14ac:dyDescent="0.3">
      <c r="A240" s="3">
        <v>849</v>
      </c>
      <c r="B240" s="4">
        <v>40581</v>
      </c>
      <c r="C240" s="3">
        <v>1</v>
      </c>
      <c r="D240" s="3">
        <v>0</v>
      </c>
      <c r="E240" s="3">
        <v>2</v>
      </c>
      <c r="F240" s="3">
        <v>19</v>
      </c>
      <c r="G240" s="3" t="b">
        <v>0</v>
      </c>
      <c r="H240" s="3">
        <v>1</v>
      </c>
      <c r="I240" s="3">
        <v>2</v>
      </c>
      <c r="J240" s="3">
        <v>0.32</v>
      </c>
      <c r="K240" s="3">
        <v>0.34849999999999998</v>
      </c>
      <c r="L240" s="3">
        <v>0.7</v>
      </c>
      <c r="M240" s="3">
        <v>0</v>
      </c>
      <c r="N240" s="3">
        <v>5</v>
      </c>
      <c r="O240" s="3">
        <v>123</v>
      </c>
      <c r="P240" s="3">
        <v>128</v>
      </c>
      <c r="Q240" t="str" cm="1">
        <f t="array" ref="Q240">_xlfn.IFS(F240&lt;=12,"morning",F240&lt;=18,"afternoon",F240&lt;=24,"night")</f>
        <v>night</v>
      </c>
      <c r="R240" t="str">
        <f t="shared" si="7"/>
        <v>Monday</v>
      </c>
    </row>
    <row r="241" spans="1:18" x14ac:dyDescent="0.3">
      <c r="A241" s="3">
        <v>850</v>
      </c>
      <c r="B241" s="4">
        <v>40581</v>
      </c>
      <c r="C241" s="3">
        <v>1</v>
      </c>
      <c r="D241" s="3">
        <v>0</v>
      </c>
      <c r="E241" s="3">
        <v>2</v>
      </c>
      <c r="F241" s="3">
        <v>20</v>
      </c>
      <c r="G241" s="3" t="b">
        <v>0</v>
      </c>
      <c r="H241" s="3">
        <v>1</v>
      </c>
      <c r="I241" s="3">
        <v>2</v>
      </c>
      <c r="J241" s="3">
        <v>0.32</v>
      </c>
      <c r="K241" s="3">
        <v>0.33329999999999999</v>
      </c>
      <c r="L241" s="3">
        <v>0.7</v>
      </c>
      <c r="M241" s="3">
        <v>0.1045</v>
      </c>
      <c r="N241" s="3">
        <v>6</v>
      </c>
      <c r="O241" s="3">
        <v>82</v>
      </c>
      <c r="P241" s="3">
        <v>88</v>
      </c>
      <c r="Q241" t="str" cm="1">
        <f t="array" ref="Q241">_xlfn.IFS(F241&lt;=12,"morning",F241&lt;=18,"afternoon",F241&lt;=24,"night")</f>
        <v>night</v>
      </c>
      <c r="R241" t="str">
        <f t="shared" si="7"/>
        <v>Monday</v>
      </c>
    </row>
    <row r="242" spans="1:18" x14ac:dyDescent="0.3">
      <c r="A242" s="3">
        <v>851</v>
      </c>
      <c r="B242" s="4">
        <v>40581</v>
      </c>
      <c r="C242" s="3">
        <v>1</v>
      </c>
      <c r="D242" s="3">
        <v>0</v>
      </c>
      <c r="E242" s="3">
        <v>2</v>
      </c>
      <c r="F242" s="3">
        <v>21</v>
      </c>
      <c r="G242" s="3" t="b">
        <v>0</v>
      </c>
      <c r="H242" s="3">
        <v>1</v>
      </c>
      <c r="I242" s="3">
        <v>1</v>
      </c>
      <c r="J242" s="3">
        <v>0.32</v>
      </c>
      <c r="K242" s="3">
        <v>0.34849999999999998</v>
      </c>
      <c r="L242" s="3">
        <v>0.7</v>
      </c>
      <c r="M242" s="3">
        <v>0</v>
      </c>
      <c r="N242" s="3">
        <v>3</v>
      </c>
      <c r="O242" s="3">
        <v>75</v>
      </c>
      <c r="P242" s="3">
        <v>78</v>
      </c>
      <c r="Q242" t="str" cm="1">
        <f t="array" ref="Q242">_xlfn.IFS(F242&lt;=12,"morning",F242&lt;=18,"afternoon",F242&lt;=24,"night")</f>
        <v>night</v>
      </c>
      <c r="R242" t="str">
        <f t="shared" si="7"/>
        <v>Monday</v>
      </c>
    </row>
    <row r="243" spans="1:18" x14ac:dyDescent="0.3">
      <c r="A243" s="3">
        <v>852</v>
      </c>
      <c r="B243" s="4">
        <v>40581</v>
      </c>
      <c r="C243" s="3">
        <v>1</v>
      </c>
      <c r="D243" s="3">
        <v>0</v>
      </c>
      <c r="E243" s="3">
        <v>2</v>
      </c>
      <c r="F243" s="3">
        <v>22</v>
      </c>
      <c r="G243" s="3" t="b">
        <v>0</v>
      </c>
      <c r="H243" s="3">
        <v>1</v>
      </c>
      <c r="I243" s="3">
        <v>1</v>
      </c>
      <c r="J243" s="3">
        <v>0.28000000000000003</v>
      </c>
      <c r="K243" s="3">
        <v>0.30299999999999999</v>
      </c>
      <c r="L243" s="3">
        <v>0.81</v>
      </c>
      <c r="M243" s="3">
        <v>8.9599999999999999E-2</v>
      </c>
      <c r="N243" s="3">
        <v>3</v>
      </c>
      <c r="O243" s="3">
        <v>34</v>
      </c>
      <c r="P243" s="3">
        <v>37</v>
      </c>
      <c r="Q243" t="str" cm="1">
        <f t="array" ref="Q243">_xlfn.IFS(F243&lt;=12,"morning",F243&lt;=18,"afternoon",F243&lt;=24,"night")</f>
        <v>night</v>
      </c>
      <c r="R243" t="str">
        <f t="shared" si="7"/>
        <v>Monday</v>
      </c>
    </row>
    <row r="244" spans="1:18" x14ac:dyDescent="0.3">
      <c r="A244" s="3">
        <v>853</v>
      </c>
      <c r="B244" s="4">
        <v>40581</v>
      </c>
      <c r="C244" s="3">
        <v>1</v>
      </c>
      <c r="D244" s="3">
        <v>0</v>
      </c>
      <c r="E244" s="3">
        <v>2</v>
      </c>
      <c r="F244" s="3">
        <v>23</v>
      </c>
      <c r="G244" s="3" t="b">
        <v>0</v>
      </c>
      <c r="H244" s="3">
        <v>1</v>
      </c>
      <c r="I244" s="3">
        <v>2</v>
      </c>
      <c r="J244" s="3">
        <v>0.3</v>
      </c>
      <c r="K244" s="3">
        <v>0.33329999999999999</v>
      </c>
      <c r="L244" s="3">
        <v>0.81</v>
      </c>
      <c r="M244" s="3">
        <v>0</v>
      </c>
      <c r="N244" s="3">
        <v>6</v>
      </c>
      <c r="O244" s="3">
        <v>19</v>
      </c>
      <c r="P244" s="3">
        <v>25</v>
      </c>
      <c r="Q244" t="str" cm="1">
        <f t="array" ref="Q244">_xlfn.IFS(F244&lt;=12,"morning",F244&lt;=18,"afternoon",F244&lt;=24,"night")</f>
        <v>night</v>
      </c>
      <c r="R244" t="str">
        <f t="shared" si="7"/>
        <v>Monday</v>
      </c>
    </row>
    <row r="245" spans="1:18" x14ac:dyDescent="0.3">
      <c r="A245" s="3">
        <v>854</v>
      </c>
      <c r="B245" s="4">
        <v>40582</v>
      </c>
      <c r="C245" s="3">
        <v>1</v>
      </c>
      <c r="D245" s="3">
        <v>0</v>
      </c>
      <c r="E245" s="3">
        <v>2</v>
      </c>
      <c r="F245" s="3">
        <v>0</v>
      </c>
      <c r="G245" s="3" t="b">
        <v>0</v>
      </c>
      <c r="H245" s="3">
        <v>2</v>
      </c>
      <c r="I245" s="3">
        <v>2</v>
      </c>
      <c r="J245" s="3">
        <v>0.28000000000000003</v>
      </c>
      <c r="K245" s="3">
        <v>0.31819999999999998</v>
      </c>
      <c r="L245" s="3">
        <v>0.87</v>
      </c>
      <c r="M245" s="3">
        <v>0</v>
      </c>
      <c r="N245" s="3">
        <v>4</v>
      </c>
      <c r="O245" s="3">
        <v>6</v>
      </c>
      <c r="P245" s="3">
        <v>10</v>
      </c>
      <c r="Q245" t="str" cm="1">
        <f t="array" ref="Q245">_xlfn.IFS(F245&lt;=12,"morning",F245&lt;=18,"afternoon",F245&lt;=24,"night")</f>
        <v>morning</v>
      </c>
      <c r="R245" t="str">
        <f t="shared" si="7"/>
        <v>Tuesday</v>
      </c>
    </row>
    <row r="246" spans="1:18" x14ac:dyDescent="0.3">
      <c r="A246" s="3">
        <v>855</v>
      </c>
      <c r="B246" s="4">
        <v>40582</v>
      </c>
      <c r="C246" s="3">
        <v>1</v>
      </c>
      <c r="D246" s="3">
        <v>0</v>
      </c>
      <c r="E246" s="3">
        <v>2</v>
      </c>
      <c r="F246" s="3">
        <v>1</v>
      </c>
      <c r="G246" s="3" t="b">
        <v>0</v>
      </c>
      <c r="H246" s="3">
        <v>2</v>
      </c>
      <c r="I246" s="3">
        <v>2</v>
      </c>
      <c r="J246" s="3">
        <v>0.28000000000000003</v>
      </c>
      <c r="K246" s="3">
        <v>0.31819999999999998</v>
      </c>
      <c r="L246" s="3">
        <v>0.87</v>
      </c>
      <c r="M246" s="3">
        <v>0</v>
      </c>
      <c r="N246" s="3">
        <v>0</v>
      </c>
      <c r="O246" s="3">
        <v>4</v>
      </c>
      <c r="P246" s="3">
        <v>4</v>
      </c>
      <c r="Q246" t="str" cm="1">
        <f t="array" ref="Q246">_xlfn.IFS(F246&lt;=12,"morning",F246&lt;=18,"afternoon",F246&lt;=24,"night")</f>
        <v>morning</v>
      </c>
      <c r="R246" t="str">
        <f t="shared" si="7"/>
        <v>Tuesday</v>
      </c>
    </row>
    <row r="247" spans="1:18" x14ac:dyDescent="0.3">
      <c r="A247" s="3">
        <v>856</v>
      </c>
      <c r="B247" s="4">
        <v>40582</v>
      </c>
      <c r="C247" s="3">
        <v>1</v>
      </c>
      <c r="D247" s="3">
        <v>0</v>
      </c>
      <c r="E247" s="3">
        <v>2</v>
      </c>
      <c r="F247" s="3">
        <v>2</v>
      </c>
      <c r="G247" s="3" t="b">
        <v>0</v>
      </c>
      <c r="H247" s="3">
        <v>2</v>
      </c>
      <c r="I247" s="3">
        <v>2</v>
      </c>
      <c r="J247" s="3">
        <v>0.26</v>
      </c>
      <c r="K247" s="3">
        <v>0.2727</v>
      </c>
      <c r="L247" s="3">
        <v>0.93</v>
      </c>
      <c r="M247" s="3">
        <v>0.1045</v>
      </c>
      <c r="N247" s="3">
        <v>1</v>
      </c>
      <c r="O247" s="3">
        <v>1</v>
      </c>
      <c r="P247" s="3">
        <v>2</v>
      </c>
      <c r="Q247" t="str" cm="1">
        <f t="array" ref="Q247">_xlfn.IFS(F247&lt;=12,"morning",F247&lt;=18,"afternoon",F247&lt;=24,"night")</f>
        <v>morning</v>
      </c>
      <c r="R247" t="str">
        <f t="shared" si="7"/>
        <v>Tuesday</v>
      </c>
    </row>
    <row r="248" spans="1:18" x14ac:dyDescent="0.3">
      <c r="A248" s="3">
        <v>857</v>
      </c>
      <c r="B248" s="4">
        <v>40582</v>
      </c>
      <c r="C248" s="3">
        <v>1</v>
      </c>
      <c r="D248" s="3">
        <v>0</v>
      </c>
      <c r="E248" s="3">
        <v>2</v>
      </c>
      <c r="F248" s="3">
        <v>3</v>
      </c>
      <c r="G248" s="3" t="b">
        <v>0</v>
      </c>
      <c r="H248" s="3">
        <v>2</v>
      </c>
      <c r="I248" s="3">
        <v>3</v>
      </c>
      <c r="J248" s="3">
        <v>0.28000000000000003</v>
      </c>
      <c r="K248" s="3">
        <v>0.2727</v>
      </c>
      <c r="L248" s="3">
        <v>0.93</v>
      </c>
      <c r="M248" s="3">
        <v>0.16420000000000001</v>
      </c>
      <c r="N248" s="3">
        <v>0</v>
      </c>
      <c r="O248" s="3">
        <v>1</v>
      </c>
      <c r="P248" s="3">
        <v>1</v>
      </c>
      <c r="Q248" t="str" cm="1">
        <f t="array" ref="Q248">_xlfn.IFS(F248&lt;=12,"morning",F248&lt;=18,"afternoon",F248&lt;=24,"night")</f>
        <v>morning</v>
      </c>
      <c r="R248" t="str">
        <f t="shared" si="7"/>
        <v>Tuesday</v>
      </c>
    </row>
    <row r="249" spans="1:18" x14ac:dyDescent="0.3">
      <c r="A249" s="3">
        <v>858</v>
      </c>
      <c r="B249" s="4">
        <v>40582</v>
      </c>
      <c r="C249" s="3">
        <v>1</v>
      </c>
      <c r="D249" s="3">
        <v>0</v>
      </c>
      <c r="E249" s="3">
        <v>2</v>
      </c>
      <c r="F249" s="3">
        <v>4</v>
      </c>
      <c r="G249" s="3" t="b">
        <v>0</v>
      </c>
      <c r="H249" s="3">
        <v>2</v>
      </c>
      <c r="I249" s="3">
        <v>1</v>
      </c>
      <c r="J249" s="3">
        <v>0.26</v>
      </c>
      <c r="K249" s="3">
        <v>0.2576</v>
      </c>
      <c r="L249" s="3">
        <v>0.93</v>
      </c>
      <c r="M249" s="3">
        <v>0.16420000000000001</v>
      </c>
      <c r="N249" s="3">
        <v>0</v>
      </c>
      <c r="O249" s="3">
        <v>3</v>
      </c>
      <c r="P249" s="3">
        <v>3</v>
      </c>
      <c r="Q249" t="str" cm="1">
        <f t="array" ref="Q249">_xlfn.IFS(F249&lt;=12,"morning",F249&lt;=18,"afternoon",F249&lt;=24,"night")</f>
        <v>morning</v>
      </c>
      <c r="R249" t="str">
        <f t="shared" si="7"/>
        <v>Tuesday</v>
      </c>
    </row>
    <row r="250" spans="1:18" x14ac:dyDescent="0.3">
      <c r="A250" s="3">
        <v>859</v>
      </c>
      <c r="B250" s="4">
        <v>40582</v>
      </c>
      <c r="C250" s="3">
        <v>1</v>
      </c>
      <c r="D250" s="3">
        <v>0</v>
      </c>
      <c r="E250" s="3">
        <v>2</v>
      </c>
      <c r="F250" s="3">
        <v>5</v>
      </c>
      <c r="G250" s="3" t="b">
        <v>0</v>
      </c>
      <c r="H250" s="3">
        <v>2</v>
      </c>
      <c r="I250" s="3">
        <v>1</v>
      </c>
      <c r="J250" s="3">
        <v>0.26</v>
      </c>
      <c r="K250" s="3">
        <v>0.2273</v>
      </c>
      <c r="L250" s="3">
        <v>0.81</v>
      </c>
      <c r="M250" s="3">
        <v>0.32840000000000003</v>
      </c>
      <c r="N250" s="3">
        <v>0</v>
      </c>
      <c r="O250" s="3">
        <v>2</v>
      </c>
      <c r="P250" s="3">
        <v>2</v>
      </c>
      <c r="Q250" t="str" cm="1">
        <f t="array" ref="Q250">_xlfn.IFS(F250&lt;=12,"morning",F250&lt;=18,"afternoon",F250&lt;=24,"night")</f>
        <v>morning</v>
      </c>
      <c r="R250" t="str">
        <f t="shared" si="7"/>
        <v>Tuesday</v>
      </c>
    </row>
    <row r="251" spans="1:18" x14ac:dyDescent="0.3">
      <c r="A251" s="3">
        <v>860</v>
      </c>
      <c r="B251" s="4">
        <v>40582</v>
      </c>
      <c r="C251" s="3">
        <v>1</v>
      </c>
      <c r="D251" s="3">
        <v>0</v>
      </c>
      <c r="E251" s="3">
        <v>2</v>
      </c>
      <c r="F251" s="3">
        <v>6</v>
      </c>
      <c r="G251" s="3" t="b">
        <v>0</v>
      </c>
      <c r="H251" s="3">
        <v>2</v>
      </c>
      <c r="I251" s="3">
        <v>1</v>
      </c>
      <c r="J251" s="3">
        <v>0.26</v>
      </c>
      <c r="K251" s="3">
        <v>0.2273</v>
      </c>
      <c r="L251" s="3">
        <v>0.7</v>
      </c>
      <c r="M251" s="3">
        <v>0.32840000000000003</v>
      </c>
      <c r="N251" s="3">
        <v>0</v>
      </c>
      <c r="O251" s="3">
        <v>39</v>
      </c>
      <c r="P251" s="3">
        <v>39</v>
      </c>
      <c r="Q251" t="str" cm="1">
        <f t="array" ref="Q251">_xlfn.IFS(F251&lt;=12,"morning",F251&lt;=18,"afternoon",F251&lt;=24,"night")</f>
        <v>morning</v>
      </c>
      <c r="R251" t="str">
        <f t="shared" si="7"/>
        <v>Tuesday</v>
      </c>
    </row>
    <row r="252" spans="1:18" x14ac:dyDescent="0.3">
      <c r="A252" s="3">
        <v>861</v>
      </c>
      <c r="B252" s="4">
        <v>40582</v>
      </c>
      <c r="C252" s="3">
        <v>1</v>
      </c>
      <c r="D252" s="3">
        <v>0</v>
      </c>
      <c r="E252" s="3">
        <v>2</v>
      </c>
      <c r="F252" s="3">
        <v>7</v>
      </c>
      <c r="G252" s="3" t="b">
        <v>0</v>
      </c>
      <c r="H252" s="3">
        <v>2</v>
      </c>
      <c r="I252" s="3">
        <v>1</v>
      </c>
      <c r="J252" s="3">
        <v>0.24</v>
      </c>
      <c r="K252" s="3">
        <v>0.19700000000000001</v>
      </c>
      <c r="L252" s="3">
        <v>0.65</v>
      </c>
      <c r="M252" s="3">
        <v>0.41789999999999999</v>
      </c>
      <c r="N252" s="3">
        <v>3</v>
      </c>
      <c r="O252" s="3">
        <v>97</v>
      </c>
      <c r="P252" s="3">
        <v>100</v>
      </c>
      <c r="Q252" t="str" cm="1">
        <f t="array" ref="Q252">_xlfn.IFS(F252&lt;=12,"morning",F252&lt;=18,"afternoon",F252&lt;=24,"night")</f>
        <v>morning</v>
      </c>
      <c r="R252" t="str">
        <f t="shared" si="7"/>
        <v>Tuesday</v>
      </c>
    </row>
    <row r="253" spans="1:18" x14ac:dyDescent="0.3">
      <c r="A253" s="3">
        <v>862</v>
      </c>
      <c r="B253" s="4">
        <v>40582</v>
      </c>
      <c r="C253" s="3">
        <v>1</v>
      </c>
      <c r="D253" s="3">
        <v>0</v>
      </c>
      <c r="E253" s="3">
        <v>2</v>
      </c>
      <c r="F253" s="3">
        <v>8</v>
      </c>
      <c r="G253" s="3" t="b">
        <v>0</v>
      </c>
      <c r="H253" s="3">
        <v>2</v>
      </c>
      <c r="I253" s="3">
        <v>1</v>
      </c>
      <c r="J253" s="3">
        <v>0.24</v>
      </c>
      <c r="K253" s="3">
        <v>0.19700000000000001</v>
      </c>
      <c r="L253" s="3">
        <v>0.56000000000000005</v>
      </c>
      <c r="M253" s="3">
        <v>0.49249999999999999</v>
      </c>
      <c r="N253" s="3">
        <v>7</v>
      </c>
      <c r="O253" s="3">
        <v>236</v>
      </c>
      <c r="P253" s="3">
        <v>243</v>
      </c>
      <c r="Q253" t="str" cm="1">
        <f t="array" ref="Q253">_xlfn.IFS(F253&lt;=12,"morning",F253&lt;=18,"afternoon",F253&lt;=24,"night")</f>
        <v>morning</v>
      </c>
      <c r="R253" t="str">
        <f t="shared" si="7"/>
        <v>Tuesday</v>
      </c>
    </row>
    <row r="254" spans="1:18" x14ac:dyDescent="0.3">
      <c r="A254" s="3">
        <v>863</v>
      </c>
      <c r="B254" s="4">
        <v>40582</v>
      </c>
      <c r="C254" s="3">
        <v>1</v>
      </c>
      <c r="D254" s="3">
        <v>0</v>
      </c>
      <c r="E254" s="3">
        <v>2</v>
      </c>
      <c r="F254" s="3">
        <v>9</v>
      </c>
      <c r="G254" s="3" t="b">
        <v>0</v>
      </c>
      <c r="H254" s="3">
        <v>2</v>
      </c>
      <c r="I254" s="3">
        <v>1</v>
      </c>
      <c r="J254" s="3">
        <v>0.24</v>
      </c>
      <c r="K254" s="3">
        <v>0.19700000000000001</v>
      </c>
      <c r="L254" s="3">
        <v>0.52</v>
      </c>
      <c r="M254" s="3">
        <v>0.49249999999999999</v>
      </c>
      <c r="N254" s="3">
        <v>7</v>
      </c>
      <c r="O254" s="3">
        <v>128</v>
      </c>
      <c r="P254" s="3">
        <v>135</v>
      </c>
      <c r="Q254" t="str" cm="1">
        <f t="array" ref="Q254">_xlfn.IFS(F254&lt;=12,"morning",F254&lt;=18,"afternoon",F254&lt;=24,"night")</f>
        <v>morning</v>
      </c>
      <c r="R254" t="str">
        <f t="shared" si="7"/>
        <v>Tuesday</v>
      </c>
    </row>
    <row r="255" spans="1:18" x14ac:dyDescent="0.3">
      <c r="A255" s="3">
        <v>864</v>
      </c>
      <c r="B255" s="4">
        <v>40582</v>
      </c>
      <c r="C255" s="3">
        <v>1</v>
      </c>
      <c r="D255" s="3">
        <v>0</v>
      </c>
      <c r="E255" s="3">
        <v>2</v>
      </c>
      <c r="F255" s="3">
        <v>10</v>
      </c>
      <c r="G255" s="3" t="b">
        <v>0</v>
      </c>
      <c r="H255" s="3">
        <v>2</v>
      </c>
      <c r="I255" s="3">
        <v>1</v>
      </c>
      <c r="J255" s="3">
        <v>0.22</v>
      </c>
      <c r="K255" s="3">
        <v>0.18179999999999999</v>
      </c>
      <c r="L255" s="3">
        <v>0.47</v>
      </c>
      <c r="M255" s="3">
        <v>0.55220000000000002</v>
      </c>
      <c r="N255" s="3">
        <v>4</v>
      </c>
      <c r="O255" s="3">
        <v>44</v>
      </c>
      <c r="P255" s="3">
        <v>48</v>
      </c>
      <c r="Q255" t="str" cm="1">
        <f t="array" ref="Q255">_xlfn.IFS(F255&lt;=12,"morning",F255&lt;=18,"afternoon",F255&lt;=24,"night")</f>
        <v>morning</v>
      </c>
      <c r="R255" t="str">
        <f t="shared" si="7"/>
        <v>Tuesday</v>
      </c>
    </row>
    <row r="256" spans="1:18" x14ac:dyDescent="0.3">
      <c r="A256" s="3">
        <v>865</v>
      </c>
      <c r="B256" s="4">
        <v>40582</v>
      </c>
      <c r="C256" s="3">
        <v>1</v>
      </c>
      <c r="D256" s="3">
        <v>0</v>
      </c>
      <c r="E256" s="3">
        <v>2</v>
      </c>
      <c r="F256" s="3">
        <v>11</v>
      </c>
      <c r="G256" s="3" t="b">
        <v>0</v>
      </c>
      <c r="H256" s="3">
        <v>2</v>
      </c>
      <c r="I256" s="3">
        <v>1</v>
      </c>
      <c r="J256" s="3">
        <v>0.22</v>
      </c>
      <c r="K256" s="3">
        <v>0.18179999999999999</v>
      </c>
      <c r="L256" s="3">
        <v>0.47</v>
      </c>
      <c r="M256" s="3">
        <v>0.4627</v>
      </c>
      <c r="N256" s="3">
        <v>1</v>
      </c>
      <c r="O256" s="3">
        <v>49</v>
      </c>
      <c r="P256" s="3">
        <v>50</v>
      </c>
      <c r="Q256" t="str" cm="1">
        <f t="array" ref="Q256">_xlfn.IFS(F256&lt;=12,"morning",F256&lt;=18,"afternoon",F256&lt;=24,"night")</f>
        <v>morning</v>
      </c>
      <c r="R256" t="str">
        <f t="shared" si="7"/>
        <v>Tuesday</v>
      </c>
    </row>
    <row r="257" spans="1:18" x14ac:dyDescent="0.3">
      <c r="A257" s="3">
        <v>866</v>
      </c>
      <c r="B257" s="4">
        <v>40582</v>
      </c>
      <c r="C257" s="3">
        <v>1</v>
      </c>
      <c r="D257" s="3">
        <v>0</v>
      </c>
      <c r="E257" s="3">
        <v>2</v>
      </c>
      <c r="F257" s="3">
        <v>12</v>
      </c>
      <c r="G257" s="3" t="b">
        <v>0</v>
      </c>
      <c r="H257" s="3">
        <v>2</v>
      </c>
      <c r="I257" s="3">
        <v>1</v>
      </c>
      <c r="J257" s="3">
        <v>0.24</v>
      </c>
      <c r="K257" s="3">
        <v>0.19700000000000001</v>
      </c>
      <c r="L257" s="3">
        <v>0.38</v>
      </c>
      <c r="M257" s="3">
        <v>0.49249999999999999</v>
      </c>
      <c r="N257" s="3">
        <v>2</v>
      </c>
      <c r="O257" s="3">
        <v>63</v>
      </c>
      <c r="P257" s="3">
        <v>65</v>
      </c>
      <c r="Q257" t="str" cm="1">
        <f t="array" ref="Q257">_xlfn.IFS(F257&lt;=12,"morning",F257&lt;=18,"afternoon",F257&lt;=24,"night")</f>
        <v>morning</v>
      </c>
      <c r="R257" t="str">
        <f t="shared" si="7"/>
        <v>Tuesday</v>
      </c>
    </row>
    <row r="258" spans="1:18" x14ac:dyDescent="0.3">
      <c r="A258" s="3">
        <v>867</v>
      </c>
      <c r="B258" s="4">
        <v>40582</v>
      </c>
      <c r="C258" s="3">
        <v>1</v>
      </c>
      <c r="D258" s="3">
        <v>0</v>
      </c>
      <c r="E258" s="3">
        <v>2</v>
      </c>
      <c r="F258" s="3">
        <v>13</v>
      </c>
      <c r="G258" s="3" t="b">
        <v>0</v>
      </c>
      <c r="H258" s="3">
        <v>2</v>
      </c>
      <c r="I258" s="3">
        <v>2</v>
      </c>
      <c r="J258" s="3">
        <v>0.24</v>
      </c>
      <c r="K258" s="3">
        <v>0.19700000000000001</v>
      </c>
      <c r="L258" s="3">
        <v>0.32</v>
      </c>
      <c r="M258" s="3">
        <v>0.44779999999999998</v>
      </c>
      <c r="N258" s="3">
        <v>2</v>
      </c>
      <c r="O258" s="3">
        <v>48</v>
      </c>
      <c r="P258" s="3">
        <v>50</v>
      </c>
      <c r="Q258" t="str" cm="1">
        <f t="array" ref="Q258">_xlfn.IFS(F258&lt;=12,"morning",F258&lt;=18,"afternoon",F258&lt;=24,"night")</f>
        <v>afternoon</v>
      </c>
      <c r="R258" t="str">
        <f t="shared" ref="R258:R321" si="8">TEXT(B258,"dddd")</f>
        <v>Tuesday</v>
      </c>
    </row>
    <row r="259" spans="1:18" x14ac:dyDescent="0.3">
      <c r="A259" s="3">
        <v>868</v>
      </c>
      <c r="B259" s="4">
        <v>40582</v>
      </c>
      <c r="C259" s="3">
        <v>1</v>
      </c>
      <c r="D259" s="3">
        <v>0</v>
      </c>
      <c r="E259" s="3">
        <v>2</v>
      </c>
      <c r="F259" s="3">
        <v>14</v>
      </c>
      <c r="G259" s="3" t="b">
        <v>0</v>
      </c>
      <c r="H259" s="3">
        <v>2</v>
      </c>
      <c r="I259" s="3">
        <v>1</v>
      </c>
      <c r="J259" s="3">
        <v>0.22</v>
      </c>
      <c r="K259" s="3">
        <v>0.19700000000000001</v>
      </c>
      <c r="L259" s="3">
        <v>0.37</v>
      </c>
      <c r="M259" s="3">
        <v>0.41789999999999999</v>
      </c>
      <c r="N259" s="3">
        <v>3</v>
      </c>
      <c r="O259" s="3">
        <v>61</v>
      </c>
      <c r="P259" s="3">
        <v>64</v>
      </c>
      <c r="Q259" t="str" cm="1">
        <f t="array" ref="Q259">_xlfn.IFS(F259&lt;=12,"morning",F259&lt;=18,"afternoon",F259&lt;=24,"night")</f>
        <v>afternoon</v>
      </c>
      <c r="R259" t="str">
        <f t="shared" si="8"/>
        <v>Tuesday</v>
      </c>
    </row>
    <row r="260" spans="1:18" x14ac:dyDescent="0.3">
      <c r="A260" s="3">
        <v>869</v>
      </c>
      <c r="B260" s="4">
        <v>40582</v>
      </c>
      <c r="C260" s="3">
        <v>1</v>
      </c>
      <c r="D260" s="3">
        <v>0</v>
      </c>
      <c r="E260" s="3">
        <v>2</v>
      </c>
      <c r="F260" s="3">
        <v>15</v>
      </c>
      <c r="G260" s="3" t="b">
        <v>0</v>
      </c>
      <c r="H260" s="3">
        <v>2</v>
      </c>
      <c r="I260" s="3">
        <v>1</v>
      </c>
      <c r="J260" s="3">
        <v>0.22</v>
      </c>
      <c r="K260" s="3">
        <v>0.19700000000000001</v>
      </c>
      <c r="L260" s="3">
        <v>0.35</v>
      </c>
      <c r="M260" s="3">
        <v>0.3881</v>
      </c>
      <c r="N260" s="3">
        <v>6</v>
      </c>
      <c r="O260" s="3">
        <v>45</v>
      </c>
      <c r="P260" s="3">
        <v>51</v>
      </c>
      <c r="Q260" t="str" cm="1">
        <f t="array" ref="Q260">_xlfn.IFS(F260&lt;=12,"morning",F260&lt;=18,"afternoon",F260&lt;=24,"night")</f>
        <v>afternoon</v>
      </c>
      <c r="R260" t="str">
        <f t="shared" si="8"/>
        <v>Tuesday</v>
      </c>
    </row>
    <row r="261" spans="1:18" x14ac:dyDescent="0.3">
      <c r="A261" s="3">
        <v>870</v>
      </c>
      <c r="B261" s="4">
        <v>40582</v>
      </c>
      <c r="C261" s="3">
        <v>1</v>
      </c>
      <c r="D261" s="3">
        <v>0</v>
      </c>
      <c r="E261" s="3">
        <v>2</v>
      </c>
      <c r="F261" s="3">
        <v>16</v>
      </c>
      <c r="G261" s="3" t="b">
        <v>0</v>
      </c>
      <c r="H261" s="3">
        <v>2</v>
      </c>
      <c r="I261" s="3">
        <v>1</v>
      </c>
      <c r="J261" s="3">
        <v>0.22</v>
      </c>
      <c r="K261" s="3">
        <v>0.18179999999999999</v>
      </c>
      <c r="L261" s="3">
        <v>0.35</v>
      </c>
      <c r="M261" s="3">
        <v>0.52239999999999998</v>
      </c>
      <c r="N261" s="3">
        <v>4</v>
      </c>
      <c r="O261" s="3">
        <v>79</v>
      </c>
      <c r="P261" s="3">
        <v>83</v>
      </c>
      <c r="Q261" t="str" cm="1">
        <f t="array" ref="Q261">_xlfn.IFS(F261&lt;=12,"morning",F261&lt;=18,"afternoon",F261&lt;=24,"night")</f>
        <v>afternoon</v>
      </c>
      <c r="R261" t="str">
        <f t="shared" si="8"/>
        <v>Tuesday</v>
      </c>
    </row>
    <row r="262" spans="1:18" x14ac:dyDescent="0.3">
      <c r="A262" s="3">
        <v>871</v>
      </c>
      <c r="B262" s="4">
        <v>40582</v>
      </c>
      <c r="C262" s="3">
        <v>1</v>
      </c>
      <c r="D262" s="3">
        <v>0</v>
      </c>
      <c r="E262" s="3">
        <v>2</v>
      </c>
      <c r="F262" s="3">
        <v>17</v>
      </c>
      <c r="G262" s="3" t="b">
        <v>0</v>
      </c>
      <c r="H262" s="3">
        <v>2</v>
      </c>
      <c r="I262" s="3">
        <v>1</v>
      </c>
      <c r="J262" s="3">
        <v>0.22</v>
      </c>
      <c r="K262" s="3">
        <v>0.18179999999999999</v>
      </c>
      <c r="L262" s="3">
        <v>0.32</v>
      </c>
      <c r="M262" s="3">
        <v>0.58209999999999995</v>
      </c>
      <c r="N262" s="3">
        <v>4</v>
      </c>
      <c r="O262" s="3">
        <v>172</v>
      </c>
      <c r="P262" s="3">
        <v>176</v>
      </c>
      <c r="Q262" t="str" cm="1">
        <f t="array" ref="Q262">_xlfn.IFS(F262&lt;=12,"morning",F262&lt;=18,"afternoon",F262&lt;=24,"night")</f>
        <v>afternoon</v>
      </c>
      <c r="R262" t="str">
        <f t="shared" si="8"/>
        <v>Tuesday</v>
      </c>
    </row>
    <row r="263" spans="1:18" x14ac:dyDescent="0.3">
      <c r="A263" s="3">
        <v>872</v>
      </c>
      <c r="B263" s="4">
        <v>40582</v>
      </c>
      <c r="C263" s="3">
        <v>1</v>
      </c>
      <c r="D263" s="3">
        <v>0</v>
      </c>
      <c r="E263" s="3">
        <v>2</v>
      </c>
      <c r="F263" s="3">
        <v>18</v>
      </c>
      <c r="G263" s="3" t="b">
        <v>0</v>
      </c>
      <c r="H263" s="3">
        <v>2</v>
      </c>
      <c r="I263" s="3">
        <v>1</v>
      </c>
      <c r="J263" s="3">
        <v>0.2</v>
      </c>
      <c r="K263" s="3">
        <v>0.18179999999999999</v>
      </c>
      <c r="L263" s="3">
        <v>0.32</v>
      </c>
      <c r="M263" s="3">
        <v>0.3881</v>
      </c>
      <c r="N263" s="3">
        <v>1</v>
      </c>
      <c r="O263" s="3">
        <v>151</v>
      </c>
      <c r="P263" s="3">
        <v>152</v>
      </c>
      <c r="Q263" t="str" cm="1">
        <f t="array" ref="Q263">_xlfn.IFS(F263&lt;=12,"morning",F263&lt;=18,"afternoon",F263&lt;=24,"night")</f>
        <v>afternoon</v>
      </c>
      <c r="R263" t="str">
        <f t="shared" si="8"/>
        <v>Tuesday</v>
      </c>
    </row>
    <row r="264" spans="1:18" x14ac:dyDescent="0.3">
      <c r="A264" s="3">
        <v>873</v>
      </c>
      <c r="B264" s="4">
        <v>40582</v>
      </c>
      <c r="C264" s="3">
        <v>1</v>
      </c>
      <c r="D264" s="3">
        <v>0</v>
      </c>
      <c r="E264" s="3">
        <v>2</v>
      </c>
      <c r="F264" s="3">
        <v>19</v>
      </c>
      <c r="G264" s="3" t="b">
        <v>0</v>
      </c>
      <c r="H264" s="3">
        <v>2</v>
      </c>
      <c r="I264" s="3">
        <v>1</v>
      </c>
      <c r="J264" s="3">
        <v>0.16</v>
      </c>
      <c r="K264" s="3">
        <v>0.1212</v>
      </c>
      <c r="L264" s="3">
        <v>0.4</v>
      </c>
      <c r="M264" s="3">
        <v>0.4627</v>
      </c>
      <c r="N264" s="3">
        <v>1</v>
      </c>
      <c r="O264" s="3">
        <v>100</v>
      </c>
      <c r="P264" s="3">
        <v>101</v>
      </c>
      <c r="Q264" t="str" cm="1">
        <f t="array" ref="Q264">_xlfn.IFS(F264&lt;=12,"morning",F264&lt;=18,"afternoon",F264&lt;=24,"night")</f>
        <v>night</v>
      </c>
      <c r="R264" t="str">
        <f t="shared" si="8"/>
        <v>Tuesday</v>
      </c>
    </row>
    <row r="265" spans="1:18" x14ac:dyDescent="0.3">
      <c r="A265" s="3">
        <v>874</v>
      </c>
      <c r="B265" s="4">
        <v>40582</v>
      </c>
      <c r="C265" s="3">
        <v>1</v>
      </c>
      <c r="D265" s="3">
        <v>0</v>
      </c>
      <c r="E265" s="3">
        <v>2</v>
      </c>
      <c r="F265" s="3">
        <v>20</v>
      </c>
      <c r="G265" s="3" t="b">
        <v>0</v>
      </c>
      <c r="H265" s="3">
        <v>2</v>
      </c>
      <c r="I265" s="3">
        <v>1</v>
      </c>
      <c r="J265" s="3">
        <v>0.16</v>
      </c>
      <c r="K265" s="3">
        <v>0.13639999999999999</v>
      </c>
      <c r="L265" s="3">
        <v>0.4</v>
      </c>
      <c r="M265" s="3">
        <v>0.32840000000000003</v>
      </c>
      <c r="N265" s="3">
        <v>3</v>
      </c>
      <c r="O265" s="3">
        <v>53</v>
      </c>
      <c r="P265" s="3">
        <v>56</v>
      </c>
      <c r="Q265" t="str" cm="1">
        <f t="array" ref="Q265">_xlfn.IFS(F265&lt;=12,"morning",F265&lt;=18,"afternoon",F265&lt;=24,"night")</f>
        <v>night</v>
      </c>
      <c r="R265" t="str">
        <f t="shared" si="8"/>
        <v>Tuesday</v>
      </c>
    </row>
    <row r="266" spans="1:18" x14ac:dyDescent="0.3">
      <c r="A266" s="3">
        <v>875</v>
      </c>
      <c r="B266" s="4">
        <v>40582</v>
      </c>
      <c r="C266" s="3">
        <v>1</v>
      </c>
      <c r="D266" s="3">
        <v>0</v>
      </c>
      <c r="E266" s="3">
        <v>2</v>
      </c>
      <c r="F266" s="3">
        <v>21</v>
      </c>
      <c r="G266" s="3" t="b">
        <v>0</v>
      </c>
      <c r="H266" s="3">
        <v>2</v>
      </c>
      <c r="I266" s="3">
        <v>1</v>
      </c>
      <c r="J266" s="3">
        <v>0.14000000000000001</v>
      </c>
      <c r="K266" s="3">
        <v>0.1061</v>
      </c>
      <c r="L266" s="3">
        <v>0.33</v>
      </c>
      <c r="M266" s="3">
        <v>0.4627</v>
      </c>
      <c r="N266" s="3">
        <v>8</v>
      </c>
      <c r="O266" s="3">
        <v>46</v>
      </c>
      <c r="P266" s="3">
        <v>54</v>
      </c>
      <c r="Q266" t="str" cm="1">
        <f t="array" ref="Q266">_xlfn.IFS(F266&lt;=12,"morning",F266&lt;=18,"afternoon",F266&lt;=24,"night")</f>
        <v>night</v>
      </c>
      <c r="R266" t="str">
        <f t="shared" si="8"/>
        <v>Tuesday</v>
      </c>
    </row>
    <row r="267" spans="1:18" x14ac:dyDescent="0.3">
      <c r="A267" s="3">
        <v>876</v>
      </c>
      <c r="B267" s="4">
        <v>40582</v>
      </c>
      <c r="C267" s="3">
        <v>1</v>
      </c>
      <c r="D267" s="3">
        <v>0</v>
      </c>
      <c r="E267" s="3">
        <v>2</v>
      </c>
      <c r="F267" s="3">
        <v>22</v>
      </c>
      <c r="G267" s="3" t="b">
        <v>0</v>
      </c>
      <c r="H267" s="3">
        <v>2</v>
      </c>
      <c r="I267" s="3">
        <v>1</v>
      </c>
      <c r="J267" s="3">
        <v>0.12</v>
      </c>
      <c r="K267" s="3">
        <v>0.1061</v>
      </c>
      <c r="L267" s="3">
        <v>0.33</v>
      </c>
      <c r="M267" s="3">
        <v>0.35820000000000002</v>
      </c>
      <c r="N267" s="3">
        <v>0</v>
      </c>
      <c r="O267" s="3">
        <v>29</v>
      </c>
      <c r="P267" s="3">
        <v>29</v>
      </c>
      <c r="Q267" t="str" cm="1">
        <f t="array" ref="Q267">_xlfn.IFS(F267&lt;=12,"morning",F267&lt;=18,"afternoon",F267&lt;=24,"night")</f>
        <v>night</v>
      </c>
      <c r="R267" t="str">
        <f t="shared" si="8"/>
        <v>Tuesday</v>
      </c>
    </row>
    <row r="268" spans="1:18" x14ac:dyDescent="0.3">
      <c r="A268" s="3">
        <v>877</v>
      </c>
      <c r="B268" s="4">
        <v>40582</v>
      </c>
      <c r="C268" s="3">
        <v>1</v>
      </c>
      <c r="D268" s="3">
        <v>0</v>
      </c>
      <c r="E268" s="3">
        <v>2</v>
      </c>
      <c r="F268" s="3">
        <v>23</v>
      </c>
      <c r="G268" s="3" t="b">
        <v>0</v>
      </c>
      <c r="H268" s="3">
        <v>2</v>
      </c>
      <c r="I268" s="3">
        <v>1</v>
      </c>
      <c r="J268" s="3">
        <v>0.12</v>
      </c>
      <c r="K268" s="3">
        <v>0.1061</v>
      </c>
      <c r="L268" s="3">
        <v>0.33</v>
      </c>
      <c r="M268" s="3">
        <v>0.32840000000000003</v>
      </c>
      <c r="N268" s="3">
        <v>3</v>
      </c>
      <c r="O268" s="3">
        <v>9</v>
      </c>
      <c r="P268" s="3">
        <v>12</v>
      </c>
      <c r="Q268" t="str" cm="1">
        <f t="array" ref="Q268">_xlfn.IFS(F268&lt;=12,"morning",F268&lt;=18,"afternoon",F268&lt;=24,"night")</f>
        <v>night</v>
      </c>
      <c r="R268" t="str">
        <f t="shared" si="8"/>
        <v>Tuesday</v>
      </c>
    </row>
    <row r="269" spans="1:18" x14ac:dyDescent="0.3">
      <c r="A269" s="3">
        <v>878</v>
      </c>
      <c r="B269" s="4">
        <v>40583</v>
      </c>
      <c r="C269" s="3">
        <v>1</v>
      </c>
      <c r="D269" s="3">
        <v>0</v>
      </c>
      <c r="E269" s="3">
        <v>2</v>
      </c>
      <c r="F269" s="3">
        <v>0</v>
      </c>
      <c r="G269" s="3" t="b">
        <v>0</v>
      </c>
      <c r="H269" s="3">
        <v>3</v>
      </c>
      <c r="I269" s="3">
        <v>1</v>
      </c>
      <c r="J269" s="3">
        <v>0.1</v>
      </c>
      <c r="K269" s="3">
        <v>7.5800000000000006E-2</v>
      </c>
      <c r="L269" s="3">
        <v>0.36</v>
      </c>
      <c r="M269" s="3">
        <v>0.35820000000000002</v>
      </c>
      <c r="N269" s="3">
        <v>0</v>
      </c>
      <c r="O269" s="3">
        <v>17</v>
      </c>
      <c r="P269" s="3">
        <v>17</v>
      </c>
      <c r="Q269" t="str" cm="1">
        <f t="array" ref="Q269">_xlfn.IFS(F269&lt;=12,"morning",F269&lt;=18,"afternoon",F269&lt;=24,"night")</f>
        <v>morning</v>
      </c>
      <c r="R269" t="str">
        <f t="shared" si="8"/>
        <v>Wednesday</v>
      </c>
    </row>
    <row r="270" spans="1:18" x14ac:dyDescent="0.3">
      <c r="A270" s="3">
        <v>879</v>
      </c>
      <c r="B270" s="4">
        <v>40583</v>
      </c>
      <c r="C270" s="3">
        <v>1</v>
      </c>
      <c r="D270" s="3">
        <v>0</v>
      </c>
      <c r="E270" s="3">
        <v>2</v>
      </c>
      <c r="F270" s="3">
        <v>1</v>
      </c>
      <c r="G270" s="3" t="b">
        <v>0</v>
      </c>
      <c r="H270" s="3">
        <v>3</v>
      </c>
      <c r="I270" s="3">
        <v>1</v>
      </c>
      <c r="J270" s="3">
        <v>0.1</v>
      </c>
      <c r="K270" s="3">
        <v>0.1061</v>
      </c>
      <c r="L270" s="3">
        <v>0.36</v>
      </c>
      <c r="M270" s="3">
        <v>0.22389999999999999</v>
      </c>
      <c r="N270" s="3">
        <v>0</v>
      </c>
      <c r="O270" s="3">
        <v>7</v>
      </c>
      <c r="P270" s="3">
        <v>7</v>
      </c>
      <c r="Q270" t="str" cm="1">
        <f t="array" ref="Q270">_xlfn.IFS(F270&lt;=12,"morning",F270&lt;=18,"afternoon",F270&lt;=24,"night")</f>
        <v>morning</v>
      </c>
      <c r="R270" t="str">
        <f t="shared" si="8"/>
        <v>Wednesday</v>
      </c>
    </row>
    <row r="271" spans="1:18" x14ac:dyDescent="0.3">
      <c r="A271" s="3">
        <v>880</v>
      </c>
      <c r="B271" s="4">
        <v>40583</v>
      </c>
      <c r="C271" s="3">
        <v>1</v>
      </c>
      <c r="D271" s="3">
        <v>0</v>
      </c>
      <c r="E271" s="3">
        <v>2</v>
      </c>
      <c r="F271" s="3">
        <v>2</v>
      </c>
      <c r="G271" s="3" t="b">
        <v>0</v>
      </c>
      <c r="H271" s="3">
        <v>3</v>
      </c>
      <c r="I271" s="3">
        <v>1</v>
      </c>
      <c r="J271" s="3">
        <v>0.08</v>
      </c>
      <c r="K271" s="3">
        <v>7.5800000000000006E-2</v>
      </c>
      <c r="L271" s="3">
        <v>0.38</v>
      </c>
      <c r="M271" s="3">
        <v>0.28360000000000002</v>
      </c>
      <c r="N271" s="3">
        <v>1</v>
      </c>
      <c r="O271" s="3">
        <v>2</v>
      </c>
      <c r="P271" s="3">
        <v>3</v>
      </c>
      <c r="Q271" t="str" cm="1">
        <f t="array" ref="Q271">_xlfn.IFS(F271&lt;=12,"morning",F271&lt;=18,"afternoon",F271&lt;=24,"night")</f>
        <v>morning</v>
      </c>
      <c r="R271" t="str">
        <f t="shared" si="8"/>
        <v>Wednesday</v>
      </c>
    </row>
    <row r="272" spans="1:18" x14ac:dyDescent="0.3">
      <c r="A272" s="3">
        <v>881</v>
      </c>
      <c r="B272" s="4">
        <v>40583</v>
      </c>
      <c r="C272" s="3">
        <v>1</v>
      </c>
      <c r="D272" s="3">
        <v>0</v>
      </c>
      <c r="E272" s="3">
        <v>2</v>
      </c>
      <c r="F272" s="3">
        <v>3</v>
      </c>
      <c r="G272" s="3" t="b">
        <v>0</v>
      </c>
      <c r="H272" s="3">
        <v>3</v>
      </c>
      <c r="I272" s="3">
        <v>1</v>
      </c>
      <c r="J272" s="3">
        <v>0.06</v>
      </c>
      <c r="K272" s="3">
        <v>7.5800000000000006E-2</v>
      </c>
      <c r="L272" s="3">
        <v>0.45</v>
      </c>
      <c r="M272" s="3">
        <v>0.1343</v>
      </c>
      <c r="N272" s="3">
        <v>0</v>
      </c>
      <c r="O272" s="3">
        <v>2</v>
      </c>
      <c r="P272" s="3">
        <v>2</v>
      </c>
      <c r="Q272" t="str" cm="1">
        <f t="array" ref="Q272">_xlfn.IFS(F272&lt;=12,"morning",F272&lt;=18,"afternoon",F272&lt;=24,"night")</f>
        <v>morning</v>
      </c>
      <c r="R272" t="str">
        <f t="shared" si="8"/>
        <v>Wednesday</v>
      </c>
    </row>
    <row r="273" spans="1:18" x14ac:dyDescent="0.3">
      <c r="A273" s="3">
        <v>882</v>
      </c>
      <c r="B273" s="4">
        <v>40583</v>
      </c>
      <c r="C273" s="3">
        <v>1</v>
      </c>
      <c r="D273" s="3">
        <v>0</v>
      </c>
      <c r="E273" s="3">
        <v>2</v>
      </c>
      <c r="F273" s="3">
        <v>5</v>
      </c>
      <c r="G273" s="3" t="b">
        <v>0</v>
      </c>
      <c r="H273" s="3">
        <v>3</v>
      </c>
      <c r="I273" s="3">
        <v>1</v>
      </c>
      <c r="J273" s="3">
        <v>0.06</v>
      </c>
      <c r="K273" s="3">
        <v>0.1061</v>
      </c>
      <c r="L273" s="3">
        <v>0.45</v>
      </c>
      <c r="M273" s="3">
        <v>0.1045</v>
      </c>
      <c r="N273" s="3">
        <v>0</v>
      </c>
      <c r="O273" s="3">
        <v>7</v>
      </c>
      <c r="P273" s="3">
        <v>7</v>
      </c>
      <c r="Q273" t="str" cm="1">
        <f t="array" ref="Q273">_xlfn.IFS(F273&lt;=12,"morning",F273&lt;=18,"afternoon",F273&lt;=24,"night")</f>
        <v>morning</v>
      </c>
      <c r="R273" t="str">
        <f t="shared" si="8"/>
        <v>Wednesday</v>
      </c>
    </row>
    <row r="274" spans="1:18" x14ac:dyDescent="0.3">
      <c r="A274" s="3">
        <v>883</v>
      </c>
      <c r="B274" s="4">
        <v>40583</v>
      </c>
      <c r="C274" s="3">
        <v>1</v>
      </c>
      <c r="D274" s="3">
        <v>0</v>
      </c>
      <c r="E274" s="3">
        <v>2</v>
      </c>
      <c r="F274" s="3">
        <v>6</v>
      </c>
      <c r="G274" s="3" t="b">
        <v>0</v>
      </c>
      <c r="H274" s="3">
        <v>3</v>
      </c>
      <c r="I274" s="3">
        <v>1</v>
      </c>
      <c r="J274" s="3">
        <v>0.06</v>
      </c>
      <c r="K274" s="3">
        <v>0.1515</v>
      </c>
      <c r="L274" s="3">
        <v>0.45</v>
      </c>
      <c r="M274" s="3">
        <v>0</v>
      </c>
      <c r="N274" s="3">
        <v>0</v>
      </c>
      <c r="O274" s="3">
        <v>43</v>
      </c>
      <c r="P274" s="3">
        <v>43</v>
      </c>
      <c r="Q274" t="str" cm="1">
        <f t="array" ref="Q274">_xlfn.IFS(F274&lt;=12,"morning",F274&lt;=18,"afternoon",F274&lt;=24,"night")</f>
        <v>morning</v>
      </c>
      <c r="R274" t="str">
        <f t="shared" si="8"/>
        <v>Wednesday</v>
      </c>
    </row>
    <row r="275" spans="1:18" x14ac:dyDescent="0.3">
      <c r="A275" s="3">
        <v>884</v>
      </c>
      <c r="B275" s="4">
        <v>40583</v>
      </c>
      <c r="C275" s="3">
        <v>1</v>
      </c>
      <c r="D275" s="3">
        <v>0</v>
      </c>
      <c r="E275" s="3">
        <v>2</v>
      </c>
      <c r="F275" s="3">
        <v>7</v>
      </c>
      <c r="G275" s="3" t="b">
        <v>0</v>
      </c>
      <c r="H275" s="3">
        <v>3</v>
      </c>
      <c r="I275" s="3">
        <v>1</v>
      </c>
      <c r="J275" s="3">
        <v>0.06</v>
      </c>
      <c r="K275" s="3">
        <v>0.1061</v>
      </c>
      <c r="L275" s="3">
        <v>0.49</v>
      </c>
      <c r="M275" s="3">
        <v>0.1045</v>
      </c>
      <c r="N275" s="3">
        <v>4</v>
      </c>
      <c r="O275" s="3">
        <v>95</v>
      </c>
      <c r="P275" s="3">
        <v>99</v>
      </c>
      <c r="Q275" t="str" cm="1">
        <f t="array" ref="Q275">_xlfn.IFS(F275&lt;=12,"morning",F275&lt;=18,"afternoon",F275&lt;=24,"night")</f>
        <v>morning</v>
      </c>
      <c r="R275" t="str">
        <f t="shared" si="8"/>
        <v>Wednesday</v>
      </c>
    </row>
    <row r="276" spans="1:18" x14ac:dyDescent="0.3">
      <c r="A276" s="3">
        <v>885</v>
      </c>
      <c r="B276" s="4">
        <v>40583</v>
      </c>
      <c r="C276" s="3">
        <v>1</v>
      </c>
      <c r="D276" s="3">
        <v>0</v>
      </c>
      <c r="E276" s="3">
        <v>2</v>
      </c>
      <c r="F276" s="3">
        <v>8</v>
      </c>
      <c r="G276" s="3" t="b">
        <v>0</v>
      </c>
      <c r="H276" s="3">
        <v>3</v>
      </c>
      <c r="I276" s="3">
        <v>1</v>
      </c>
      <c r="J276" s="3">
        <v>0.1</v>
      </c>
      <c r="K276" s="3">
        <v>0.13639999999999999</v>
      </c>
      <c r="L276" s="3">
        <v>0.42</v>
      </c>
      <c r="M276" s="3">
        <v>0</v>
      </c>
      <c r="N276" s="3">
        <v>1</v>
      </c>
      <c r="O276" s="3">
        <v>198</v>
      </c>
      <c r="P276" s="3">
        <v>199</v>
      </c>
      <c r="Q276" t="str" cm="1">
        <f t="array" ref="Q276">_xlfn.IFS(F276&lt;=12,"morning",F276&lt;=18,"afternoon",F276&lt;=24,"night")</f>
        <v>morning</v>
      </c>
      <c r="R276" t="str">
        <f t="shared" si="8"/>
        <v>Wednesday</v>
      </c>
    </row>
    <row r="277" spans="1:18" x14ac:dyDescent="0.3">
      <c r="A277" s="3">
        <v>886</v>
      </c>
      <c r="B277" s="4">
        <v>40583</v>
      </c>
      <c r="C277" s="3">
        <v>1</v>
      </c>
      <c r="D277" s="3">
        <v>0</v>
      </c>
      <c r="E277" s="3">
        <v>2</v>
      </c>
      <c r="F277" s="3">
        <v>9</v>
      </c>
      <c r="G277" s="3" t="b">
        <v>0</v>
      </c>
      <c r="H277" s="3">
        <v>3</v>
      </c>
      <c r="I277" s="3">
        <v>1</v>
      </c>
      <c r="J277" s="3">
        <v>0.12</v>
      </c>
      <c r="K277" s="3">
        <v>0.13639999999999999</v>
      </c>
      <c r="L277" s="3">
        <v>0.39</v>
      </c>
      <c r="M277" s="3">
        <v>0.16420000000000001</v>
      </c>
      <c r="N277" s="3">
        <v>4</v>
      </c>
      <c r="O277" s="3">
        <v>119</v>
      </c>
      <c r="P277" s="3">
        <v>123</v>
      </c>
      <c r="Q277" t="str" cm="1">
        <f t="array" ref="Q277">_xlfn.IFS(F277&lt;=12,"morning",F277&lt;=18,"afternoon",F277&lt;=24,"night")</f>
        <v>morning</v>
      </c>
      <c r="R277" t="str">
        <f t="shared" si="8"/>
        <v>Wednesday</v>
      </c>
    </row>
    <row r="278" spans="1:18" x14ac:dyDescent="0.3">
      <c r="A278" s="3">
        <v>887</v>
      </c>
      <c r="B278" s="4">
        <v>40583</v>
      </c>
      <c r="C278" s="3">
        <v>1</v>
      </c>
      <c r="D278" s="3">
        <v>0</v>
      </c>
      <c r="E278" s="3">
        <v>2</v>
      </c>
      <c r="F278" s="3">
        <v>10</v>
      </c>
      <c r="G278" s="3" t="b">
        <v>0</v>
      </c>
      <c r="H278" s="3">
        <v>3</v>
      </c>
      <c r="I278" s="3">
        <v>1</v>
      </c>
      <c r="J278" s="3">
        <v>0.14000000000000001</v>
      </c>
      <c r="K278" s="3">
        <v>0.18179999999999999</v>
      </c>
      <c r="L278" s="3">
        <v>0.36</v>
      </c>
      <c r="M278" s="3">
        <v>0</v>
      </c>
      <c r="N278" s="3">
        <v>8</v>
      </c>
      <c r="O278" s="3">
        <v>51</v>
      </c>
      <c r="P278" s="3">
        <v>59</v>
      </c>
      <c r="Q278" t="str" cm="1">
        <f t="array" ref="Q278">_xlfn.IFS(F278&lt;=12,"morning",F278&lt;=18,"afternoon",F278&lt;=24,"night")</f>
        <v>morning</v>
      </c>
      <c r="R278" t="str">
        <f t="shared" si="8"/>
        <v>Wednesday</v>
      </c>
    </row>
    <row r="279" spans="1:18" x14ac:dyDescent="0.3">
      <c r="A279" s="3">
        <v>888</v>
      </c>
      <c r="B279" s="4">
        <v>40583</v>
      </c>
      <c r="C279" s="3">
        <v>1</v>
      </c>
      <c r="D279" s="3">
        <v>0</v>
      </c>
      <c r="E279" s="3">
        <v>2</v>
      </c>
      <c r="F279" s="3">
        <v>11</v>
      </c>
      <c r="G279" s="3" t="b">
        <v>0</v>
      </c>
      <c r="H279" s="3">
        <v>3</v>
      </c>
      <c r="I279" s="3">
        <v>2</v>
      </c>
      <c r="J279" s="3">
        <v>0.14000000000000001</v>
      </c>
      <c r="K279" s="3">
        <v>0.1515</v>
      </c>
      <c r="L279" s="3">
        <v>0.43</v>
      </c>
      <c r="M279" s="3">
        <v>0.16420000000000001</v>
      </c>
      <c r="N279" s="3">
        <v>1</v>
      </c>
      <c r="O279" s="3">
        <v>40</v>
      </c>
      <c r="P279" s="3">
        <v>41</v>
      </c>
      <c r="Q279" t="str" cm="1">
        <f t="array" ref="Q279">_xlfn.IFS(F279&lt;=12,"morning",F279&lt;=18,"afternoon",F279&lt;=24,"night")</f>
        <v>morning</v>
      </c>
      <c r="R279" t="str">
        <f t="shared" si="8"/>
        <v>Wednesday</v>
      </c>
    </row>
    <row r="280" spans="1:18" x14ac:dyDescent="0.3">
      <c r="A280" s="3">
        <v>889</v>
      </c>
      <c r="B280" s="4">
        <v>40583</v>
      </c>
      <c r="C280" s="3">
        <v>1</v>
      </c>
      <c r="D280" s="3">
        <v>0</v>
      </c>
      <c r="E280" s="3">
        <v>2</v>
      </c>
      <c r="F280" s="3">
        <v>12</v>
      </c>
      <c r="G280" s="3" t="b">
        <v>0</v>
      </c>
      <c r="H280" s="3">
        <v>3</v>
      </c>
      <c r="I280" s="3">
        <v>2</v>
      </c>
      <c r="J280" s="3">
        <v>0.18</v>
      </c>
      <c r="K280" s="3">
        <v>0.18179999999999999</v>
      </c>
      <c r="L280" s="3">
        <v>0.4</v>
      </c>
      <c r="M280" s="3">
        <v>0.22389999999999999</v>
      </c>
      <c r="N280" s="3">
        <v>4</v>
      </c>
      <c r="O280" s="3">
        <v>57</v>
      </c>
      <c r="P280" s="3">
        <v>61</v>
      </c>
      <c r="Q280" t="str" cm="1">
        <f t="array" ref="Q280">_xlfn.IFS(F280&lt;=12,"morning",F280&lt;=18,"afternoon",F280&lt;=24,"night")</f>
        <v>morning</v>
      </c>
      <c r="R280" t="str">
        <f t="shared" si="8"/>
        <v>Wednesday</v>
      </c>
    </row>
    <row r="281" spans="1:18" x14ac:dyDescent="0.3">
      <c r="A281" s="3">
        <v>890</v>
      </c>
      <c r="B281" s="4">
        <v>40583</v>
      </c>
      <c r="C281" s="3">
        <v>1</v>
      </c>
      <c r="D281" s="3">
        <v>0</v>
      </c>
      <c r="E281" s="3">
        <v>2</v>
      </c>
      <c r="F281" s="3">
        <v>13</v>
      </c>
      <c r="G281" s="3" t="b">
        <v>0</v>
      </c>
      <c r="H281" s="3">
        <v>3</v>
      </c>
      <c r="I281" s="3">
        <v>1</v>
      </c>
      <c r="J281" s="3">
        <v>0.18</v>
      </c>
      <c r="K281" s="3">
        <v>0.16669999999999999</v>
      </c>
      <c r="L281" s="3">
        <v>0.4</v>
      </c>
      <c r="M281" s="3">
        <v>0.25369999999999998</v>
      </c>
      <c r="N281" s="3">
        <v>2</v>
      </c>
      <c r="O281" s="3">
        <v>67</v>
      </c>
      <c r="P281" s="3">
        <v>69</v>
      </c>
      <c r="Q281" t="str" cm="1">
        <f t="array" ref="Q281">_xlfn.IFS(F281&lt;=12,"morning",F281&lt;=18,"afternoon",F281&lt;=24,"night")</f>
        <v>afternoon</v>
      </c>
      <c r="R281" t="str">
        <f t="shared" si="8"/>
        <v>Wednesday</v>
      </c>
    </row>
    <row r="282" spans="1:18" x14ac:dyDescent="0.3">
      <c r="A282" s="3">
        <v>891</v>
      </c>
      <c r="B282" s="4">
        <v>40583</v>
      </c>
      <c r="C282" s="3">
        <v>1</v>
      </c>
      <c r="D282" s="3">
        <v>0</v>
      </c>
      <c r="E282" s="3">
        <v>2</v>
      </c>
      <c r="F282" s="3">
        <v>14</v>
      </c>
      <c r="G282" s="3" t="b">
        <v>0</v>
      </c>
      <c r="H282" s="3">
        <v>3</v>
      </c>
      <c r="I282" s="3">
        <v>1</v>
      </c>
      <c r="J282" s="3">
        <v>0.2</v>
      </c>
      <c r="K282" s="3">
        <v>0.18179999999999999</v>
      </c>
      <c r="L282" s="3">
        <v>0.34</v>
      </c>
      <c r="M282" s="3">
        <v>0.29849999999999999</v>
      </c>
      <c r="N282" s="3">
        <v>2</v>
      </c>
      <c r="O282" s="3">
        <v>56</v>
      </c>
      <c r="P282" s="3">
        <v>58</v>
      </c>
      <c r="Q282" t="str" cm="1">
        <f t="array" ref="Q282">_xlfn.IFS(F282&lt;=12,"morning",F282&lt;=18,"afternoon",F282&lt;=24,"night")</f>
        <v>afternoon</v>
      </c>
      <c r="R282" t="str">
        <f t="shared" si="8"/>
        <v>Wednesday</v>
      </c>
    </row>
    <row r="283" spans="1:18" x14ac:dyDescent="0.3">
      <c r="A283" s="3">
        <v>892</v>
      </c>
      <c r="B283" s="4">
        <v>40583</v>
      </c>
      <c r="C283" s="3">
        <v>1</v>
      </c>
      <c r="D283" s="3">
        <v>0</v>
      </c>
      <c r="E283" s="3">
        <v>2</v>
      </c>
      <c r="F283" s="3">
        <v>15</v>
      </c>
      <c r="G283" s="3" t="b">
        <v>0</v>
      </c>
      <c r="H283" s="3">
        <v>3</v>
      </c>
      <c r="I283" s="3">
        <v>2</v>
      </c>
      <c r="J283" s="3">
        <v>0.2</v>
      </c>
      <c r="K283" s="3">
        <v>0.18179999999999999</v>
      </c>
      <c r="L283" s="3">
        <v>0.34</v>
      </c>
      <c r="M283" s="3">
        <v>0.28360000000000002</v>
      </c>
      <c r="N283" s="3">
        <v>3</v>
      </c>
      <c r="O283" s="3">
        <v>61</v>
      </c>
      <c r="P283" s="3">
        <v>64</v>
      </c>
      <c r="Q283" t="str" cm="1">
        <f t="array" ref="Q283">_xlfn.IFS(F283&lt;=12,"morning",F283&lt;=18,"afternoon",F283&lt;=24,"night")</f>
        <v>afternoon</v>
      </c>
      <c r="R283" t="str">
        <f t="shared" si="8"/>
        <v>Wednesday</v>
      </c>
    </row>
    <row r="284" spans="1:18" x14ac:dyDescent="0.3">
      <c r="A284" s="3">
        <v>893</v>
      </c>
      <c r="B284" s="4">
        <v>40583</v>
      </c>
      <c r="C284" s="3">
        <v>1</v>
      </c>
      <c r="D284" s="3">
        <v>0</v>
      </c>
      <c r="E284" s="3">
        <v>2</v>
      </c>
      <c r="F284" s="3">
        <v>16</v>
      </c>
      <c r="G284" s="3" t="b">
        <v>0</v>
      </c>
      <c r="H284" s="3">
        <v>3</v>
      </c>
      <c r="I284" s="3">
        <v>2</v>
      </c>
      <c r="J284" s="3">
        <v>0.2</v>
      </c>
      <c r="K284" s="3">
        <v>0.19700000000000001</v>
      </c>
      <c r="L284" s="3">
        <v>0.37</v>
      </c>
      <c r="M284" s="3">
        <v>0.25369999999999998</v>
      </c>
      <c r="N284" s="3">
        <v>7</v>
      </c>
      <c r="O284" s="3">
        <v>72</v>
      </c>
      <c r="P284" s="3">
        <v>79</v>
      </c>
      <c r="Q284" t="str" cm="1">
        <f t="array" ref="Q284">_xlfn.IFS(F284&lt;=12,"morning",F284&lt;=18,"afternoon",F284&lt;=24,"night")</f>
        <v>afternoon</v>
      </c>
      <c r="R284" t="str">
        <f t="shared" si="8"/>
        <v>Wednesday</v>
      </c>
    </row>
    <row r="285" spans="1:18" x14ac:dyDescent="0.3">
      <c r="A285" s="3">
        <v>894</v>
      </c>
      <c r="B285" s="4">
        <v>40583</v>
      </c>
      <c r="C285" s="3">
        <v>1</v>
      </c>
      <c r="D285" s="3">
        <v>0</v>
      </c>
      <c r="E285" s="3">
        <v>2</v>
      </c>
      <c r="F285" s="3">
        <v>17</v>
      </c>
      <c r="G285" s="3" t="b">
        <v>0</v>
      </c>
      <c r="H285" s="3">
        <v>3</v>
      </c>
      <c r="I285" s="3">
        <v>2</v>
      </c>
      <c r="J285" s="3">
        <v>0.2</v>
      </c>
      <c r="K285" s="3">
        <v>0.19700000000000001</v>
      </c>
      <c r="L285" s="3">
        <v>0.34</v>
      </c>
      <c r="M285" s="3">
        <v>0.25369999999999998</v>
      </c>
      <c r="N285" s="3">
        <v>9</v>
      </c>
      <c r="O285" s="3">
        <v>157</v>
      </c>
      <c r="P285" s="3">
        <v>166</v>
      </c>
      <c r="Q285" t="str" cm="1">
        <f t="array" ref="Q285">_xlfn.IFS(F285&lt;=12,"morning",F285&lt;=18,"afternoon",F285&lt;=24,"night")</f>
        <v>afternoon</v>
      </c>
      <c r="R285" t="str">
        <f t="shared" si="8"/>
        <v>Wednesday</v>
      </c>
    </row>
    <row r="286" spans="1:18" x14ac:dyDescent="0.3">
      <c r="A286" s="3">
        <v>895</v>
      </c>
      <c r="B286" s="4">
        <v>40583</v>
      </c>
      <c r="C286" s="3">
        <v>1</v>
      </c>
      <c r="D286" s="3">
        <v>0</v>
      </c>
      <c r="E286" s="3">
        <v>2</v>
      </c>
      <c r="F286" s="3">
        <v>18</v>
      </c>
      <c r="G286" s="3" t="b">
        <v>0</v>
      </c>
      <c r="H286" s="3">
        <v>3</v>
      </c>
      <c r="I286" s="3">
        <v>2</v>
      </c>
      <c r="J286" s="3">
        <v>0.18</v>
      </c>
      <c r="K286" s="3">
        <v>0.16669999999999999</v>
      </c>
      <c r="L286" s="3">
        <v>0.47</v>
      </c>
      <c r="M286" s="3">
        <v>0.29849999999999999</v>
      </c>
      <c r="N286" s="3">
        <v>2</v>
      </c>
      <c r="O286" s="3">
        <v>168</v>
      </c>
      <c r="P286" s="3">
        <v>170</v>
      </c>
      <c r="Q286" t="str" cm="1">
        <f t="array" ref="Q286">_xlfn.IFS(F286&lt;=12,"morning",F286&lt;=18,"afternoon",F286&lt;=24,"night")</f>
        <v>afternoon</v>
      </c>
      <c r="R286" t="str">
        <f t="shared" si="8"/>
        <v>Wednesday</v>
      </c>
    </row>
    <row r="287" spans="1:18" x14ac:dyDescent="0.3">
      <c r="A287" s="3">
        <v>896</v>
      </c>
      <c r="B287" s="4">
        <v>40583</v>
      </c>
      <c r="C287" s="3">
        <v>1</v>
      </c>
      <c r="D287" s="3">
        <v>0</v>
      </c>
      <c r="E287" s="3">
        <v>2</v>
      </c>
      <c r="F287" s="3">
        <v>19</v>
      </c>
      <c r="G287" s="3" t="b">
        <v>0</v>
      </c>
      <c r="H287" s="3">
        <v>3</v>
      </c>
      <c r="I287" s="3">
        <v>3</v>
      </c>
      <c r="J287" s="3">
        <v>0.14000000000000001</v>
      </c>
      <c r="K287" s="3">
        <v>0.1212</v>
      </c>
      <c r="L287" s="3">
        <v>0.86</v>
      </c>
      <c r="M287" s="3">
        <v>0.25369999999999998</v>
      </c>
      <c r="N287" s="3">
        <v>1</v>
      </c>
      <c r="O287" s="3">
        <v>87</v>
      </c>
      <c r="P287" s="3">
        <v>88</v>
      </c>
      <c r="Q287" t="str" cm="1">
        <f t="array" ref="Q287">_xlfn.IFS(F287&lt;=12,"morning",F287&lt;=18,"afternoon",F287&lt;=24,"night")</f>
        <v>night</v>
      </c>
      <c r="R287" t="str">
        <f t="shared" si="8"/>
        <v>Wednesday</v>
      </c>
    </row>
    <row r="288" spans="1:18" x14ac:dyDescent="0.3">
      <c r="A288" s="3">
        <v>897</v>
      </c>
      <c r="B288" s="4">
        <v>40583</v>
      </c>
      <c r="C288" s="3">
        <v>1</v>
      </c>
      <c r="D288" s="3">
        <v>0</v>
      </c>
      <c r="E288" s="3">
        <v>2</v>
      </c>
      <c r="F288" s="3">
        <v>20</v>
      </c>
      <c r="G288" s="3" t="b">
        <v>0</v>
      </c>
      <c r="H288" s="3">
        <v>3</v>
      </c>
      <c r="I288" s="3">
        <v>3</v>
      </c>
      <c r="J288" s="3">
        <v>0.14000000000000001</v>
      </c>
      <c r="K288" s="3">
        <v>0.1515</v>
      </c>
      <c r="L288" s="3">
        <v>0.86</v>
      </c>
      <c r="M288" s="3">
        <v>0.16420000000000001</v>
      </c>
      <c r="N288" s="3">
        <v>0</v>
      </c>
      <c r="O288" s="3">
        <v>84</v>
      </c>
      <c r="P288" s="3">
        <v>84</v>
      </c>
      <c r="Q288" t="str" cm="1">
        <f t="array" ref="Q288">_xlfn.IFS(F288&lt;=12,"morning",F288&lt;=18,"afternoon",F288&lt;=24,"night")</f>
        <v>night</v>
      </c>
      <c r="R288" t="str">
        <f t="shared" si="8"/>
        <v>Wednesday</v>
      </c>
    </row>
    <row r="289" spans="1:18" x14ac:dyDescent="0.3">
      <c r="A289" s="3">
        <v>898</v>
      </c>
      <c r="B289" s="4">
        <v>40583</v>
      </c>
      <c r="C289" s="3">
        <v>1</v>
      </c>
      <c r="D289" s="3">
        <v>0</v>
      </c>
      <c r="E289" s="3">
        <v>2</v>
      </c>
      <c r="F289" s="3">
        <v>21</v>
      </c>
      <c r="G289" s="3" t="b">
        <v>0</v>
      </c>
      <c r="H289" s="3">
        <v>3</v>
      </c>
      <c r="I289" s="3">
        <v>2</v>
      </c>
      <c r="J289" s="3">
        <v>0.14000000000000001</v>
      </c>
      <c r="K289" s="3">
        <v>0.1515</v>
      </c>
      <c r="L289" s="3">
        <v>0.86</v>
      </c>
      <c r="M289" s="3">
        <v>0.16420000000000001</v>
      </c>
      <c r="N289" s="3">
        <v>0</v>
      </c>
      <c r="O289" s="3">
        <v>83</v>
      </c>
      <c r="P289" s="3">
        <v>83</v>
      </c>
      <c r="Q289" t="str" cm="1">
        <f t="array" ref="Q289">_xlfn.IFS(F289&lt;=12,"morning",F289&lt;=18,"afternoon",F289&lt;=24,"night")</f>
        <v>night</v>
      </c>
      <c r="R289" t="str">
        <f t="shared" si="8"/>
        <v>Wednesday</v>
      </c>
    </row>
    <row r="290" spans="1:18" x14ac:dyDescent="0.3">
      <c r="A290" s="3">
        <v>899</v>
      </c>
      <c r="B290" s="4">
        <v>40583</v>
      </c>
      <c r="C290" s="3">
        <v>1</v>
      </c>
      <c r="D290" s="3">
        <v>0</v>
      </c>
      <c r="E290" s="3">
        <v>2</v>
      </c>
      <c r="F290" s="3">
        <v>22</v>
      </c>
      <c r="G290" s="3" t="b">
        <v>0</v>
      </c>
      <c r="H290" s="3">
        <v>3</v>
      </c>
      <c r="I290" s="3">
        <v>3</v>
      </c>
      <c r="J290" s="3">
        <v>0.16</v>
      </c>
      <c r="K290" s="3">
        <v>0.16669999999999999</v>
      </c>
      <c r="L290" s="3">
        <v>0.8</v>
      </c>
      <c r="M290" s="3">
        <v>0.16420000000000001</v>
      </c>
      <c r="N290" s="3">
        <v>4</v>
      </c>
      <c r="O290" s="3">
        <v>42</v>
      </c>
      <c r="P290" s="3">
        <v>46</v>
      </c>
      <c r="Q290" t="str" cm="1">
        <f t="array" ref="Q290">_xlfn.IFS(F290&lt;=12,"morning",F290&lt;=18,"afternoon",F290&lt;=24,"night")</f>
        <v>night</v>
      </c>
      <c r="R290" t="str">
        <f t="shared" si="8"/>
        <v>Wednesday</v>
      </c>
    </row>
    <row r="291" spans="1:18" x14ac:dyDescent="0.3">
      <c r="A291" s="3">
        <v>900</v>
      </c>
      <c r="B291" s="4">
        <v>40583</v>
      </c>
      <c r="C291" s="3">
        <v>1</v>
      </c>
      <c r="D291" s="3">
        <v>0</v>
      </c>
      <c r="E291" s="3">
        <v>2</v>
      </c>
      <c r="F291" s="3">
        <v>23</v>
      </c>
      <c r="G291" s="3" t="b">
        <v>0</v>
      </c>
      <c r="H291" s="3">
        <v>3</v>
      </c>
      <c r="I291" s="3">
        <v>3</v>
      </c>
      <c r="J291" s="3">
        <v>0.16</v>
      </c>
      <c r="K291" s="3">
        <v>0.1515</v>
      </c>
      <c r="L291" s="3">
        <v>0.8</v>
      </c>
      <c r="M291" s="3">
        <v>0.19400000000000001</v>
      </c>
      <c r="N291" s="3">
        <v>0</v>
      </c>
      <c r="O291" s="3">
        <v>37</v>
      </c>
      <c r="P291" s="3">
        <v>37</v>
      </c>
      <c r="Q291" t="str" cm="1">
        <f t="array" ref="Q291">_xlfn.IFS(F291&lt;=12,"morning",F291&lt;=18,"afternoon",F291&lt;=24,"night")</f>
        <v>night</v>
      </c>
      <c r="R291" t="str">
        <f t="shared" si="8"/>
        <v>Wednesday</v>
      </c>
    </row>
    <row r="292" spans="1:18" x14ac:dyDescent="0.3">
      <c r="A292" s="3">
        <v>901</v>
      </c>
      <c r="B292" s="4">
        <v>40584</v>
      </c>
      <c r="C292" s="3">
        <v>1</v>
      </c>
      <c r="D292" s="3">
        <v>0</v>
      </c>
      <c r="E292" s="3">
        <v>2</v>
      </c>
      <c r="F292" s="3">
        <v>0</v>
      </c>
      <c r="G292" s="3" t="b">
        <v>0</v>
      </c>
      <c r="H292" s="3">
        <v>4</v>
      </c>
      <c r="I292" s="3">
        <v>3</v>
      </c>
      <c r="J292" s="3">
        <v>0.14000000000000001</v>
      </c>
      <c r="K292" s="3">
        <v>0.13639999999999999</v>
      </c>
      <c r="L292" s="3">
        <v>0.86</v>
      </c>
      <c r="M292" s="3">
        <v>0.19400000000000001</v>
      </c>
      <c r="N292" s="3">
        <v>0</v>
      </c>
      <c r="O292" s="3">
        <v>16</v>
      </c>
      <c r="P292" s="3">
        <v>16</v>
      </c>
      <c r="Q292" t="str" cm="1">
        <f t="array" ref="Q292">_xlfn.IFS(F292&lt;=12,"morning",F292&lt;=18,"afternoon",F292&lt;=24,"night")</f>
        <v>morning</v>
      </c>
      <c r="R292" t="str">
        <f t="shared" si="8"/>
        <v>Thursday</v>
      </c>
    </row>
    <row r="293" spans="1:18" x14ac:dyDescent="0.3">
      <c r="A293" s="3">
        <v>902</v>
      </c>
      <c r="B293" s="4">
        <v>40584</v>
      </c>
      <c r="C293" s="3">
        <v>1</v>
      </c>
      <c r="D293" s="3">
        <v>0</v>
      </c>
      <c r="E293" s="3">
        <v>2</v>
      </c>
      <c r="F293" s="3">
        <v>1</v>
      </c>
      <c r="G293" s="3" t="b">
        <v>0</v>
      </c>
      <c r="H293" s="3">
        <v>4</v>
      </c>
      <c r="I293" s="3">
        <v>3</v>
      </c>
      <c r="J293" s="3">
        <v>0.14000000000000001</v>
      </c>
      <c r="K293" s="3">
        <v>0.1515</v>
      </c>
      <c r="L293" s="3">
        <v>0.8</v>
      </c>
      <c r="M293" s="3">
        <v>0.1343</v>
      </c>
      <c r="N293" s="3">
        <v>0</v>
      </c>
      <c r="O293" s="3">
        <v>7</v>
      </c>
      <c r="P293" s="3">
        <v>7</v>
      </c>
      <c r="Q293" t="str" cm="1">
        <f t="array" ref="Q293">_xlfn.IFS(F293&lt;=12,"morning",F293&lt;=18,"afternoon",F293&lt;=24,"night")</f>
        <v>morning</v>
      </c>
      <c r="R293" t="str">
        <f t="shared" si="8"/>
        <v>Thursday</v>
      </c>
    </row>
    <row r="294" spans="1:18" x14ac:dyDescent="0.3">
      <c r="A294" s="3">
        <v>903</v>
      </c>
      <c r="B294" s="4">
        <v>40584</v>
      </c>
      <c r="C294" s="3">
        <v>1</v>
      </c>
      <c r="D294" s="3">
        <v>0</v>
      </c>
      <c r="E294" s="3">
        <v>2</v>
      </c>
      <c r="F294" s="3">
        <v>2</v>
      </c>
      <c r="G294" s="3" t="b">
        <v>0</v>
      </c>
      <c r="H294" s="3">
        <v>4</v>
      </c>
      <c r="I294" s="3">
        <v>3</v>
      </c>
      <c r="J294" s="3">
        <v>0.14000000000000001</v>
      </c>
      <c r="K294" s="3">
        <v>0.1515</v>
      </c>
      <c r="L294" s="3">
        <v>0.8</v>
      </c>
      <c r="M294" s="3">
        <v>0.1343</v>
      </c>
      <c r="N294" s="3">
        <v>0</v>
      </c>
      <c r="O294" s="3">
        <v>3</v>
      </c>
      <c r="P294" s="3">
        <v>3</v>
      </c>
      <c r="Q294" t="str" cm="1">
        <f t="array" ref="Q294">_xlfn.IFS(F294&lt;=12,"morning",F294&lt;=18,"afternoon",F294&lt;=24,"night")</f>
        <v>morning</v>
      </c>
      <c r="R294" t="str">
        <f t="shared" si="8"/>
        <v>Thursday</v>
      </c>
    </row>
    <row r="295" spans="1:18" x14ac:dyDescent="0.3">
      <c r="A295" s="3">
        <v>904</v>
      </c>
      <c r="B295" s="4">
        <v>40584</v>
      </c>
      <c r="C295" s="3">
        <v>1</v>
      </c>
      <c r="D295" s="3">
        <v>0</v>
      </c>
      <c r="E295" s="3">
        <v>2</v>
      </c>
      <c r="F295" s="3">
        <v>4</v>
      </c>
      <c r="G295" s="3" t="b">
        <v>0</v>
      </c>
      <c r="H295" s="3">
        <v>4</v>
      </c>
      <c r="I295" s="3">
        <v>2</v>
      </c>
      <c r="J295" s="3">
        <v>0.14000000000000001</v>
      </c>
      <c r="K295" s="3">
        <v>0.13639999999999999</v>
      </c>
      <c r="L295" s="3">
        <v>0.59</v>
      </c>
      <c r="M295" s="3">
        <v>0.22389999999999999</v>
      </c>
      <c r="N295" s="3">
        <v>0</v>
      </c>
      <c r="O295" s="3">
        <v>1</v>
      </c>
      <c r="P295" s="3">
        <v>1</v>
      </c>
      <c r="Q295" t="str" cm="1">
        <f t="array" ref="Q295">_xlfn.IFS(F295&lt;=12,"morning",F295&lt;=18,"afternoon",F295&lt;=24,"night")</f>
        <v>morning</v>
      </c>
      <c r="R295" t="str">
        <f t="shared" si="8"/>
        <v>Thursday</v>
      </c>
    </row>
    <row r="296" spans="1:18" x14ac:dyDescent="0.3">
      <c r="A296" s="3">
        <v>905</v>
      </c>
      <c r="B296" s="4">
        <v>40584</v>
      </c>
      <c r="C296" s="3">
        <v>1</v>
      </c>
      <c r="D296" s="3">
        <v>0</v>
      </c>
      <c r="E296" s="3">
        <v>2</v>
      </c>
      <c r="F296" s="3">
        <v>5</v>
      </c>
      <c r="G296" s="3" t="b">
        <v>0</v>
      </c>
      <c r="H296" s="3">
        <v>4</v>
      </c>
      <c r="I296" s="3">
        <v>2</v>
      </c>
      <c r="J296" s="3">
        <v>0.12</v>
      </c>
      <c r="K296" s="3">
        <v>0.1212</v>
      </c>
      <c r="L296" s="3">
        <v>0.5</v>
      </c>
      <c r="M296" s="3">
        <v>0.22389999999999999</v>
      </c>
      <c r="N296" s="3">
        <v>0</v>
      </c>
      <c r="O296" s="3">
        <v>6</v>
      </c>
      <c r="P296" s="3">
        <v>6</v>
      </c>
      <c r="Q296" t="str" cm="1">
        <f t="array" ref="Q296">_xlfn.IFS(F296&lt;=12,"morning",F296&lt;=18,"afternoon",F296&lt;=24,"night")</f>
        <v>morning</v>
      </c>
      <c r="R296" t="str">
        <f t="shared" si="8"/>
        <v>Thursday</v>
      </c>
    </row>
    <row r="297" spans="1:18" x14ac:dyDescent="0.3">
      <c r="A297" s="3">
        <v>906</v>
      </c>
      <c r="B297" s="4">
        <v>40584</v>
      </c>
      <c r="C297" s="3">
        <v>1</v>
      </c>
      <c r="D297" s="3">
        <v>0</v>
      </c>
      <c r="E297" s="3">
        <v>2</v>
      </c>
      <c r="F297" s="3">
        <v>6</v>
      </c>
      <c r="G297" s="3" t="b">
        <v>0</v>
      </c>
      <c r="H297" s="3">
        <v>4</v>
      </c>
      <c r="I297" s="3">
        <v>2</v>
      </c>
      <c r="J297" s="3">
        <v>0.12</v>
      </c>
      <c r="K297" s="3">
        <v>0.1212</v>
      </c>
      <c r="L297" s="3">
        <v>0.54</v>
      </c>
      <c r="M297" s="3">
        <v>0.28360000000000002</v>
      </c>
      <c r="N297" s="3">
        <v>0</v>
      </c>
      <c r="O297" s="3">
        <v>26</v>
      </c>
      <c r="P297" s="3">
        <v>26</v>
      </c>
      <c r="Q297" t="str" cm="1">
        <f t="array" ref="Q297">_xlfn.IFS(F297&lt;=12,"morning",F297&lt;=18,"afternoon",F297&lt;=24,"night")</f>
        <v>morning</v>
      </c>
      <c r="R297" t="str">
        <f t="shared" si="8"/>
        <v>Thursday</v>
      </c>
    </row>
    <row r="298" spans="1:18" x14ac:dyDescent="0.3">
      <c r="A298" s="3">
        <v>907</v>
      </c>
      <c r="B298" s="4">
        <v>40584</v>
      </c>
      <c r="C298" s="3">
        <v>1</v>
      </c>
      <c r="D298" s="3">
        <v>0</v>
      </c>
      <c r="E298" s="3">
        <v>2</v>
      </c>
      <c r="F298" s="3">
        <v>7</v>
      </c>
      <c r="G298" s="3" t="b">
        <v>0</v>
      </c>
      <c r="H298" s="3">
        <v>4</v>
      </c>
      <c r="I298" s="3">
        <v>1</v>
      </c>
      <c r="J298" s="3">
        <v>0.1</v>
      </c>
      <c r="K298" s="3">
        <v>7.5800000000000006E-2</v>
      </c>
      <c r="L298" s="3">
        <v>0.5</v>
      </c>
      <c r="M298" s="3">
        <v>0.41789999999999999</v>
      </c>
      <c r="N298" s="3">
        <v>0</v>
      </c>
      <c r="O298" s="3">
        <v>99</v>
      </c>
      <c r="P298" s="3">
        <v>99</v>
      </c>
      <c r="Q298" t="str" cm="1">
        <f t="array" ref="Q298">_xlfn.IFS(F298&lt;=12,"morning",F298&lt;=18,"afternoon",F298&lt;=24,"night")</f>
        <v>morning</v>
      </c>
      <c r="R298" t="str">
        <f t="shared" si="8"/>
        <v>Thursday</v>
      </c>
    </row>
    <row r="299" spans="1:18" x14ac:dyDescent="0.3">
      <c r="A299" s="3">
        <v>908</v>
      </c>
      <c r="B299" s="4">
        <v>40584</v>
      </c>
      <c r="C299" s="3">
        <v>1</v>
      </c>
      <c r="D299" s="3">
        <v>0</v>
      </c>
      <c r="E299" s="3">
        <v>2</v>
      </c>
      <c r="F299" s="3">
        <v>8</v>
      </c>
      <c r="G299" s="3" t="b">
        <v>0</v>
      </c>
      <c r="H299" s="3">
        <v>4</v>
      </c>
      <c r="I299" s="3">
        <v>1</v>
      </c>
      <c r="J299" s="3">
        <v>0.1</v>
      </c>
      <c r="K299" s="3">
        <v>7.5800000000000006E-2</v>
      </c>
      <c r="L299" s="3">
        <v>0.49</v>
      </c>
      <c r="M299" s="3">
        <v>0.32840000000000003</v>
      </c>
      <c r="N299" s="3">
        <v>5</v>
      </c>
      <c r="O299" s="3">
        <v>173</v>
      </c>
      <c r="P299" s="3">
        <v>178</v>
      </c>
      <c r="Q299" t="str" cm="1">
        <f t="array" ref="Q299">_xlfn.IFS(F299&lt;=12,"morning",F299&lt;=18,"afternoon",F299&lt;=24,"night")</f>
        <v>morning</v>
      </c>
      <c r="R299" t="str">
        <f t="shared" si="8"/>
        <v>Thursday</v>
      </c>
    </row>
    <row r="300" spans="1:18" x14ac:dyDescent="0.3">
      <c r="A300" s="3">
        <v>909</v>
      </c>
      <c r="B300" s="4">
        <v>40584</v>
      </c>
      <c r="C300" s="3">
        <v>1</v>
      </c>
      <c r="D300" s="3">
        <v>0</v>
      </c>
      <c r="E300" s="3">
        <v>2</v>
      </c>
      <c r="F300" s="3">
        <v>9</v>
      </c>
      <c r="G300" s="3" t="b">
        <v>0</v>
      </c>
      <c r="H300" s="3">
        <v>4</v>
      </c>
      <c r="I300" s="3">
        <v>1</v>
      </c>
      <c r="J300" s="3">
        <v>0.12</v>
      </c>
      <c r="K300" s="3">
        <v>0.1061</v>
      </c>
      <c r="L300" s="3">
        <v>0.42</v>
      </c>
      <c r="M300" s="3">
        <v>0.35820000000000002</v>
      </c>
      <c r="N300" s="3">
        <v>1</v>
      </c>
      <c r="O300" s="3">
        <v>121</v>
      </c>
      <c r="P300" s="3">
        <v>122</v>
      </c>
      <c r="Q300" t="str" cm="1">
        <f t="array" ref="Q300">_xlfn.IFS(F300&lt;=12,"morning",F300&lt;=18,"afternoon",F300&lt;=24,"night")</f>
        <v>morning</v>
      </c>
      <c r="R300" t="str">
        <f t="shared" si="8"/>
        <v>Thursday</v>
      </c>
    </row>
    <row r="301" spans="1:18" x14ac:dyDescent="0.3">
      <c r="A301" s="3">
        <v>910</v>
      </c>
      <c r="B301" s="4">
        <v>40584</v>
      </c>
      <c r="C301" s="3">
        <v>1</v>
      </c>
      <c r="D301" s="3">
        <v>0</v>
      </c>
      <c r="E301" s="3">
        <v>2</v>
      </c>
      <c r="F301" s="3">
        <v>10</v>
      </c>
      <c r="G301" s="3" t="b">
        <v>0</v>
      </c>
      <c r="H301" s="3">
        <v>4</v>
      </c>
      <c r="I301" s="3">
        <v>1</v>
      </c>
      <c r="J301" s="3">
        <v>0.12</v>
      </c>
      <c r="K301" s="3">
        <v>0.1061</v>
      </c>
      <c r="L301" s="3">
        <v>0.42</v>
      </c>
      <c r="M301" s="3">
        <v>0.29849999999999999</v>
      </c>
      <c r="N301" s="3">
        <v>1</v>
      </c>
      <c r="O301" s="3">
        <v>34</v>
      </c>
      <c r="P301" s="3">
        <v>35</v>
      </c>
      <c r="Q301" t="str" cm="1">
        <f t="array" ref="Q301">_xlfn.IFS(F301&lt;=12,"morning",F301&lt;=18,"afternoon",F301&lt;=24,"night")</f>
        <v>morning</v>
      </c>
      <c r="R301" t="str">
        <f t="shared" si="8"/>
        <v>Thursday</v>
      </c>
    </row>
    <row r="302" spans="1:18" x14ac:dyDescent="0.3">
      <c r="A302" s="3">
        <v>911</v>
      </c>
      <c r="B302" s="4">
        <v>40584</v>
      </c>
      <c r="C302" s="3">
        <v>1</v>
      </c>
      <c r="D302" s="3">
        <v>0</v>
      </c>
      <c r="E302" s="3">
        <v>2</v>
      </c>
      <c r="F302" s="3">
        <v>11</v>
      </c>
      <c r="G302" s="3" t="b">
        <v>0</v>
      </c>
      <c r="H302" s="3">
        <v>4</v>
      </c>
      <c r="I302" s="3">
        <v>1</v>
      </c>
      <c r="J302" s="3">
        <v>0.14000000000000001</v>
      </c>
      <c r="K302" s="3">
        <v>0.1212</v>
      </c>
      <c r="L302" s="3">
        <v>0.39</v>
      </c>
      <c r="M302" s="3">
        <v>0.35820000000000002</v>
      </c>
      <c r="N302" s="3">
        <v>1</v>
      </c>
      <c r="O302" s="3">
        <v>44</v>
      </c>
      <c r="P302" s="3">
        <v>45</v>
      </c>
      <c r="Q302" t="str" cm="1">
        <f t="array" ref="Q302">_xlfn.IFS(F302&lt;=12,"morning",F302&lt;=18,"afternoon",F302&lt;=24,"night")</f>
        <v>morning</v>
      </c>
      <c r="R302" t="str">
        <f t="shared" si="8"/>
        <v>Thursday</v>
      </c>
    </row>
    <row r="303" spans="1:18" x14ac:dyDescent="0.3">
      <c r="A303" s="3">
        <v>912</v>
      </c>
      <c r="B303" s="4">
        <v>40584</v>
      </c>
      <c r="C303" s="3">
        <v>1</v>
      </c>
      <c r="D303" s="3">
        <v>0</v>
      </c>
      <c r="E303" s="3">
        <v>2</v>
      </c>
      <c r="F303" s="3">
        <v>12</v>
      </c>
      <c r="G303" s="3" t="b">
        <v>0</v>
      </c>
      <c r="H303" s="3">
        <v>4</v>
      </c>
      <c r="I303" s="3">
        <v>1</v>
      </c>
      <c r="J303" s="3">
        <v>0.16</v>
      </c>
      <c r="K303" s="3">
        <v>0.13639999999999999</v>
      </c>
      <c r="L303" s="3">
        <v>0.34</v>
      </c>
      <c r="M303" s="3">
        <v>0.3881</v>
      </c>
      <c r="N303" s="3">
        <v>4</v>
      </c>
      <c r="O303" s="3">
        <v>65</v>
      </c>
      <c r="P303" s="3">
        <v>69</v>
      </c>
      <c r="Q303" t="str" cm="1">
        <f t="array" ref="Q303">_xlfn.IFS(F303&lt;=12,"morning",F303&lt;=18,"afternoon",F303&lt;=24,"night")</f>
        <v>morning</v>
      </c>
      <c r="R303" t="str">
        <f t="shared" si="8"/>
        <v>Thursday</v>
      </c>
    </row>
    <row r="304" spans="1:18" x14ac:dyDescent="0.3">
      <c r="A304" s="3">
        <v>913</v>
      </c>
      <c r="B304" s="4">
        <v>40584</v>
      </c>
      <c r="C304" s="3">
        <v>1</v>
      </c>
      <c r="D304" s="3">
        <v>0</v>
      </c>
      <c r="E304" s="3">
        <v>2</v>
      </c>
      <c r="F304" s="3">
        <v>13</v>
      </c>
      <c r="G304" s="3" t="b">
        <v>0</v>
      </c>
      <c r="H304" s="3">
        <v>4</v>
      </c>
      <c r="I304" s="3">
        <v>1</v>
      </c>
      <c r="J304" s="3">
        <v>0.18</v>
      </c>
      <c r="K304" s="3">
        <v>0.16669999999999999</v>
      </c>
      <c r="L304" s="3">
        <v>0.28999999999999998</v>
      </c>
      <c r="M304" s="3">
        <v>0.29849999999999999</v>
      </c>
      <c r="N304" s="3">
        <v>3</v>
      </c>
      <c r="O304" s="3">
        <v>59</v>
      </c>
      <c r="P304" s="3">
        <v>62</v>
      </c>
      <c r="Q304" t="str" cm="1">
        <f t="array" ref="Q304">_xlfn.IFS(F304&lt;=12,"morning",F304&lt;=18,"afternoon",F304&lt;=24,"night")</f>
        <v>afternoon</v>
      </c>
      <c r="R304" t="str">
        <f t="shared" si="8"/>
        <v>Thursday</v>
      </c>
    </row>
    <row r="305" spans="1:18" x14ac:dyDescent="0.3">
      <c r="A305" s="3">
        <v>914</v>
      </c>
      <c r="B305" s="4">
        <v>40584</v>
      </c>
      <c r="C305" s="3">
        <v>1</v>
      </c>
      <c r="D305" s="3">
        <v>0</v>
      </c>
      <c r="E305" s="3">
        <v>2</v>
      </c>
      <c r="F305" s="3">
        <v>14</v>
      </c>
      <c r="G305" s="3" t="b">
        <v>0</v>
      </c>
      <c r="H305" s="3">
        <v>4</v>
      </c>
      <c r="I305" s="3">
        <v>1</v>
      </c>
      <c r="J305" s="3">
        <v>0.2</v>
      </c>
      <c r="K305" s="3">
        <v>0.18179999999999999</v>
      </c>
      <c r="L305" s="3">
        <v>0.27</v>
      </c>
      <c r="M305" s="3">
        <v>0.28360000000000002</v>
      </c>
      <c r="N305" s="3">
        <v>6</v>
      </c>
      <c r="O305" s="3">
        <v>42</v>
      </c>
      <c r="P305" s="3">
        <v>48</v>
      </c>
      <c r="Q305" t="str" cm="1">
        <f t="array" ref="Q305">_xlfn.IFS(F305&lt;=12,"morning",F305&lt;=18,"afternoon",F305&lt;=24,"night")</f>
        <v>afternoon</v>
      </c>
      <c r="R305" t="str">
        <f t="shared" si="8"/>
        <v>Thursday</v>
      </c>
    </row>
    <row r="306" spans="1:18" x14ac:dyDescent="0.3">
      <c r="A306" s="3">
        <v>915</v>
      </c>
      <c r="B306" s="4">
        <v>40584</v>
      </c>
      <c r="C306" s="3">
        <v>1</v>
      </c>
      <c r="D306" s="3">
        <v>0</v>
      </c>
      <c r="E306" s="3">
        <v>2</v>
      </c>
      <c r="F306" s="3">
        <v>15</v>
      </c>
      <c r="G306" s="3" t="b">
        <v>0</v>
      </c>
      <c r="H306" s="3">
        <v>4</v>
      </c>
      <c r="I306" s="3">
        <v>1</v>
      </c>
      <c r="J306" s="3">
        <v>0.2</v>
      </c>
      <c r="K306" s="3">
        <v>0.19700000000000001</v>
      </c>
      <c r="L306" s="3">
        <v>0.25</v>
      </c>
      <c r="M306" s="3">
        <v>0.25369999999999998</v>
      </c>
      <c r="N306" s="3">
        <v>0</v>
      </c>
      <c r="O306" s="3">
        <v>50</v>
      </c>
      <c r="P306" s="3">
        <v>50</v>
      </c>
      <c r="Q306" t="str" cm="1">
        <f t="array" ref="Q306">_xlfn.IFS(F306&lt;=12,"morning",F306&lt;=18,"afternoon",F306&lt;=24,"night")</f>
        <v>afternoon</v>
      </c>
      <c r="R306" t="str">
        <f t="shared" si="8"/>
        <v>Thursday</v>
      </c>
    </row>
    <row r="307" spans="1:18" x14ac:dyDescent="0.3">
      <c r="A307" s="3">
        <v>916</v>
      </c>
      <c r="B307" s="4">
        <v>40584</v>
      </c>
      <c r="C307" s="3">
        <v>1</v>
      </c>
      <c r="D307" s="3">
        <v>0</v>
      </c>
      <c r="E307" s="3">
        <v>2</v>
      </c>
      <c r="F307" s="3">
        <v>16</v>
      </c>
      <c r="G307" s="3" t="b">
        <v>0</v>
      </c>
      <c r="H307" s="3">
        <v>4</v>
      </c>
      <c r="I307" s="3">
        <v>1</v>
      </c>
      <c r="J307" s="3">
        <v>0.2</v>
      </c>
      <c r="K307" s="3">
        <v>0.18179999999999999</v>
      </c>
      <c r="L307" s="3">
        <v>0.27</v>
      </c>
      <c r="M307" s="3">
        <v>0.29849999999999999</v>
      </c>
      <c r="N307" s="3">
        <v>4</v>
      </c>
      <c r="O307" s="3">
        <v>76</v>
      </c>
      <c r="P307" s="3">
        <v>80</v>
      </c>
      <c r="Q307" t="str" cm="1">
        <f t="array" ref="Q307">_xlfn.IFS(F307&lt;=12,"morning",F307&lt;=18,"afternoon",F307&lt;=24,"night")</f>
        <v>afternoon</v>
      </c>
      <c r="R307" t="str">
        <f t="shared" si="8"/>
        <v>Thursday</v>
      </c>
    </row>
    <row r="308" spans="1:18" x14ac:dyDescent="0.3">
      <c r="A308" s="3">
        <v>917</v>
      </c>
      <c r="B308" s="4">
        <v>40584</v>
      </c>
      <c r="C308" s="3">
        <v>1</v>
      </c>
      <c r="D308" s="3">
        <v>0</v>
      </c>
      <c r="E308" s="3">
        <v>2</v>
      </c>
      <c r="F308" s="3">
        <v>17</v>
      </c>
      <c r="G308" s="3" t="b">
        <v>0</v>
      </c>
      <c r="H308" s="3">
        <v>4</v>
      </c>
      <c r="I308" s="3">
        <v>1</v>
      </c>
      <c r="J308" s="3">
        <v>0.18</v>
      </c>
      <c r="K308" s="3">
        <v>0.18179999999999999</v>
      </c>
      <c r="L308" s="3">
        <v>0.26</v>
      </c>
      <c r="M308" s="3">
        <v>0.19400000000000001</v>
      </c>
      <c r="N308" s="3">
        <v>6</v>
      </c>
      <c r="O308" s="3">
        <v>159</v>
      </c>
      <c r="P308" s="3">
        <v>165</v>
      </c>
      <c r="Q308" t="str" cm="1">
        <f t="array" ref="Q308">_xlfn.IFS(F308&lt;=12,"morning",F308&lt;=18,"afternoon",F308&lt;=24,"night")</f>
        <v>afternoon</v>
      </c>
      <c r="R308" t="str">
        <f t="shared" si="8"/>
        <v>Thursday</v>
      </c>
    </row>
    <row r="309" spans="1:18" x14ac:dyDescent="0.3">
      <c r="A309" s="3">
        <v>918</v>
      </c>
      <c r="B309" s="4">
        <v>40584</v>
      </c>
      <c r="C309" s="3">
        <v>1</v>
      </c>
      <c r="D309" s="3">
        <v>0</v>
      </c>
      <c r="E309" s="3">
        <v>2</v>
      </c>
      <c r="F309" s="3">
        <v>18</v>
      </c>
      <c r="G309" s="3" t="b">
        <v>0</v>
      </c>
      <c r="H309" s="3">
        <v>4</v>
      </c>
      <c r="I309" s="3">
        <v>1</v>
      </c>
      <c r="J309" s="3">
        <v>0.16</v>
      </c>
      <c r="K309" s="3">
        <v>0.18179999999999999</v>
      </c>
      <c r="L309" s="3">
        <v>0.28000000000000003</v>
      </c>
      <c r="M309" s="3">
        <v>0.1343</v>
      </c>
      <c r="N309" s="3">
        <v>3</v>
      </c>
      <c r="O309" s="3">
        <v>157</v>
      </c>
      <c r="P309" s="3">
        <v>160</v>
      </c>
      <c r="Q309" t="str" cm="1">
        <f t="array" ref="Q309">_xlfn.IFS(F309&lt;=12,"morning",F309&lt;=18,"afternoon",F309&lt;=24,"night")</f>
        <v>afternoon</v>
      </c>
      <c r="R309" t="str">
        <f t="shared" si="8"/>
        <v>Thursday</v>
      </c>
    </row>
    <row r="310" spans="1:18" x14ac:dyDescent="0.3">
      <c r="A310" s="3">
        <v>919</v>
      </c>
      <c r="B310" s="4">
        <v>40584</v>
      </c>
      <c r="C310" s="3">
        <v>1</v>
      </c>
      <c r="D310" s="3">
        <v>0</v>
      </c>
      <c r="E310" s="3">
        <v>2</v>
      </c>
      <c r="F310" s="3">
        <v>19</v>
      </c>
      <c r="G310" s="3" t="b">
        <v>0</v>
      </c>
      <c r="H310" s="3">
        <v>4</v>
      </c>
      <c r="I310" s="3">
        <v>1</v>
      </c>
      <c r="J310" s="3">
        <v>0.14000000000000001</v>
      </c>
      <c r="K310" s="3">
        <v>0.16669999999999999</v>
      </c>
      <c r="L310" s="3">
        <v>0.28000000000000003</v>
      </c>
      <c r="M310" s="3">
        <v>0.1045</v>
      </c>
      <c r="N310" s="3">
        <v>2</v>
      </c>
      <c r="O310" s="3">
        <v>110</v>
      </c>
      <c r="P310" s="3">
        <v>112</v>
      </c>
      <c r="Q310" t="str" cm="1">
        <f t="array" ref="Q310">_xlfn.IFS(F310&lt;=12,"morning",F310&lt;=18,"afternoon",F310&lt;=24,"night")</f>
        <v>night</v>
      </c>
      <c r="R310" t="str">
        <f t="shared" si="8"/>
        <v>Thursday</v>
      </c>
    </row>
    <row r="311" spans="1:18" x14ac:dyDescent="0.3">
      <c r="A311" s="3">
        <v>920</v>
      </c>
      <c r="B311" s="4">
        <v>40584</v>
      </c>
      <c r="C311" s="3">
        <v>1</v>
      </c>
      <c r="D311" s="3">
        <v>0</v>
      </c>
      <c r="E311" s="3">
        <v>2</v>
      </c>
      <c r="F311" s="3">
        <v>20</v>
      </c>
      <c r="G311" s="3" t="b">
        <v>0</v>
      </c>
      <c r="H311" s="3">
        <v>4</v>
      </c>
      <c r="I311" s="3">
        <v>1</v>
      </c>
      <c r="J311" s="3">
        <v>0.14000000000000001</v>
      </c>
      <c r="K311" s="3">
        <v>0.18179999999999999</v>
      </c>
      <c r="L311" s="3">
        <v>0.31</v>
      </c>
      <c r="M311" s="3">
        <v>8.9599999999999999E-2</v>
      </c>
      <c r="N311" s="3">
        <v>4</v>
      </c>
      <c r="O311" s="3">
        <v>93</v>
      </c>
      <c r="P311" s="3">
        <v>97</v>
      </c>
      <c r="Q311" t="str" cm="1">
        <f t="array" ref="Q311">_xlfn.IFS(F311&lt;=12,"morning",F311&lt;=18,"afternoon",F311&lt;=24,"night")</f>
        <v>night</v>
      </c>
      <c r="R311" t="str">
        <f t="shared" si="8"/>
        <v>Thursday</v>
      </c>
    </row>
    <row r="312" spans="1:18" x14ac:dyDescent="0.3">
      <c r="A312" s="3">
        <v>921</v>
      </c>
      <c r="B312" s="4">
        <v>40584</v>
      </c>
      <c r="C312" s="3">
        <v>1</v>
      </c>
      <c r="D312" s="3">
        <v>0</v>
      </c>
      <c r="E312" s="3">
        <v>2</v>
      </c>
      <c r="F312" s="3">
        <v>21</v>
      </c>
      <c r="G312" s="3" t="b">
        <v>0</v>
      </c>
      <c r="H312" s="3">
        <v>4</v>
      </c>
      <c r="I312" s="3">
        <v>1</v>
      </c>
      <c r="J312" s="3">
        <v>0.14000000000000001</v>
      </c>
      <c r="K312" s="3">
        <v>0.21210000000000001</v>
      </c>
      <c r="L312" s="3">
        <v>0.39</v>
      </c>
      <c r="M312" s="3">
        <v>0</v>
      </c>
      <c r="N312" s="3">
        <v>2</v>
      </c>
      <c r="O312" s="3">
        <v>70</v>
      </c>
      <c r="P312" s="3">
        <v>72</v>
      </c>
      <c r="Q312" t="str" cm="1">
        <f t="array" ref="Q312">_xlfn.IFS(F312&lt;=12,"morning",F312&lt;=18,"afternoon",F312&lt;=24,"night")</f>
        <v>night</v>
      </c>
      <c r="R312" t="str">
        <f t="shared" si="8"/>
        <v>Thursday</v>
      </c>
    </row>
    <row r="313" spans="1:18" x14ac:dyDescent="0.3">
      <c r="A313" s="3">
        <v>922</v>
      </c>
      <c r="B313" s="4">
        <v>40584</v>
      </c>
      <c r="C313" s="3">
        <v>1</v>
      </c>
      <c r="D313" s="3">
        <v>0</v>
      </c>
      <c r="E313" s="3">
        <v>2</v>
      </c>
      <c r="F313" s="3">
        <v>22</v>
      </c>
      <c r="G313" s="3" t="b">
        <v>0</v>
      </c>
      <c r="H313" s="3">
        <v>4</v>
      </c>
      <c r="I313" s="3">
        <v>1</v>
      </c>
      <c r="J313" s="3">
        <v>0.12</v>
      </c>
      <c r="K313" s="3">
        <v>0.19700000000000001</v>
      </c>
      <c r="L313" s="3">
        <v>0.39</v>
      </c>
      <c r="M313" s="3">
        <v>0</v>
      </c>
      <c r="N313" s="3">
        <v>4</v>
      </c>
      <c r="O313" s="3">
        <v>47</v>
      </c>
      <c r="P313" s="3">
        <v>51</v>
      </c>
      <c r="Q313" t="str" cm="1">
        <f t="array" ref="Q313">_xlfn.IFS(F313&lt;=12,"morning",F313&lt;=18,"afternoon",F313&lt;=24,"night")</f>
        <v>night</v>
      </c>
      <c r="R313" t="str">
        <f t="shared" si="8"/>
        <v>Thursday</v>
      </c>
    </row>
    <row r="314" spans="1:18" x14ac:dyDescent="0.3">
      <c r="A314" s="3">
        <v>923</v>
      </c>
      <c r="B314" s="4">
        <v>40584</v>
      </c>
      <c r="C314" s="3">
        <v>1</v>
      </c>
      <c r="D314" s="3">
        <v>0</v>
      </c>
      <c r="E314" s="3">
        <v>2</v>
      </c>
      <c r="F314" s="3">
        <v>23</v>
      </c>
      <c r="G314" s="3" t="b">
        <v>0</v>
      </c>
      <c r="H314" s="3">
        <v>4</v>
      </c>
      <c r="I314" s="3">
        <v>1</v>
      </c>
      <c r="J314" s="3">
        <v>0.12</v>
      </c>
      <c r="K314" s="3">
        <v>0.1515</v>
      </c>
      <c r="L314" s="3">
        <v>0.42</v>
      </c>
      <c r="M314" s="3">
        <v>0.1045</v>
      </c>
      <c r="N314" s="3">
        <v>1</v>
      </c>
      <c r="O314" s="3">
        <v>33</v>
      </c>
      <c r="P314" s="3">
        <v>34</v>
      </c>
      <c r="Q314" t="str" cm="1">
        <f t="array" ref="Q314">_xlfn.IFS(F314&lt;=12,"morning",F314&lt;=18,"afternoon",F314&lt;=24,"night")</f>
        <v>night</v>
      </c>
      <c r="R314" t="str">
        <f t="shared" si="8"/>
        <v>Thursday</v>
      </c>
    </row>
    <row r="315" spans="1:18" x14ac:dyDescent="0.3">
      <c r="A315" s="3">
        <v>924</v>
      </c>
      <c r="B315" s="4">
        <v>40585</v>
      </c>
      <c r="C315" s="3">
        <v>1</v>
      </c>
      <c r="D315" s="3">
        <v>0</v>
      </c>
      <c r="E315" s="3">
        <v>2</v>
      </c>
      <c r="F315" s="3">
        <v>0</v>
      </c>
      <c r="G315" s="3" t="b">
        <v>0</v>
      </c>
      <c r="H315" s="3">
        <v>5</v>
      </c>
      <c r="I315" s="3">
        <v>1</v>
      </c>
      <c r="J315" s="3">
        <v>0.1</v>
      </c>
      <c r="K315" s="3">
        <v>0.13639999999999999</v>
      </c>
      <c r="L315" s="3">
        <v>0.49</v>
      </c>
      <c r="M315" s="3">
        <v>0.1045</v>
      </c>
      <c r="N315" s="3">
        <v>2</v>
      </c>
      <c r="O315" s="3">
        <v>12</v>
      </c>
      <c r="P315" s="3">
        <v>14</v>
      </c>
      <c r="Q315" t="str" cm="1">
        <f t="array" ref="Q315">_xlfn.IFS(F315&lt;=12,"morning",F315&lt;=18,"afternoon",F315&lt;=24,"night")</f>
        <v>morning</v>
      </c>
      <c r="R315" t="str">
        <f t="shared" si="8"/>
        <v>Friday</v>
      </c>
    </row>
    <row r="316" spans="1:18" x14ac:dyDescent="0.3">
      <c r="A316" s="3">
        <v>925</v>
      </c>
      <c r="B316" s="4">
        <v>40585</v>
      </c>
      <c r="C316" s="3">
        <v>1</v>
      </c>
      <c r="D316" s="3">
        <v>0</v>
      </c>
      <c r="E316" s="3">
        <v>2</v>
      </c>
      <c r="F316" s="3">
        <v>1</v>
      </c>
      <c r="G316" s="3" t="b">
        <v>0</v>
      </c>
      <c r="H316" s="3">
        <v>5</v>
      </c>
      <c r="I316" s="3">
        <v>1</v>
      </c>
      <c r="J316" s="3">
        <v>0.1</v>
      </c>
      <c r="K316" s="3">
        <v>0.13639999999999999</v>
      </c>
      <c r="L316" s="3">
        <v>0.54</v>
      </c>
      <c r="M316" s="3">
        <v>8.9599999999999999E-2</v>
      </c>
      <c r="N316" s="3">
        <v>1</v>
      </c>
      <c r="O316" s="3">
        <v>6</v>
      </c>
      <c r="P316" s="3">
        <v>7</v>
      </c>
      <c r="Q316" t="str" cm="1">
        <f t="array" ref="Q316">_xlfn.IFS(F316&lt;=12,"morning",F316&lt;=18,"afternoon",F316&lt;=24,"night")</f>
        <v>morning</v>
      </c>
      <c r="R316" t="str">
        <f t="shared" si="8"/>
        <v>Friday</v>
      </c>
    </row>
    <row r="317" spans="1:18" x14ac:dyDescent="0.3">
      <c r="A317" s="3">
        <v>926</v>
      </c>
      <c r="B317" s="4">
        <v>40585</v>
      </c>
      <c r="C317" s="3">
        <v>1</v>
      </c>
      <c r="D317" s="3">
        <v>0</v>
      </c>
      <c r="E317" s="3">
        <v>2</v>
      </c>
      <c r="F317" s="3">
        <v>2</v>
      </c>
      <c r="G317" s="3" t="b">
        <v>0</v>
      </c>
      <c r="H317" s="3">
        <v>5</v>
      </c>
      <c r="I317" s="3">
        <v>1</v>
      </c>
      <c r="J317" s="3">
        <v>0.1</v>
      </c>
      <c r="K317" s="3">
        <v>0.13639999999999999</v>
      </c>
      <c r="L317" s="3">
        <v>0.54</v>
      </c>
      <c r="M317" s="3">
        <v>8.9599999999999999E-2</v>
      </c>
      <c r="N317" s="3">
        <v>0</v>
      </c>
      <c r="O317" s="3">
        <v>3</v>
      </c>
      <c r="P317" s="3">
        <v>3</v>
      </c>
      <c r="Q317" t="str" cm="1">
        <f t="array" ref="Q317">_xlfn.IFS(F317&lt;=12,"morning",F317&lt;=18,"afternoon",F317&lt;=24,"night")</f>
        <v>morning</v>
      </c>
      <c r="R317" t="str">
        <f t="shared" si="8"/>
        <v>Friday</v>
      </c>
    </row>
    <row r="318" spans="1:18" x14ac:dyDescent="0.3">
      <c r="A318" s="3">
        <v>927</v>
      </c>
      <c r="B318" s="4">
        <v>40585</v>
      </c>
      <c r="C318" s="3">
        <v>1</v>
      </c>
      <c r="D318" s="3">
        <v>0</v>
      </c>
      <c r="E318" s="3">
        <v>2</v>
      </c>
      <c r="F318" s="3">
        <v>5</v>
      </c>
      <c r="G318" s="3" t="b">
        <v>0</v>
      </c>
      <c r="H318" s="3">
        <v>5</v>
      </c>
      <c r="I318" s="3">
        <v>1</v>
      </c>
      <c r="J318" s="3">
        <v>0.08</v>
      </c>
      <c r="K318" s="3">
        <v>0.1212</v>
      </c>
      <c r="L318" s="3">
        <v>0.63</v>
      </c>
      <c r="M318" s="3">
        <v>8.9599999999999999E-2</v>
      </c>
      <c r="N318" s="3">
        <v>0</v>
      </c>
      <c r="O318" s="3">
        <v>4</v>
      </c>
      <c r="P318" s="3">
        <v>4</v>
      </c>
      <c r="Q318" t="str" cm="1">
        <f t="array" ref="Q318">_xlfn.IFS(F318&lt;=12,"morning",F318&lt;=18,"afternoon",F318&lt;=24,"night")</f>
        <v>morning</v>
      </c>
      <c r="R318" t="str">
        <f t="shared" si="8"/>
        <v>Friday</v>
      </c>
    </row>
    <row r="319" spans="1:18" x14ac:dyDescent="0.3">
      <c r="A319" s="3">
        <v>928</v>
      </c>
      <c r="B319" s="4">
        <v>40585</v>
      </c>
      <c r="C319" s="3">
        <v>1</v>
      </c>
      <c r="D319" s="3">
        <v>0</v>
      </c>
      <c r="E319" s="3">
        <v>2</v>
      </c>
      <c r="F319" s="3">
        <v>6</v>
      </c>
      <c r="G319" s="3" t="b">
        <v>0</v>
      </c>
      <c r="H319" s="3">
        <v>5</v>
      </c>
      <c r="I319" s="3">
        <v>1</v>
      </c>
      <c r="J319" s="3">
        <v>0.1</v>
      </c>
      <c r="K319" s="3">
        <v>0.18179999999999999</v>
      </c>
      <c r="L319" s="3">
        <v>0.68</v>
      </c>
      <c r="M319" s="3">
        <v>0</v>
      </c>
      <c r="N319" s="3">
        <v>1</v>
      </c>
      <c r="O319" s="3">
        <v>23</v>
      </c>
      <c r="P319" s="3">
        <v>24</v>
      </c>
      <c r="Q319" t="str" cm="1">
        <f t="array" ref="Q319">_xlfn.IFS(F319&lt;=12,"morning",F319&lt;=18,"afternoon",F319&lt;=24,"night")</f>
        <v>morning</v>
      </c>
      <c r="R319" t="str">
        <f t="shared" si="8"/>
        <v>Friday</v>
      </c>
    </row>
    <row r="320" spans="1:18" x14ac:dyDescent="0.3">
      <c r="A320" s="3">
        <v>929</v>
      </c>
      <c r="B320" s="4">
        <v>40585</v>
      </c>
      <c r="C320" s="3">
        <v>1</v>
      </c>
      <c r="D320" s="3">
        <v>0</v>
      </c>
      <c r="E320" s="3">
        <v>2</v>
      </c>
      <c r="F320" s="3">
        <v>7</v>
      </c>
      <c r="G320" s="3" t="b">
        <v>0</v>
      </c>
      <c r="H320" s="3">
        <v>5</v>
      </c>
      <c r="I320" s="3">
        <v>1</v>
      </c>
      <c r="J320" s="3">
        <v>0.08</v>
      </c>
      <c r="K320" s="3">
        <v>0.16669999999999999</v>
      </c>
      <c r="L320" s="3">
        <v>0.73</v>
      </c>
      <c r="M320" s="3">
        <v>0</v>
      </c>
      <c r="N320" s="3">
        <v>1</v>
      </c>
      <c r="O320" s="3">
        <v>73</v>
      </c>
      <c r="P320" s="3">
        <v>74</v>
      </c>
      <c r="Q320" t="str" cm="1">
        <f t="array" ref="Q320">_xlfn.IFS(F320&lt;=12,"morning",F320&lt;=18,"afternoon",F320&lt;=24,"night")</f>
        <v>morning</v>
      </c>
      <c r="R320" t="str">
        <f t="shared" si="8"/>
        <v>Friday</v>
      </c>
    </row>
    <row r="321" spans="1:18" x14ac:dyDescent="0.3">
      <c r="A321" s="3">
        <v>930</v>
      </c>
      <c r="B321" s="4">
        <v>40585</v>
      </c>
      <c r="C321" s="3">
        <v>1</v>
      </c>
      <c r="D321" s="3">
        <v>0</v>
      </c>
      <c r="E321" s="3">
        <v>2</v>
      </c>
      <c r="F321" s="3">
        <v>8</v>
      </c>
      <c r="G321" s="3" t="b">
        <v>0</v>
      </c>
      <c r="H321" s="3">
        <v>5</v>
      </c>
      <c r="I321" s="3">
        <v>1</v>
      </c>
      <c r="J321" s="3">
        <v>0.1</v>
      </c>
      <c r="K321" s="3">
        <v>0.1212</v>
      </c>
      <c r="L321" s="3">
        <v>0.74</v>
      </c>
      <c r="M321" s="3">
        <v>0.16420000000000001</v>
      </c>
      <c r="N321" s="3">
        <v>4</v>
      </c>
      <c r="O321" s="3">
        <v>212</v>
      </c>
      <c r="P321" s="3">
        <v>216</v>
      </c>
      <c r="Q321" t="str" cm="1">
        <f t="array" ref="Q321">_xlfn.IFS(F321&lt;=12,"morning",F321&lt;=18,"afternoon",F321&lt;=24,"night")</f>
        <v>morning</v>
      </c>
      <c r="R321" t="str">
        <f t="shared" si="8"/>
        <v>Friday</v>
      </c>
    </row>
    <row r="322" spans="1:18" x14ac:dyDescent="0.3">
      <c r="A322" s="3">
        <v>931</v>
      </c>
      <c r="B322" s="4">
        <v>40585</v>
      </c>
      <c r="C322" s="3">
        <v>1</v>
      </c>
      <c r="D322" s="3">
        <v>0</v>
      </c>
      <c r="E322" s="3">
        <v>2</v>
      </c>
      <c r="F322" s="3">
        <v>9</v>
      </c>
      <c r="G322" s="3" t="b">
        <v>0</v>
      </c>
      <c r="H322" s="3">
        <v>5</v>
      </c>
      <c r="I322" s="3">
        <v>1</v>
      </c>
      <c r="J322" s="3">
        <v>0.12</v>
      </c>
      <c r="K322" s="3">
        <v>0.1212</v>
      </c>
      <c r="L322" s="3">
        <v>0.74</v>
      </c>
      <c r="M322" s="3">
        <v>0.22389999999999999</v>
      </c>
      <c r="N322" s="3">
        <v>8</v>
      </c>
      <c r="O322" s="3">
        <v>132</v>
      </c>
      <c r="P322" s="3">
        <v>140</v>
      </c>
      <c r="Q322" t="str" cm="1">
        <f t="array" ref="Q322">_xlfn.IFS(F322&lt;=12,"morning",F322&lt;=18,"afternoon",F322&lt;=24,"night")</f>
        <v>morning</v>
      </c>
      <c r="R322" t="str">
        <f t="shared" ref="R322:R385" si="9">TEXT(B322,"dddd")</f>
        <v>Friday</v>
      </c>
    </row>
    <row r="323" spans="1:18" x14ac:dyDescent="0.3">
      <c r="A323" s="3">
        <v>932</v>
      </c>
      <c r="B323" s="4">
        <v>40585</v>
      </c>
      <c r="C323" s="3">
        <v>1</v>
      </c>
      <c r="D323" s="3">
        <v>0</v>
      </c>
      <c r="E323" s="3">
        <v>2</v>
      </c>
      <c r="F323" s="3">
        <v>10</v>
      </c>
      <c r="G323" s="3" t="b">
        <v>0</v>
      </c>
      <c r="H323" s="3">
        <v>5</v>
      </c>
      <c r="I323" s="3">
        <v>1</v>
      </c>
      <c r="J323" s="3">
        <v>0.14000000000000001</v>
      </c>
      <c r="K323" s="3">
        <v>0.13639999999999999</v>
      </c>
      <c r="L323" s="3">
        <v>0.69</v>
      </c>
      <c r="M323" s="3">
        <v>0.19400000000000001</v>
      </c>
      <c r="N323" s="3">
        <v>5</v>
      </c>
      <c r="O323" s="3">
        <v>39</v>
      </c>
      <c r="P323" s="3">
        <v>44</v>
      </c>
      <c r="Q323" t="str" cm="1">
        <f t="array" ref="Q323">_xlfn.IFS(F323&lt;=12,"morning",F323&lt;=18,"afternoon",F323&lt;=24,"night")</f>
        <v>morning</v>
      </c>
      <c r="R323" t="str">
        <f t="shared" si="9"/>
        <v>Friday</v>
      </c>
    </row>
    <row r="324" spans="1:18" x14ac:dyDescent="0.3">
      <c r="A324" s="3">
        <v>933</v>
      </c>
      <c r="B324" s="4">
        <v>40585</v>
      </c>
      <c r="C324" s="3">
        <v>1</v>
      </c>
      <c r="D324" s="3">
        <v>0</v>
      </c>
      <c r="E324" s="3">
        <v>2</v>
      </c>
      <c r="F324" s="3">
        <v>11</v>
      </c>
      <c r="G324" s="3" t="b">
        <v>0</v>
      </c>
      <c r="H324" s="3">
        <v>5</v>
      </c>
      <c r="I324" s="3">
        <v>1</v>
      </c>
      <c r="J324" s="3">
        <v>0.22</v>
      </c>
      <c r="K324" s="3">
        <v>0.2273</v>
      </c>
      <c r="L324" s="3">
        <v>0.47</v>
      </c>
      <c r="M324" s="3">
        <v>0.1343</v>
      </c>
      <c r="N324" s="3">
        <v>12</v>
      </c>
      <c r="O324" s="3">
        <v>52</v>
      </c>
      <c r="P324" s="3">
        <v>64</v>
      </c>
      <c r="Q324" t="str" cm="1">
        <f t="array" ref="Q324">_xlfn.IFS(F324&lt;=12,"morning",F324&lt;=18,"afternoon",F324&lt;=24,"night")</f>
        <v>morning</v>
      </c>
      <c r="R324" t="str">
        <f t="shared" si="9"/>
        <v>Friday</v>
      </c>
    </row>
    <row r="325" spans="1:18" x14ac:dyDescent="0.3">
      <c r="A325" s="3">
        <v>934</v>
      </c>
      <c r="B325" s="4">
        <v>40585</v>
      </c>
      <c r="C325" s="3">
        <v>1</v>
      </c>
      <c r="D325" s="3">
        <v>0</v>
      </c>
      <c r="E325" s="3">
        <v>2</v>
      </c>
      <c r="F325" s="3">
        <v>12</v>
      </c>
      <c r="G325" s="3" t="b">
        <v>0</v>
      </c>
      <c r="H325" s="3">
        <v>5</v>
      </c>
      <c r="I325" s="3">
        <v>1</v>
      </c>
      <c r="J325" s="3">
        <v>0.22</v>
      </c>
      <c r="K325" s="3">
        <v>0.2273</v>
      </c>
      <c r="L325" s="3">
        <v>0.47</v>
      </c>
      <c r="M325" s="3">
        <v>0.1343</v>
      </c>
      <c r="N325" s="3">
        <v>7</v>
      </c>
      <c r="O325" s="3">
        <v>64</v>
      </c>
      <c r="P325" s="3">
        <v>71</v>
      </c>
      <c r="Q325" t="str" cm="1">
        <f t="array" ref="Q325">_xlfn.IFS(F325&lt;=12,"morning",F325&lt;=18,"afternoon",F325&lt;=24,"night")</f>
        <v>morning</v>
      </c>
      <c r="R325" t="str">
        <f t="shared" si="9"/>
        <v>Friday</v>
      </c>
    </row>
    <row r="326" spans="1:18" x14ac:dyDescent="0.3">
      <c r="A326" s="3">
        <v>935</v>
      </c>
      <c r="B326" s="4">
        <v>40585</v>
      </c>
      <c r="C326" s="3">
        <v>1</v>
      </c>
      <c r="D326" s="3">
        <v>0</v>
      </c>
      <c r="E326" s="3">
        <v>2</v>
      </c>
      <c r="F326" s="3">
        <v>13</v>
      </c>
      <c r="G326" s="3" t="b">
        <v>0</v>
      </c>
      <c r="H326" s="3">
        <v>5</v>
      </c>
      <c r="I326" s="3">
        <v>1</v>
      </c>
      <c r="J326" s="3">
        <v>0.24</v>
      </c>
      <c r="K326" s="3">
        <v>0.2273</v>
      </c>
      <c r="L326" s="3">
        <v>0.35</v>
      </c>
      <c r="M326" s="3">
        <v>0.19400000000000001</v>
      </c>
      <c r="N326" s="3">
        <v>21</v>
      </c>
      <c r="O326" s="3">
        <v>89</v>
      </c>
      <c r="P326" s="3">
        <v>110</v>
      </c>
      <c r="Q326" t="str" cm="1">
        <f t="array" ref="Q326">_xlfn.IFS(F326&lt;=12,"morning",F326&lt;=18,"afternoon",F326&lt;=24,"night")</f>
        <v>afternoon</v>
      </c>
      <c r="R326" t="str">
        <f t="shared" si="9"/>
        <v>Friday</v>
      </c>
    </row>
    <row r="327" spans="1:18" x14ac:dyDescent="0.3">
      <c r="A327" s="3">
        <v>936</v>
      </c>
      <c r="B327" s="4">
        <v>40585</v>
      </c>
      <c r="C327" s="3">
        <v>1</v>
      </c>
      <c r="D327" s="3">
        <v>0</v>
      </c>
      <c r="E327" s="3">
        <v>2</v>
      </c>
      <c r="F327" s="3">
        <v>14</v>
      </c>
      <c r="G327" s="3" t="b">
        <v>0</v>
      </c>
      <c r="H327" s="3">
        <v>5</v>
      </c>
      <c r="I327" s="3">
        <v>1</v>
      </c>
      <c r="J327" s="3">
        <v>0.3</v>
      </c>
      <c r="K327" s="3">
        <v>0.28789999999999999</v>
      </c>
      <c r="L327" s="3">
        <v>0.26</v>
      </c>
      <c r="M327" s="3">
        <v>0.25369999999999998</v>
      </c>
      <c r="N327" s="3">
        <v>17</v>
      </c>
      <c r="O327" s="3">
        <v>67</v>
      </c>
      <c r="P327" s="3">
        <v>84</v>
      </c>
      <c r="Q327" t="str" cm="1">
        <f t="array" ref="Q327">_xlfn.IFS(F327&lt;=12,"morning",F327&lt;=18,"afternoon",F327&lt;=24,"night")</f>
        <v>afternoon</v>
      </c>
      <c r="R327" t="str">
        <f t="shared" si="9"/>
        <v>Friday</v>
      </c>
    </row>
    <row r="328" spans="1:18" x14ac:dyDescent="0.3">
      <c r="A328" s="3">
        <v>937</v>
      </c>
      <c r="B328" s="4">
        <v>40585</v>
      </c>
      <c r="C328" s="3">
        <v>1</v>
      </c>
      <c r="D328" s="3">
        <v>0</v>
      </c>
      <c r="E328" s="3">
        <v>2</v>
      </c>
      <c r="F328" s="3">
        <v>15</v>
      </c>
      <c r="G328" s="3" t="b">
        <v>0</v>
      </c>
      <c r="H328" s="3">
        <v>5</v>
      </c>
      <c r="I328" s="3">
        <v>1</v>
      </c>
      <c r="J328" s="3">
        <v>0.32</v>
      </c>
      <c r="K328" s="3">
        <v>0.31819999999999998</v>
      </c>
      <c r="L328" s="3">
        <v>0.21</v>
      </c>
      <c r="M328" s="3">
        <v>0.16420000000000001</v>
      </c>
      <c r="N328" s="3">
        <v>12</v>
      </c>
      <c r="O328" s="3">
        <v>62</v>
      </c>
      <c r="P328" s="3">
        <v>74</v>
      </c>
      <c r="Q328" t="str" cm="1">
        <f t="array" ref="Q328">_xlfn.IFS(F328&lt;=12,"morning",F328&lt;=18,"afternoon",F328&lt;=24,"night")</f>
        <v>afternoon</v>
      </c>
      <c r="R328" t="str">
        <f t="shared" si="9"/>
        <v>Friday</v>
      </c>
    </row>
    <row r="329" spans="1:18" x14ac:dyDescent="0.3">
      <c r="A329" s="3">
        <v>938</v>
      </c>
      <c r="B329" s="4">
        <v>40585</v>
      </c>
      <c r="C329" s="3">
        <v>1</v>
      </c>
      <c r="D329" s="3">
        <v>0</v>
      </c>
      <c r="E329" s="3">
        <v>2</v>
      </c>
      <c r="F329" s="3">
        <v>16</v>
      </c>
      <c r="G329" s="3" t="b">
        <v>0</v>
      </c>
      <c r="H329" s="3">
        <v>5</v>
      </c>
      <c r="I329" s="3">
        <v>1</v>
      </c>
      <c r="J329" s="3">
        <v>0.3</v>
      </c>
      <c r="K329" s="3">
        <v>0.28789999999999999</v>
      </c>
      <c r="L329" s="3">
        <v>0.28000000000000003</v>
      </c>
      <c r="M329" s="3">
        <v>0.19400000000000001</v>
      </c>
      <c r="N329" s="3">
        <v>14</v>
      </c>
      <c r="O329" s="3">
        <v>111</v>
      </c>
      <c r="P329" s="3">
        <v>125</v>
      </c>
      <c r="Q329" t="str" cm="1">
        <f t="array" ref="Q329">_xlfn.IFS(F329&lt;=12,"morning",F329&lt;=18,"afternoon",F329&lt;=24,"night")</f>
        <v>afternoon</v>
      </c>
      <c r="R329" t="str">
        <f t="shared" si="9"/>
        <v>Friday</v>
      </c>
    </row>
    <row r="330" spans="1:18" x14ac:dyDescent="0.3">
      <c r="A330" s="3">
        <v>939</v>
      </c>
      <c r="B330" s="4">
        <v>40585</v>
      </c>
      <c r="C330" s="3">
        <v>1</v>
      </c>
      <c r="D330" s="3">
        <v>0</v>
      </c>
      <c r="E330" s="3">
        <v>2</v>
      </c>
      <c r="F330" s="3">
        <v>17</v>
      </c>
      <c r="G330" s="3" t="b">
        <v>0</v>
      </c>
      <c r="H330" s="3">
        <v>5</v>
      </c>
      <c r="I330" s="3">
        <v>1</v>
      </c>
      <c r="J330" s="3">
        <v>0.3</v>
      </c>
      <c r="K330" s="3">
        <v>0.33329999999999999</v>
      </c>
      <c r="L330" s="3">
        <v>0.24</v>
      </c>
      <c r="M330" s="3">
        <v>0</v>
      </c>
      <c r="N330" s="3">
        <v>18</v>
      </c>
      <c r="O330" s="3">
        <v>193</v>
      </c>
      <c r="P330" s="3">
        <v>211</v>
      </c>
      <c r="Q330" t="str" cm="1">
        <f t="array" ref="Q330">_xlfn.IFS(F330&lt;=12,"morning",F330&lt;=18,"afternoon",F330&lt;=24,"night")</f>
        <v>afternoon</v>
      </c>
      <c r="R330" t="str">
        <f t="shared" si="9"/>
        <v>Friday</v>
      </c>
    </row>
    <row r="331" spans="1:18" x14ac:dyDescent="0.3">
      <c r="A331" s="3">
        <v>940</v>
      </c>
      <c r="B331" s="4">
        <v>40585</v>
      </c>
      <c r="C331" s="3">
        <v>1</v>
      </c>
      <c r="D331" s="3">
        <v>0</v>
      </c>
      <c r="E331" s="3">
        <v>2</v>
      </c>
      <c r="F331" s="3">
        <v>18</v>
      </c>
      <c r="G331" s="3" t="b">
        <v>0</v>
      </c>
      <c r="H331" s="3">
        <v>5</v>
      </c>
      <c r="I331" s="3">
        <v>1</v>
      </c>
      <c r="J331" s="3">
        <v>0.28000000000000003</v>
      </c>
      <c r="K331" s="3">
        <v>0.31819999999999998</v>
      </c>
      <c r="L331" s="3">
        <v>0.28000000000000003</v>
      </c>
      <c r="M331" s="3">
        <v>0</v>
      </c>
      <c r="N331" s="3">
        <v>9</v>
      </c>
      <c r="O331" s="3">
        <v>165</v>
      </c>
      <c r="P331" s="3">
        <v>174</v>
      </c>
      <c r="Q331" t="str" cm="1">
        <f t="array" ref="Q331">_xlfn.IFS(F331&lt;=12,"morning",F331&lt;=18,"afternoon",F331&lt;=24,"night")</f>
        <v>afternoon</v>
      </c>
      <c r="R331" t="str">
        <f t="shared" si="9"/>
        <v>Friday</v>
      </c>
    </row>
    <row r="332" spans="1:18" x14ac:dyDescent="0.3">
      <c r="A332" s="3">
        <v>941</v>
      </c>
      <c r="B332" s="4">
        <v>40585</v>
      </c>
      <c r="C332" s="3">
        <v>1</v>
      </c>
      <c r="D332" s="3">
        <v>0</v>
      </c>
      <c r="E332" s="3">
        <v>2</v>
      </c>
      <c r="F332" s="3">
        <v>19</v>
      </c>
      <c r="G332" s="3" t="b">
        <v>0</v>
      </c>
      <c r="H332" s="3">
        <v>5</v>
      </c>
      <c r="I332" s="3">
        <v>1</v>
      </c>
      <c r="J332" s="3">
        <v>0.26</v>
      </c>
      <c r="K332" s="3">
        <v>0.30299999999999999</v>
      </c>
      <c r="L332" s="3">
        <v>0.33</v>
      </c>
      <c r="M332" s="3">
        <v>0</v>
      </c>
      <c r="N332" s="3">
        <v>7</v>
      </c>
      <c r="O332" s="3">
        <v>94</v>
      </c>
      <c r="P332" s="3">
        <v>101</v>
      </c>
      <c r="Q332" t="str" cm="1">
        <f t="array" ref="Q332">_xlfn.IFS(F332&lt;=12,"morning",F332&lt;=18,"afternoon",F332&lt;=24,"night")</f>
        <v>night</v>
      </c>
      <c r="R332" t="str">
        <f t="shared" si="9"/>
        <v>Friday</v>
      </c>
    </row>
    <row r="333" spans="1:18" x14ac:dyDescent="0.3">
      <c r="A333" s="3">
        <v>942</v>
      </c>
      <c r="B333" s="4">
        <v>40585</v>
      </c>
      <c r="C333" s="3">
        <v>1</v>
      </c>
      <c r="D333" s="3">
        <v>0</v>
      </c>
      <c r="E333" s="3">
        <v>2</v>
      </c>
      <c r="F333" s="3">
        <v>20</v>
      </c>
      <c r="G333" s="3" t="b">
        <v>0</v>
      </c>
      <c r="H333" s="3">
        <v>5</v>
      </c>
      <c r="I333" s="3">
        <v>1</v>
      </c>
      <c r="J333" s="3">
        <v>0.22</v>
      </c>
      <c r="K333" s="3">
        <v>0.2273</v>
      </c>
      <c r="L333" s="3">
        <v>0.55000000000000004</v>
      </c>
      <c r="M333" s="3">
        <v>0.1343</v>
      </c>
      <c r="N333" s="3">
        <v>2</v>
      </c>
      <c r="O333" s="3">
        <v>61</v>
      </c>
      <c r="P333" s="3">
        <v>63</v>
      </c>
      <c r="Q333" t="str" cm="1">
        <f t="array" ref="Q333">_xlfn.IFS(F333&lt;=12,"morning",F333&lt;=18,"afternoon",F333&lt;=24,"night")</f>
        <v>night</v>
      </c>
      <c r="R333" t="str">
        <f t="shared" si="9"/>
        <v>Friday</v>
      </c>
    </row>
    <row r="334" spans="1:18" x14ac:dyDescent="0.3">
      <c r="A334" s="3">
        <v>943</v>
      </c>
      <c r="B334" s="4">
        <v>40585</v>
      </c>
      <c r="C334" s="3">
        <v>1</v>
      </c>
      <c r="D334" s="3">
        <v>0</v>
      </c>
      <c r="E334" s="3">
        <v>2</v>
      </c>
      <c r="F334" s="3">
        <v>21</v>
      </c>
      <c r="G334" s="3" t="b">
        <v>0</v>
      </c>
      <c r="H334" s="3">
        <v>5</v>
      </c>
      <c r="I334" s="3">
        <v>1</v>
      </c>
      <c r="J334" s="3">
        <v>0.2</v>
      </c>
      <c r="K334" s="3">
        <v>0.21210000000000001</v>
      </c>
      <c r="L334" s="3">
        <v>0.59</v>
      </c>
      <c r="M334" s="3">
        <v>0.1343</v>
      </c>
      <c r="N334" s="3">
        <v>1</v>
      </c>
      <c r="O334" s="3">
        <v>46</v>
      </c>
      <c r="P334" s="3">
        <v>47</v>
      </c>
      <c r="Q334" t="str" cm="1">
        <f t="array" ref="Q334">_xlfn.IFS(F334&lt;=12,"morning",F334&lt;=18,"afternoon",F334&lt;=24,"night")</f>
        <v>night</v>
      </c>
      <c r="R334" t="str">
        <f t="shared" si="9"/>
        <v>Friday</v>
      </c>
    </row>
    <row r="335" spans="1:18" x14ac:dyDescent="0.3">
      <c r="A335" s="3">
        <v>944</v>
      </c>
      <c r="B335" s="4">
        <v>40585</v>
      </c>
      <c r="C335" s="3">
        <v>1</v>
      </c>
      <c r="D335" s="3">
        <v>0</v>
      </c>
      <c r="E335" s="3">
        <v>2</v>
      </c>
      <c r="F335" s="3">
        <v>22</v>
      </c>
      <c r="G335" s="3" t="b">
        <v>0</v>
      </c>
      <c r="H335" s="3">
        <v>5</v>
      </c>
      <c r="I335" s="3">
        <v>1</v>
      </c>
      <c r="J335" s="3">
        <v>0.2</v>
      </c>
      <c r="K335" s="3">
        <v>0.2273</v>
      </c>
      <c r="L335" s="3">
        <v>0.64</v>
      </c>
      <c r="M335" s="3">
        <v>8.9599999999999999E-2</v>
      </c>
      <c r="N335" s="3">
        <v>2</v>
      </c>
      <c r="O335" s="3">
        <v>41</v>
      </c>
      <c r="P335" s="3">
        <v>43</v>
      </c>
      <c r="Q335" t="str" cm="1">
        <f t="array" ref="Q335">_xlfn.IFS(F335&lt;=12,"morning",F335&lt;=18,"afternoon",F335&lt;=24,"night")</f>
        <v>night</v>
      </c>
      <c r="R335" t="str">
        <f t="shared" si="9"/>
        <v>Friday</v>
      </c>
    </row>
    <row r="336" spans="1:18" x14ac:dyDescent="0.3">
      <c r="A336" s="3">
        <v>945</v>
      </c>
      <c r="B336" s="4">
        <v>40585</v>
      </c>
      <c r="C336" s="3">
        <v>1</v>
      </c>
      <c r="D336" s="3">
        <v>0</v>
      </c>
      <c r="E336" s="3">
        <v>2</v>
      </c>
      <c r="F336" s="3">
        <v>23</v>
      </c>
      <c r="G336" s="3" t="b">
        <v>0</v>
      </c>
      <c r="H336" s="3">
        <v>5</v>
      </c>
      <c r="I336" s="3">
        <v>1</v>
      </c>
      <c r="J336" s="3">
        <v>0.18</v>
      </c>
      <c r="K336" s="3">
        <v>0.2424</v>
      </c>
      <c r="L336" s="3">
        <v>0.69</v>
      </c>
      <c r="M336" s="3">
        <v>0</v>
      </c>
      <c r="N336" s="3">
        <v>5</v>
      </c>
      <c r="O336" s="3">
        <v>48</v>
      </c>
      <c r="P336" s="3">
        <v>53</v>
      </c>
      <c r="Q336" t="str" cm="1">
        <f t="array" ref="Q336">_xlfn.IFS(F336&lt;=12,"morning",F336&lt;=18,"afternoon",F336&lt;=24,"night")</f>
        <v>night</v>
      </c>
      <c r="R336" t="str">
        <f t="shared" si="9"/>
        <v>Friday</v>
      </c>
    </row>
    <row r="337" spans="1:18" x14ac:dyDescent="0.3">
      <c r="A337" s="3">
        <v>946</v>
      </c>
      <c r="B337" s="4">
        <v>40586</v>
      </c>
      <c r="C337" s="3">
        <v>1</v>
      </c>
      <c r="D337" s="3">
        <v>0</v>
      </c>
      <c r="E337" s="3">
        <v>2</v>
      </c>
      <c r="F337" s="3">
        <v>0</v>
      </c>
      <c r="G337" s="3" t="b">
        <v>0</v>
      </c>
      <c r="H337" s="3">
        <v>6</v>
      </c>
      <c r="I337" s="3">
        <v>1</v>
      </c>
      <c r="J337" s="3">
        <v>0.16</v>
      </c>
      <c r="K337" s="3">
        <v>0.19700000000000001</v>
      </c>
      <c r="L337" s="3">
        <v>0.69</v>
      </c>
      <c r="M337" s="3">
        <v>8.9599999999999999E-2</v>
      </c>
      <c r="N337" s="3">
        <v>3</v>
      </c>
      <c r="O337" s="3">
        <v>27</v>
      </c>
      <c r="P337" s="3">
        <v>30</v>
      </c>
      <c r="Q337" t="str" cm="1">
        <f t="array" ref="Q337">_xlfn.IFS(F337&lt;=12,"morning",F337&lt;=18,"afternoon",F337&lt;=24,"night")</f>
        <v>morning</v>
      </c>
      <c r="R337" t="str">
        <f t="shared" si="9"/>
        <v>Saturday</v>
      </c>
    </row>
    <row r="338" spans="1:18" x14ac:dyDescent="0.3">
      <c r="A338" s="3">
        <v>947</v>
      </c>
      <c r="B338" s="4">
        <v>40586</v>
      </c>
      <c r="C338" s="3">
        <v>1</v>
      </c>
      <c r="D338" s="3">
        <v>0</v>
      </c>
      <c r="E338" s="3">
        <v>2</v>
      </c>
      <c r="F338" s="3">
        <v>1</v>
      </c>
      <c r="G338" s="3" t="b">
        <v>0</v>
      </c>
      <c r="H338" s="3">
        <v>6</v>
      </c>
      <c r="I338" s="3">
        <v>1</v>
      </c>
      <c r="J338" s="3">
        <v>0.14000000000000001</v>
      </c>
      <c r="K338" s="3">
        <v>0.21210000000000001</v>
      </c>
      <c r="L338" s="3">
        <v>0.86</v>
      </c>
      <c r="M338" s="3">
        <v>0</v>
      </c>
      <c r="N338" s="3">
        <v>2</v>
      </c>
      <c r="O338" s="3">
        <v>22</v>
      </c>
      <c r="P338" s="3">
        <v>24</v>
      </c>
      <c r="Q338" t="str" cm="1">
        <f t="array" ref="Q338">_xlfn.IFS(F338&lt;=12,"morning",F338&lt;=18,"afternoon",F338&lt;=24,"night")</f>
        <v>morning</v>
      </c>
      <c r="R338" t="str">
        <f t="shared" si="9"/>
        <v>Saturday</v>
      </c>
    </row>
    <row r="339" spans="1:18" x14ac:dyDescent="0.3">
      <c r="A339" s="3">
        <v>948</v>
      </c>
      <c r="B339" s="4">
        <v>40586</v>
      </c>
      <c r="C339" s="3">
        <v>1</v>
      </c>
      <c r="D339" s="3">
        <v>0</v>
      </c>
      <c r="E339" s="3">
        <v>2</v>
      </c>
      <c r="F339" s="3">
        <v>2</v>
      </c>
      <c r="G339" s="3" t="b">
        <v>0</v>
      </c>
      <c r="H339" s="3">
        <v>6</v>
      </c>
      <c r="I339" s="3">
        <v>1</v>
      </c>
      <c r="J339" s="3">
        <v>0.14000000000000001</v>
      </c>
      <c r="K339" s="3">
        <v>0.21210000000000001</v>
      </c>
      <c r="L339" s="3">
        <v>0.8</v>
      </c>
      <c r="M339" s="3">
        <v>0</v>
      </c>
      <c r="N339" s="3">
        <v>2</v>
      </c>
      <c r="O339" s="3">
        <v>13</v>
      </c>
      <c r="P339" s="3">
        <v>15</v>
      </c>
      <c r="Q339" t="str" cm="1">
        <f t="array" ref="Q339">_xlfn.IFS(F339&lt;=12,"morning",F339&lt;=18,"afternoon",F339&lt;=24,"night")</f>
        <v>morning</v>
      </c>
      <c r="R339" t="str">
        <f t="shared" si="9"/>
        <v>Saturday</v>
      </c>
    </row>
    <row r="340" spans="1:18" x14ac:dyDescent="0.3">
      <c r="A340" s="3">
        <v>949</v>
      </c>
      <c r="B340" s="4">
        <v>40586</v>
      </c>
      <c r="C340" s="3">
        <v>1</v>
      </c>
      <c r="D340" s="3">
        <v>0</v>
      </c>
      <c r="E340" s="3">
        <v>2</v>
      </c>
      <c r="F340" s="3">
        <v>3</v>
      </c>
      <c r="G340" s="3" t="b">
        <v>0</v>
      </c>
      <c r="H340" s="3">
        <v>6</v>
      </c>
      <c r="I340" s="3">
        <v>1</v>
      </c>
      <c r="J340" s="3">
        <v>0.12</v>
      </c>
      <c r="K340" s="3">
        <v>0.19700000000000001</v>
      </c>
      <c r="L340" s="3">
        <v>0.8</v>
      </c>
      <c r="M340" s="3">
        <v>0</v>
      </c>
      <c r="N340" s="3">
        <v>3</v>
      </c>
      <c r="O340" s="3">
        <v>7</v>
      </c>
      <c r="P340" s="3">
        <v>10</v>
      </c>
      <c r="Q340" t="str" cm="1">
        <f t="array" ref="Q340">_xlfn.IFS(F340&lt;=12,"morning",F340&lt;=18,"afternoon",F340&lt;=24,"night")</f>
        <v>morning</v>
      </c>
      <c r="R340" t="str">
        <f t="shared" si="9"/>
        <v>Saturday</v>
      </c>
    </row>
    <row r="341" spans="1:18" x14ac:dyDescent="0.3">
      <c r="A341" s="3">
        <v>950</v>
      </c>
      <c r="B341" s="4">
        <v>40586</v>
      </c>
      <c r="C341" s="3">
        <v>1</v>
      </c>
      <c r="D341" s="3">
        <v>0</v>
      </c>
      <c r="E341" s="3">
        <v>2</v>
      </c>
      <c r="F341" s="3">
        <v>4</v>
      </c>
      <c r="G341" s="3" t="b">
        <v>0</v>
      </c>
      <c r="H341" s="3">
        <v>6</v>
      </c>
      <c r="I341" s="3">
        <v>1</v>
      </c>
      <c r="J341" s="3">
        <v>0.12</v>
      </c>
      <c r="K341" s="3">
        <v>0.16669999999999999</v>
      </c>
      <c r="L341" s="3">
        <v>0.74</v>
      </c>
      <c r="M341" s="3">
        <v>8.9599999999999999E-2</v>
      </c>
      <c r="N341" s="3">
        <v>0</v>
      </c>
      <c r="O341" s="3">
        <v>4</v>
      </c>
      <c r="P341" s="3">
        <v>4</v>
      </c>
      <c r="Q341" t="str" cm="1">
        <f t="array" ref="Q341">_xlfn.IFS(F341&lt;=12,"morning",F341&lt;=18,"afternoon",F341&lt;=24,"night")</f>
        <v>morning</v>
      </c>
      <c r="R341" t="str">
        <f t="shared" si="9"/>
        <v>Saturday</v>
      </c>
    </row>
    <row r="342" spans="1:18" x14ac:dyDescent="0.3">
      <c r="A342" s="3">
        <v>951</v>
      </c>
      <c r="B342" s="4">
        <v>40586</v>
      </c>
      <c r="C342" s="3">
        <v>1</v>
      </c>
      <c r="D342" s="3">
        <v>0</v>
      </c>
      <c r="E342" s="3">
        <v>2</v>
      </c>
      <c r="F342" s="3">
        <v>5</v>
      </c>
      <c r="G342" s="3" t="b">
        <v>0</v>
      </c>
      <c r="H342" s="3">
        <v>6</v>
      </c>
      <c r="I342" s="3">
        <v>1</v>
      </c>
      <c r="J342" s="3">
        <v>0.12</v>
      </c>
      <c r="K342" s="3">
        <v>0.16669999999999999</v>
      </c>
      <c r="L342" s="3">
        <v>0.74</v>
      </c>
      <c r="M342" s="3">
        <v>8.9599999999999999E-2</v>
      </c>
      <c r="N342" s="3">
        <v>0</v>
      </c>
      <c r="O342" s="3">
        <v>1</v>
      </c>
      <c r="P342" s="3">
        <v>1</v>
      </c>
      <c r="Q342" t="str" cm="1">
        <f t="array" ref="Q342">_xlfn.IFS(F342&lt;=12,"morning",F342&lt;=18,"afternoon",F342&lt;=24,"night")</f>
        <v>morning</v>
      </c>
      <c r="R342" t="str">
        <f t="shared" si="9"/>
        <v>Saturday</v>
      </c>
    </row>
    <row r="343" spans="1:18" x14ac:dyDescent="0.3">
      <c r="A343" s="3">
        <v>952</v>
      </c>
      <c r="B343" s="4">
        <v>40586</v>
      </c>
      <c r="C343" s="3">
        <v>1</v>
      </c>
      <c r="D343" s="3">
        <v>0</v>
      </c>
      <c r="E343" s="3">
        <v>2</v>
      </c>
      <c r="F343" s="3">
        <v>6</v>
      </c>
      <c r="G343" s="3" t="b">
        <v>0</v>
      </c>
      <c r="H343" s="3">
        <v>6</v>
      </c>
      <c r="I343" s="3">
        <v>1</v>
      </c>
      <c r="J343" s="3">
        <v>0.12</v>
      </c>
      <c r="K343" s="3">
        <v>0.13639999999999999</v>
      </c>
      <c r="L343" s="3">
        <v>0.93</v>
      </c>
      <c r="M343" s="3">
        <v>0.19400000000000001</v>
      </c>
      <c r="N343" s="3">
        <v>1</v>
      </c>
      <c r="O343" s="3">
        <v>1</v>
      </c>
      <c r="P343" s="3">
        <v>2</v>
      </c>
      <c r="Q343" t="str" cm="1">
        <f t="array" ref="Q343">_xlfn.IFS(F343&lt;=12,"morning",F343&lt;=18,"afternoon",F343&lt;=24,"night")</f>
        <v>morning</v>
      </c>
      <c r="R343" t="str">
        <f t="shared" si="9"/>
        <v>Saturday</v>
      </c>
    </row>
    <row r="344" spans="1:18" x14ac:dyDescent="0.3">
      <c r="A344" s="3">
        <v>953</v>
      </c>
      <c r="B344" s="4">
        <v>40586</v>
      </c>
      <c r="C344" s="3">
        <v>1</v>
      </c>
      <c r="D344" s="3">
        <v>0</v>
      </c>
      <c r="E344" s="3">
        <v>2</v>
      </c>
      <c r="F344" s="3">
        <v>7</v>
      </c>
      <c r="G344" s="3" t="b">
        <v>0</v>
      </c>
      <c r="H344" s="3">
        <v>6</v>
      </c>
      <c r="I344" s="3">
        <v>1</v>
      </c>
      <c r="J344" s="3">
        <v>0.12</v>
      </c>
      <c r="K344" s="3">
        <v>0.1515</v>
      </c>
      <c r="L344" s="3">
        <v>0.8</v>
      </c>
      <c r="M344" s="3">
        <v>0.1045</v>
      </c>
      <c r="N344" s="3">
        <v>2</v>
      </c>
      <c r="O344" s="3">
        <v>9</v>
      </c>
      <c r="P344" s="3">
        <v>11</v>
      </c>
      <c r="Q344" t="str" cm="1">
        <f t="array" ref="Q344">_xlfn.IFS(F344&lt;=12,"morning",F344&lt;=18,"afternoon",F344&lt;=24,"night")</f>
        <v>morning</v>
      </c>
      <c r="R344" t="str">
        <f t="shared" si="9"/>
        <v>Saturday</v>
      </c>
    </row>
    <row r="345" spans="1:18" x14ac:dyDescent="0.3">
      <c r="A345" s="3">
        <v>954</v>
      </c>
      <c r="B345" s="4">
        <v>40586</v>
      </c>
      <c r="C345" s="3">
        <v>1</v>
      </c>
      <c r="D345" s="3">
        <v>0</v>
      </c>
      <c r="E345" s="3">
        <v>2</v>
      </c>
      <c r="F345" s="3">
        <v>8</v>
      </c>
      <c r="G345" s="3" t="b">
        <v>0</v>
      </c>
      <c r="H345" s="3">
        <v>6</v>
      </c>
      <c r="I345" s="3">
        <v>1</v>
      </c>
      <c r="J345" s="3">
        <v>0.14000000000000001</v>
      </c>
      <c r="K345" s="3">
        <v>0.1515</v>
      </c>
      <c r="L345" s="3">
        <v>0.86</v>
      </c>
      <c r="M345" s="3">
        <v>0.1343</v>
      </c>
      <c r="N345" s="3">
        <v>2</v>
      </c>
      <c r="O345" s="3">
        <v>28</v>
      </c>
      <c r="P345" s="3">
        <v>30</v>
      </c>
      <c r="Q345" t="str" cm="1">
        <f t="array" ref="Q345">_xlfn.IFS(F345&lt;=12,"morning",F345&lt;=18,"afternoon",F345&lt;=24,"night")</f>
        <v>morning</v>
      </c>
      <c r="R345" t="str">
        <f t="shared" si="9"/>
        <v>Saturday</v>
      </c>
    </row>
    <row r="346" spans="1:18" x14ac:dyDescent="0.3">
      <c r="A346" s="3">
        <v>955</v>
      </c>
      <c r="B346" s="4">
        <v>40586</v>
      </c>
      <c r="C346" s="3">
        <v>1</v>
      </c>
      <c r="D346" s="3">
        <v>0</v>
      </c>
      <c r="E346" s="3">
        <v>2</v>
      </c>
      <c r="F346" s="3">
        <v>9</v>
      </c>
      <c r="G346" s="3" t="b">
        <v>0</v>
      </c>
      <c r="H346" s="3">
        <v>6</v>
      </c>
      <c r="I346" s="3">
        <v>1</v>
      </c>
      <c r="J346" s="3">
        <v>0.16</v>
      </c>
      <c r="K346" s="3">
        <v>0.18179999999999999</v>
      </c>
      <c r="L346" s="3">
        <v>0.64</v>
      </c>
      <c r="M346" s="3">
        <v>0.1343</v>
      </c>
      <c r="N346" s="3">
        <v>5</v>
      </c>
      <c r="O346" s="3">
        <v>38</v>
      </c>
      <c r="P346" s="3">
        <v>43</v>
      </c>
      <c r="Q346" t="str" cm="1">
        <f t="array" ref="Q346">_xlfn.IFS(F346&lt;=12,"morning",F346&lt;=18,"afternoon",F346&lt;=24,"night")</f>
        <v>morning</v>
      </c>
      <c r="R346" t="str">
        <f t="shared" si="9"/>
        <v>Saturday</v>
      </c>
    </row>
    <row r="347" spans="1:18" x14ac:dyDescent="0.3">
      <c r="A347" s="3">
        <v>956</v>
      </c>
      <c r="B347" s="4">
        <v>40586</v>
      </c>
      <c r="C347" s="3">
        <v>1</v>
      </c>
      <c r="D347" s="3">
        <v>0</v>
      </c>
      <c r="E347" s="3">
        <v>2</v>
      </c>
      <c r="F347" s="3">
        <v>10</v>
      </c>
      <c r="G347" s="3" t="b">
        <v>0</v>
      </c>
      <c r="H347" s="3">
        <v>6</v>
      </c>
      <c r="I347" s="3">
        <v>1</v>
      </c>
      <c r="J347" s="3">
        <v>0.22</v>
      </c>
      <c r="K347" s="3">
        <v>0.21210000000000001</v>
      </c>
      <c r="L347" s="3">
        <v>0.41</v>
      </c>
      <c r="M347" s="3">
        <v>0.25369999999999998</v>
      </c>
      <c r="N347" s="3">
        <v>13</v>
      </c>
      <c r="O347" s="3">
        <v>71</v>
      </c>
      <c r="P347" s="3">
        <v>84</v>
      </c>
      <c r="Q347" t="str" cm="1">
        <f t="array" ref="Q347">_xlfn.IFS(F347&lt;=12,"morning",F347&lt;=18,"afternoon",F347&lt;=24,"night")</f>
        <v>morning</v>
      </c>
      <c r="R347" t="str">
        <f t="shared" si="9"/>
        <v>Saturday</v>
      </c>
    </row>
    <row r="348" spans="1:18" x14ac:dyDescent="0.3">
      <c r="A348" s="3">
        <v>957</v>
      </c>
      <c r="B348" s="4">
        <v>40586</v>
      </c>
      <c r="C348" s="3">
        <v>1</v>
      </c>
      <c r="D348" s="3">
        <v>0</v>
      </c>
      <c r="E348" s="3">
        <v>2</v>
      </c>
      <c r="F348" s="3">
        <v>11</v>
      </c>
      <c r="G348" s="3" t="b">
        <v>0</v>
      </c>
      <c r="H348" s="3">
        <v>6</v>
      </c>
      <c r="I348" s="3">
        <v>1</v>
      </c>
      <c r="J348" s="3">
        <v>0.3</v>
      </c>
      <c r="K348" s="3">
        <v>0.2727</v>
      </c>
      <c r="L348" s="3">
        <v>0.28000000000000003</v>
      </c>
      <c r="M348" s="3">
        <v>0.32840000000000003</v>
      </c>
      <c r="N348" s="3">
        <v>30</v>
      </c>
      <c r="O348" s="3">
        <v>84</v>
      </c>
      <c r="P348" s="3">
        <v>114</v>
      </c>
      <c r="Q348" t="str" cm="1">
        <f t="array" ref="Q348">_xlfn.IFS(F348&lt;=12,"morning",F348&lt;=18,"afternoon",F348&lt;=24,"night")</f>
        <v>morning</v>
      </c>
      <c r="R348" t="str">
        <f t="shared" si="9"/>
        <v>Saturday</v>
      </c>
    </row>
    <row r="349" spans="1:18" x14ac:dyDescent="0.3">
      <c r="A349" s="3">
        <v>958</v>
      </c>
      <c r="B349" s="4">
        <v>40586</v>
      </c>
      <c r="C349" s="3">
        <v>1</v>
      </c>
      <c r="D349" s="3">
        <v>0</v>
      </c>
      <c r="E349" s="3">
        <v>2</v>
      </c>
      <c r="F349" s="3">
        <v>12</v>
      </c>
      <c r="G349" s="3" t="b">
        <v>0</v>
      </c>
      <c r="H349" s="3">
        <v>6</v>
      </c>
      <c r="I349" s="3">
        <v>1</v>
      </c>
      <c r="J349" s="3">
        <v>0.3</v>
      </c>
      <c r="K349" s="3">
        <v>0.2727</v>
      </c>
      <c r="L349" s="3">
        <v>0.39</v>
      </c>
      <c r="M349" s="3">
        <v>0.4627</v>
      </c>
      <c r="N349" s="3">
        <v>27</v>
      </c>
      <c r="O349" s="3">
        <v>93</v>
      </c>
      <c r="P349" s="3">
        <v>120</v>
      </c>
      <c r="Q349" t="str" cm="1">
        <f t="array" ref="Q349">_xlfn.IFS(F349&lt;=12,"morning",F349&lt;=18,"afternoon",F349&lt;=24,"night")</f>
        <v>morning</v>
      </c>
      <c r="R349" t="str">
        <f t="shared" si="9"/>
        <v>Saturday</v>
      </c>
    </row>
    <row r="350" spans="1:18" x14ac:dyDescent="0.3">
      <c r="A350" s="3">
        <v>959</v>
      </c>
      <c r="B350" s="4">
        <v>40586</v>
      </c>
      <c r="C350" s="3">
        <v>1</v>
      </c>
      <c r="D350" s="3">
        <v>0</v>
      </c>
      <c r="E350" s="3">
        <v>2</v>
      </c>
      <c r="F350" s="3">
        <v>13</v>
      </c>
      <c r="G350" s="3" t="b">
        <v>0</v>
      </c>
      <c r="H350" s="3">
        <v>6</v>
      </c>
      <c r="I350" s="3">
        <v>1</v>
      </c>
      <c r="J350" s="3">
        <v>0.3</v>
      </c>
      <c r="K350" s="3">
        <v>0.2727</v>
      </c>
      <c r="L350" s="3">
        <v>0.39</v>
      </c>
      <c r="M350" s="3">
        <v>0.41789999999999999</v>
      </c>
      <c r="N350" s="3">
        <v>32</v>
      </c>
      <c r="O350" s="3">
        <v>103</v>
      </c>
      <c r="P350" s="3">
        <v>135</v>
      </c>
      <c r="Q350" t="str" cm="1">
        <f t="array" ref="Q350">_xlfn.IFS(F350&lt;=12,"morning",F350&lt;=18,"afternoon",F350&lt;=24,"night")</f>
        <v>afternoon</v>
      </c>
      <c r="R350" t="str">
        <f t="shared" si="9"/>
        <v>Saturday</v>
      </c>
    </row>
    <row r="351" spans="1:18" x14ac:dyDescent="0.3">
      <c r="A351" s="3">
        <v>960</v>
      </c>
      <c r="B351" s="4">
        <v>40586</v>
      </c>
      <c r="C351" s="3">
        <v>1</v>
      </c>
      <c r="D351" s="3">
        <v>0</v>
      </c>
      <c r="E351" s="3">
        <v>2</v>
      </c>
      <c r="F351" s="3">
        <v>14</v>
      </c>
      <c r="G351" s="3" t="b">
        <v>0</v>
      </c>
      <c r="H351" s="3">
        <v>6</v>
      </c>
      <c r="I351" s="3">
        <v>1</v>
      </c>
      <c r="J351" s="3">
        <v>0.34</v>
      </c>
      <c r="K351" s="3">
        <v>0.31819999999999998</v>
      </c>
      <c r="L351" s="3">
        <v>0.31</v>
      </c>
      <c r="M351" s="3">
        <v>0.28360000000000002</v>
      </c>
      <c r="N351" s="3">
        <v>30</v>
      </c>
      <c r="O351" s="3">
        <v>90</v>
      </c>
      <c r="P351" s="3">
        <v>120</v>
      </c>
      <c r="Q351" t="str" cm="1">
        <f t="array" ref="Q351">_xlfn.IFS(F351&lt;=12,"morning",F351&lt;=18,"afternoon",F351&lt;=24,"night")</f>
        <v>afternoon</v>
      </c>
      <c r="R351" t="str">
        <f t="shared" si="9"/>
        <v>Saturday</v>
      </c>
    </row>
    <row r="352" spans="1:18" x14ac:dyDescent="0.3">
      <c r="A352" s="3">
        <v>961</v>
      </c>
      <c r="B352" s="4">
        <v>40586</v>
      </c>
      <c r="C352" s="3">
        <v>1</v>
      </c>
      <c r="D352" s="3">
        <v>0</v>
      </c>
      <c r="E352" s="3">
        <v>2</v>
      </c>
      <c r="F352" s="3">
        <v>15</v>
      </c>
      <c r="G352" s="3" t="b">
        <v>0</v>
      </c>
      <c r="H352" s="3">
        <v>6</v>
      </c>
      <c r="I352" s="3">
        <v>1</v>
      </c>
      <c r="J352" s="3">
        <v>0.34</v>
      </c>
      <c r="K352" s="3">
        <v>0.30299999999999999</v>
      </c>
      <c r="L352" s="3">
        <v>0.28999999999999998</v>
      </c>
      <c r="M352" s="3">
        <v>0.41789999999999999</v>
      </c>
      <c r="N352" s="3">
        <v>47</v>
      </c>
      <c r="O352" s="3">
        <v>127</v>
      </c>
      <c r="P352" s="3">
        <v>174</v>
      </c>
      <c r="Q352" t="str" cm="1">
        <f t="array" ref="Q352">_xlfn.IFS(F352&lt;=12,"morning",F352&lt;=18,"afternoon",F352&lt;=24,"night")</f>
        <v>afternoon</v>
      </c>
      <c r="R352" t="str">
        <f t="shared" si="9"/>
        <v>Saturday</v>
      </c>
    </row>
    <row r="353" spans="1:18" x14ac:dyDescent="0.3">
      <c r="A353" s="3">
        <v>962</v>
      </c>
      <c r="B353" s="4">
        <v>40586</v>
      </c>
      <c r="C353" s="3">
        <v>1</v>
      </c>
      <c r="D353" s="3">
        <v>0</v>
      </c>
      <c r="E353" s="3">
        <v>2</v>
      </c>
      <c r="F353" s="3">
        <v>16</v>
      </c>
      <c r="G353" s="3" t="b">
        <v>0</v>
      </c>
      <c r="H353" s="3">
        <v>6</v>
      </c>
      <c r="I353" s="3">
        <v>1</v>
      </c>
      <c r="J353" s="3">
        <v>0.34</v>
      </c>
      <c r="K353" s="3">
        <v>0.30299999999999999</v>
      </c>
      <c r="L353" s="3">
        <v>0.28999999999999998</v>
      </c>
      <c r="M353" s="3">
        <v>0.41789999999999999</v>
      </c>
      <c r="N353" s="3">
        <v>42</v>
      </c>
      <c r="O353" s="3">
        <v>103</v>
      </c>
      <c r="P353" s="3">
        <v>145</v>
      </c>
      <c r="Q353" t="str" cm="1">
        <f t="array" ref="Q353">_xlfn.IFS(F353&lt;=12,"morning",F353&lt;=18,"afternoon",F353&lt;=24,"night")</f>
        <v>afternoon</v>
      </c>
      <c r="R353" t="str">
        <f t="shared" si="9"/>
        <v>Saturday</v>
      </c>
    </row>
    <row r="354" spans="1:18" x14ac:dyDescent="0.3">
      <c r="A354" s="3">
        <v>963</v>
      </c>
      <c r="B354" s="4">
        <v>40586</v>
      </c>
      <c r="C354" s="3">
        <v>1</v>
      </c>
      <c r="D354" s="3">
        <v>0</v>
      </c>
      <c r="E354" s="3">
        <v>2</v>
      </c>
      <c r="F354" s="3">
        <v>17</v>
      </c>
      <c r="G354" s="3" t="b">
        <v>0</v>
      </c>
      <c r="H354" s="3">
        <v>6</v>
      </c>
      <c r="I354" s="3">
        <v>1</v>
      </c>
      <c r="J354" s="3">
        <v>0.32</v>
      </c>
      <c r="K354" s="3">
        <v>0.28789999999999999</v>
      </c>
      <c r="L354" s="3">
        <v>0.31</v>
      </c>
      <c r="M354" s="3">
        <v>0.52239999999999998</v>
      </c>
      <c r="N354" s="3">
        <v>24</v>
      </c>
      <c r="O354" s="3">
        <v>113</v>
      </c>
      <c r="P354" s="3">
        <v>137</v>
      </c>
      <c r="Q354" t="str" cm="1">
        <f t="array" ref="Q354">_xlfn.IFS(F354&lt;=12,"morning",F354&lt;=18,"afternoon",F354&lt;=24,"night")</f>
        <v>afternoon</v>
      </c>
      <c r="R354" t="str">
        <f t="shared" si="9"/>
        <v>Saturday</v>
      </c>
    </row>
    <row r="355" spans="1:18" x14ac:dyDescent="0.3">
      <c r="A355" s="3">
        <v>964</v>
      </c>
      <c r="B355" s="4">
        <v>40586</v>
      </c>
      <c r="C355" s="3">
        <v>1</v>
      </c>
      <c r="D355" s="3">
        <v>0</v>
      </c>
      <c r="E355" s="3">
        <v>2</v>
      </c>
      <c r="F355" s="3">
        <v>18</v>
      </c>
      <c r="G355" s="3" t="b">
        <v>0</v>
      </c>
      <c r="H355" s="3">
        <v>6</v>
      </c>
      <c r="I355" s="3">
        <v>1</v>
      </c>
      <c r="J355" s="3">
        <v>0.28000000000000003</v>
      </c>
      <c r="K355" s="3">
        <v>0.2576</v>
      </c>
      <c r="L355" s="3">
        <v>0.38</v>
      </c>
      <c r="M355" s="3">
        <v>0.32840000000000003</v>
      </c>
      <c r="N355" s="3">
        <v>4</v>
      </c>
      <c r="O355" s="3">
        <v>60</v>
      </c>
      <c r="P355" s="3">
        <v>64</v>
      </c>
      <c r="Q355" t="str" cm="1">
        <f t="array" ref="Q355">_xlfn.IFS(F355&lt;=12,"morning",F355&lt;=18,"afternoon",F355&lt;=24,"night")</f>
        <v>afternoon</v>
      </c>
      <c r="R355" t="str">
        <f t="shared" si="9"/>
        <v>Saturday</v>
      </c>
    </row>
    <row r="356" spans="1:18" x14ac:dyDescent="0.3">
      <c r="A356" s="3">
        <v>965</v>
      </c>
      <c r="B356" s="4">
        <v>40586</v>
      </c>
      <c r="C356" s="3">
        <v>1</v>
      </c>
      <c r="D356" s="3">
        <v>0</v>
      </c>
      <c r="E356" s="3">
        <v>2</v>
      </c>
      <c r="F356" s="3">
        <v>19</v>
      </c>
      <c r="G356" s="3" t="b">
        <v>0</v>
      </c>
      <c r="H356" s="3">
        <v>6</v>
      </c>
      <c r="I356" s="3">
        <v>1</v>
      </c>
      <c r="J356" s="3">
        <v>0.28000000000000003</v>
      </c>
      <c r="K356" s="3">
        <v>0.2727</v>
      </c>
      <c r="L356" s="3">
        <v>0.38</v>
      </c>
      <c r="M356" s="3">
        <v>0.16420000000000001</v>
      </c>
      <c r="N356" s="3">
        <v>2</v>
      </c>
      <c r="O356" s="3">
        <v>39</v>
      </c>
      <c r="P356" s="3">
        <v>41</v>
      </c>
      <c r="Q356" t="str" cm="1">
        <f t="array" ref="Q356">_xlfn.IFS(F356&lt;=12,"morning",F356&lt;=18,"afternoon",F356&lt;=24,"night")</f>
        <v>night</v>
      </c>
      <c r="R356" t="str">
        <f t="shared" si="9"/>
        <v>Saturday</v>
      </c>
    </row>
    <row r="357" spans="1:18" x14ac:dyDescent="0.3">
      <c r="A357" s="3">
        <v>966</v>
      </c>
      <c r="B357" s="4">
        <v>40586</v>
      </c>
      <c r="C357" s="3">
        <v>1</v>
      </c>
      <c r="D357" s="3">
        <v>0</v>
      </c>
      <c r="E357" s="3">
        <v>2</v>
      </c>
      <c r="F357" s="3">
        <v>20</v>
      </c>
      <c r="G357" s="3" t="b">
        <v>0</v>
      </c>
      <c r="H357" s="3">
        <v>6</v>
      </c>
      <c r="I357" s="3">
        <v>1</v>
      </c>
      <c r="J357" s="3">
        <v>0.26</v>
      </c>
      <c r="K357" s="3">
        <v>0.2576</v>
      </c>
      <c r="L357" s="3">
        <v>0.41</v>
      </c>
      <c r="M357" s="3">
        <v>0.22389999999999999</v>
      </c>
      <c r="N357" s="3">
        <v>1</v>
      </c>
      <c r="O357" s="3">
        <v>39</v>
      </c>
      <c r="P357" s="3">
        <v>40</v>
      </c>
      <c r="Q357" t="str" cm="1">
        <f t="array" ref="Q357">_xlfn.IFS(F357&lt;=12,"morning",F357&lt;=18,"afternoon",F357&lt;=24,"night")</f>
        <v>night</v>
      </c>
      <c r="R357" t="str">
        <f t="shared" si="9"/>
        <v>Saturday</v>
      </c>
    </row>
    <row r="358" spans="1:18" x14ac:dyDescent="0.3">
      <c r="A358" s="3">
        <v>967</v>
      </c>
      <c r="B358" s="4">
        <v>40586</v>
      </c>
      <c r="C358" s="3">
        <v>1</v>
      </c>
      <c r="D358" s="3">
        <v>0</v>
      </c>
      <c r="E358" s="3">
        <v>2</v>
      </c>
      <c r="F358" s="3">
        <v>21</v>
      </c>
      <c r="G358" s="3" t="b">
        <v>0</v>
      </c>
      <c r="H358" s="3">
        <v>6</v>
      </c>
      <c r="I358" s="3">
        <v>1</v>
      </c>
      <c r="J358" s="3">
        <v>0.26</v>
      </c>
      <c r="K358" s="3">
        <v>0.30299999999999999</v>
      </c>
      <c r="L358" s="3">
        <v>0.41</v>
      </c>
      <c r="M358" s="3">
        <v>0</v>
      </c>
      <c r="N358" s="3">
        <v>9</v>
      </c>
      <c r="O358" s="3">
        <v>42</v>
      </c>
      <c r="P358" s="3">
        <v>51</v>
      </c>
      <c r="Q358" t="str" cm="1">
        <f t="array" ref="Q358">_xlfn.IFS(F358&lt;=12,"morning",F358&lt;=18,"afternoon",F358&lt;=24,"night")</f>
        <v>night</v>
      </c>
      <c r="R358" t="str">
        <f t="shared" si="9"/>
        <v>Saturday</v>
      </c>
    </row>
    <row r="359" spans="1:18" x14ac:dyDescent="0.3">
      <c r="A359" s="3">
        <v>968</v>
      </c>
      <c r="B359" s="4">
        <v>40586</v>
      </c>
      <c r="C359" s="3">
        <v>1</v>
      </c>
      <c r="D359" s="3">
        <v>0</v>
      </c>
      <c r="E359" s="3">
        <v>2</v>
      </c>
      <c r="F359" s="3">
        <v>22</v>
      </c>
      <c r="G359" s="3" t="b">
        <v>0</v>
      </c>
      <c r="H359" s="3">
        <v>6</v>
      </c>
      <c r="I359" s="3">
        <v>1</v>
      </c>
      <c r="J359" s="3">
        <v>0.24</v>
      </c>
      <c r="K359" s="3">
        <v>0.2576</v>
      </c>
      <c r="L359" s="3">
        <v>0.44</v>
      </c>
      <c r="M359" s="3">
        <v>8.9599999999999999E-2</v>
      </c>
      <c r="N359" s="3">
        <v>6</v>
      </c>
      <c r="O359" s="3">
        <v>39</v>
      </c>
      <c r="P359" s="3">
        <v>45</v>
      </c>
      <c r="Q359" t="str" cm="1">
        <f t="array" ref="Q359">_xlfn.IFS(F359&lt;=12,"morning",F359&lt;=18,"afternoon",F359&lt;=24,"night")</f>
        <v>night</v>
      </c>
      <c r="R359" t="str">
        <f t="shared" si="9"/>
        <v>Saturday</v>
      </c>
    </row>
    <row r="360" spans="1:18" x14ac:dyDescent="0.3">
      <c r="A360" s="3">
        <v>969</v>
      </c>
      <c r="B360" s="4">
        <v>40586</v>
      </c>
      <c r="C360" s="3">
        <v>1</v>
      </c>
      <c r="D360" s="3">
        <v>0</v>
      </c>
      <c r="E360" s="3">
        <v>2</v>
      </c>
      <c r="F360" s="3">
        <v>23</v>
      </c>
      <c r="G360" s="3" t="b">
        <v>0</v>
      </c>
      <c r="H360" s="3">
        <v>6</v>
      </c>
      <c r="I360" s="3">
        <v>1</v>
      </c>
      <c r="J360" s="3">
        <v>0.22</v>
      </c>
      <c r="K360" s="3">
        <v>0.2273</v>
      </c>
      <c r="L360" s="3">
        <v>0.51</v>
      </c>
      <c r="M360" s="3">
        <v>0.1343</v>
      </c>
      <c r="N360" s="3">
        <v>1</v>
      </c>
      <c r="O360" s="3">
        <v>31</v>
      </c>
      <c r="P360" s="3">
        <v>32</v>
      </c>
      <c r="Q360" t="str" cm="1">
        <f t="array" ref="Q360">_xlfn.IFS(F360&lt;=12,"morning",F360&lt;=18,"afternoon",F360&lt;=24,"night")</f>
        <v>night</v>
      </c>
      <c r="R360" t="str">
        <f t="shared" si="9"/>
        <v>Saturday</v>
      </c>
    </row>
    <row r="361" spans="1:18" x14ac:dyDescent="0.3">
      <c r="A361" s="3">
        <v>970</v>
      </c>
      <c r="B361" s="4">
        <v>40587</v>
      </c>
      <c r="C361" s="3">
        <v>1</v>
      </c>
      <c r="D361" s="3">
        <v>0</v>
      </c>
      <c r="E361" s="3">
        <v>2</v>
      </c>
      <c r="F361" s="3">
        <v>0</v>
      </c>
      <c r="G361" s="3" t="b">
        <v>0</v>
      </c>
      <c r="H361" s="3">
        <v>0</v>
      </c>
      <c r="I361" s="3">
        <v>1</v>
      </c>
      <c r="J361" s="3">
        <v>0.2</v>
      </c>
      <c r="K361" s="3">
        <v>0.2273</v>
      </c>
      <c r="L361" s="3">
        <v>0.64</v>
      </c>
      <c r="M361" s="3">
        <v>0.1045</v>
      </c>
      <c r="N361" s="3">
        <v>5</v>
      </c>
      <c r="O361" s="3">
        <v>34</v>
      </c>
      <c r="P361" s="3">
        <v>39</v>
      </c>
      <c r="Q361" t="str" cm="1">
        <f t="array" ref="Q361">_xlfn.IFS(F361&lt;=12,"morning",F361&lt;=18,"afternoon",F361&lt;=24,"night")</f>
        <v>morning</v>
      </c>
      <c r="R361" t="str">
        <f t="shared" si="9"/>
        <v>Sunday</v>
      </c>
    </row>
    <row r="362" spans="1:18" x14ac:dyDescent="0.3">
      <c r="A362" s="3">
        <v>971</v>
      </c>
      <c r="B362" s="4">
        <v>40587</v>
      </c>
      <c r="C362" s="3">
        <v>1</v>
      </c>
      <c r="D362" s="3">
        <v>0</v>
      </c>
      <c r="E362" s="3">
        <v>2</v>
      </c>
      <c r="F362" s="3">
        <v>1</v>
      </c>
      <c r="G362" s="3" t="b">
        <v>0</v>
      </c>
      <c r="H362" s="3">
        <v>0</v>
      </c>
      <c r="I362" s="3">
        <v>1</v>
      </c>
      <c r="J362" s="3">
        <v>0.2</v>
      </c>
      <c r="K362" s="3">
        <v>0.2273</v>
      </c>
      <c r="L362" s="3">
        <v>0.59</v>
      </c>
      <c r="M362" s="3">
        <v>8.9599999999999999E-2</v>
      </c>
      <c r="N362" s="3">
        <v>1</v>
      </c>
      <c r="O362" s="3">
        <v>23</v>
      </c>
      <c r="P362" s="3">
        <v>24</v>
      </c>
      <c r="Q362" t="str" cm="1">
        <f t="array" ref="Q362">_xlfn.IFS(F362&lt;=12,"morning",F362&lt;=18,"afternoon",F362&lt;=24,"night")</f>
        <v>morning</v>
      </c>
      <c r="R362" t="str">
        <f t="shared" si="9"/>
        <v>Sunday</v>
      </c>
    </row>
    <row r="363" spans="1:18" x14ac:dyDescent="0.3">
      <c r="A363" s="3">
        <v>972</v>
      </c>
      <c r="B363" s="4">
        <v>40587</v>
      </c>
      <c r="C363" s="3">
        <v>1</v>
      </c>
      <c r="D363" s="3">
        <v>0</v>
      </c>
      <c r="E363" s="3">
        <v>2</v>
      </c>
      <c r="F363" s="3">
        <v>2</v>
      </c>
      <c r="G363" s="3" t="b">
        <v>0</v>
      </c>
      <c r="H363" s="3">
        <v>0</v>
      </c>
      <c r="I363" s="3">
        <v>2</v>
      </c>
      <c r="J363" s="3">
        <v>0.2</v>
      </c>
      <c r="K363" s="3">
        <v>0.2273</v>
      </c>
      <c r="L363" s="3">
        <v>0.75</v>
      </c>
      <c r="M363" s="3">
        <v>8.9599999999999999E-2</v>
      </c>
      <c r="N363" s="3">
        <v>1</v>
      </c>
      <c r="O363" s="3">
        <v>19</v>
      </c>
      <c r="P363" s="3">
        <v>20</v>
      </c>
      <c r="Q363" t="str" cm="1">
        <f t="array" ref="Q363">_xlfn.IFS(F363&lt;=12,"morning",F363&lt;=18,"afternoon",F363&lt;=24,"night")</f>
        <v>morning</v>
      </c>
      <c r="R363" t="str">
        <f t="shared" si="9"/>
        <v>Sunday</v>
      </c>
    </row>
    <row r="364" spans="1:18" x14ac:dyDescent="0.3">
      <c r="A364" s="3">
        <v>973</v>
      </c>
      <c r="B364" s="4">
        <v>40587</v>
      </c>
      <c r="C364" s="3">
        <v>1</v>
      </c>
      <c r="D364" s="3">
        <v>0</v>
      </c>
      <c r="E364" s="3">
        <v>2</v>
      </c>
      <c r="F364" s="3">
        <v>3</v>
      </c>
      <c r="G364" s="3" t="b">
        <v>0</v>
      </c>
      <c r="H364" s="3">
        <v>0</v>
      </c>
      <c r="I364" s="3">
        <v>2</v>
      </c>
      <c r="J364" s="3">
        <v>0.2</v>
      </c>
      <c r="K364" s="3">
        <v>0.2273</v>
      </c>
      <c r="L364" s="3">
        <v>0.69</v>
      </c>
      <c r="M364" s="3">
        <v>0.1045</v>
      </c>
      <c r="N364" s="3">
        <v>4</v>
      </c>
      <c r="O364" s="3">
        <v>8</v>
      </c>
      <c r="P364" s="3">
        <v>12</v>
      </c>
      <c r="Q364" t="str" cm="1">
        <f t="array" ref="Q364">_xlfn.IFS(F364&lt;=12,"morning",F364&lt;=18,"afternoon",F364&lt;=24,"night")</f>
        <v>morning</v>
      </c>
      <c r="R364" t="str">
        <f t="shared" si="9"/>
        <v>Sunday</v>
      </c>
    </row>
    <row r="365" spans="1:18" x14ac:dyDescent="0.3">
      <c r="A365" s="3">
        <v>974</v>
      </c>
      <c r="B365" s="4">
        <v>40587</v>
      </c>
      <c r="C365" s="3">
        <v>1</v>
      </c>
      <c r="D365" s="3">
        <v>0</v>
      </c>
      <c r="E365" s="3">
        <v>2</v>
      </c>
      <c r="F365" s="3">
        <v>4</v>
      </c>
      <c r="G365" s="3" t="b">
        <v>0</v>
      </c>
      <c r="H365" s="3">
        <v>0</v>
      </c>
      <c r="I365" s="3">
        <v>2</v>
      </c>
      <c r="J365" s="3">
        <v>0.2</v>
      </c>
      <c r="K365" s="3">
        <v>0.21210000000000001</v>
      </c>
      <c r="L365" s="3">
        <v>0.69</v>
      </c>
      <c r="M365" s="3">
        <v>0.16420000000000001</v>
      </c>
      <c r="N365" s="3">
        <v>0</v>
      </c>
      <c r="O365" s="3">
        <v>2</v>
      </c>
      <c r="P365" s="3">
        <v>2</v>
      </c>
      <c r="Q365" t="str" cm="1">
        <f t="array" ref="Q365">_xlfn.IFS(F365&lt;=12,"morning",F365&lt;=18,"afternoon",F365&lt;=24,"night")</f>
        <v>morning</v>
      </c>
      <c r="R365" t="str">
        <f t="shared" si="9"/>
        <v>Sunday</v>
      </c>
    </row>
    <row r="366" spans="1:18" x14ac:dyDescent="0.3">
      <c r="A366" s="3">
        <v>975</v>
      </c>
      <c r="B366" s="4">
        <v>40587</v>
      </c>
      <c r="C366" s="3">
        <v>1</v>
      </c>
      <c r="D366" s="3">
        <v>0</v>
      </c>
      <c r="E366" s="3">
        <v>2</v>
      </c>
      <c r="F366" s="3">
        <v>6</v>
      </c>
      <c r="G366" s="3" t="b">
        <v>0</v>
      </c>
      <c r="H366" s="3">
        <v>0</v>
      </c>
      <c r="I366" s="3">
        <v>2</v>
      </c>
      <c r="J366" s="3">
        <v>0.2</v>
      </c>
      <c r="K366" s="3">
        <v>0.21210000000000001</v>
      </c>
      <c r="L366" s="3">
        <v>0.69</v>
      </c>
      <c r="M366" s="3">
        <v>0.1343</v>
      </c>
      <c r="N366" s="3">
        <v>2</v>
      </c>
      <c r="O366" s="3">
        <v>3</v>
      </c>
      <c r="P366" s="3">
        <v>5</v>
      </c>
      <c r="Q366" t="str" cm="1">
        <f t="array" ref="Q366">_xlfn.IFS(F366&lt;=12,"morning",F366&lt;=18,"afternoon",F366&lt;=24,"night")</f>
        <v>morning</v>
      </c>
      <c r="R366" t="str">
        <f t="shared" si="9"/>
        <v>Sunday</v>
      </c>
    </row>
    <row r="367" spans="1:18" x14ac:dyDescent="0.3">
      <c r="A367" s="3">
        <v>976</v>
      </c>
      <c r="B367" s="4">
        <v>40587</v>
      </c>
      <c r="C367" s="3">
        <v>1</v>
      </c>
      <c r="D367" s="3">
        <v>0</v>
      </c>
      <c r="E367" s="3">
        <v>2</v>
      </c>
      <c r="F367" s="3">
        <v>7</v>
      </c>
      <c r="G367" s="3" t="b">
        <v>0</v>
      </c>
      <c r="H367" s="3">
        <v>0</v>
      </c>
      <c r="I367" s="3">
        <v>2</v>
      </c>
      <c r="J367" s="3">
        <v>0.22</v>
      </c>
      <c r="K367" s="3">
        <v>0.2727</v>
      </c>
      <c r="L367" s="3">
        <v>0.55000000000000004</v>
      </c>
      <c r="M367" s="3">
        <v>0</v>
      </c>
      <c r="N367" s="3">
        <v>0</v>
      </c>
      <c r="O367" s="3">
        <v>3</v>
      </c>
      <c r="P367" s="3">
        <v>3</v>
      </c>
      <c r="Q367" t="str" cm="1">
        <f t="array" ref="Q367">_xlfn.IFS(F367&lt;=12,"morning",F367&lt;=18,"afternoon",F367&lt;=24,"night")</f>
        <v>morning</v>
      </c>
      <c r="R367" t="str">
        <f t="shared" si="9"/>
        <v>Sunday</v>
      </c>
    </row>
    <row r="368" spans="1:18" x14ac:dyDescent="0.3">
      <c r="A368" s="3">
        <v>977</v>
      </c>
      <c r="B368" s="4">
        <v>40587</v>
      </c>
      <c r="C368" s="3">
        <v>1</v>
      </c>
      <c r="D368" s="3">
        <v>0</v>
      </c>
      <c r="E368" s="3">
        <v>2</v>
      </c>
      <c r="F368" s="3">
        <v>8</v>
      </c>
      <c r="G368" s="3" t="b">
        <v>0</v>
      </c>
      <c r="H368" s="3">
        <v>0</v>
      </c>
      <c r="I368" s="3">
        <v>2</v>
      </c>
      <c r="J368" s="3">
        <v>0.22</v>
      </c>
      <c r="K368" s="3">
        <v>0.2273</v>
      </c>
      <c r="L368" s="3">
        <v>0.64</v>
      </c>
      <c r="M368" s="3">
        <v>0.19400000000000001</v>
      </c>
      <c r="N368" s="3">
        <v>1</v>
      </c>
      <c r="O368" s="3">
        <v>11</v>
      </c>
      <c r="P368" s="3">
        <v>12</v>
      </c>
      <c r="Q368" t="str" cm="1">
        <f t="array" ref="Q368">_xlfn.IFS(F368&lt;=12,"morning",F368&lt;=18,"afternoon",F368&lt;=24,"night")</f>
        <v>morning</v>
      </c>
      <c r="R368" t="str">
        <f t="shared" si="9"/>
        <v>Sunday</v>
      </c>
    </row>
    <row r="369" spans="1:18" x14ac:dyDescent="0.3">
      <c r="A369" s="3">
        <v>978</v>
      </c>
      <c r="B369" s="4">
        <v>40587</v>
      </c>
      <c r="C369" s="3">
        <v>1</v>
      </c>
      <c r="D369" s="3">
        <v>0</v>
      </c>
      <c r="E369" s="3">
        <v>2</v>
      </c>
      <c r="F369" s="3">
        <v>9</v>
      </c>
      <c r="G369" s="3" t="b">
        <v>0</v>
      </c>
      <c r="H369" s="3">
        <v>0</v>
      </c>
      <c r="I369" s="3">
        <v>2</v>
      </c>
      <c r="J369" s="3">
        <v>0.24</v>
      </c>
      <c r="K369" s="3">
        <v>0.2273</v>
      </c>
      <c r="L369" s="3">
        <v>0.6</v>
      </c>
      <c r="M369" s="3">
        <v>0.22389999999999999</v>
      </c>
      <c r="N369" s="3">
        <v>12</v>
      </c>
      <c r="O369" s="3">
        <v>35</v>
      </c>
      <c r="P369" s="3">
        <v>47</v>
      </c>
      <c r="Q369" t="str" cm="1">
        <f t="array" ref="Q369">_xlfn.IFS(F369&lt;=12,"morning",F369&lt;=18,"afternoon",F369&lt;=24,"night")</f>
        <v>morning</v>
      </c>
      <c r="R369" t="str">
        <f t="shared" si="9"/>
        <v>Sunday</v>
      </c>
    </row>
    <row r="370" spans="1:18" x14ac:dyDescent="0.3">
      <c r="A370" s="3">
        <v>979</v>
      </c>
      <c r="B370" s="4">
        <v>40587</v>
      </c>
      <c r="C370" s="3">
        <v>1</v>
      </c>
      <c r="D370" s="3">
        <v>0</v>
      </c>
      <c r="E370" s="3">
        <v>2</v>
      </c>
      <c r="F370" s="3">
        <v>10</v>
      </c>
      <c r="G370" s="3" t="b">
        <v>0</v>
      </c>
      <c r="H370" s="3">
        <v>0</v>
      </c>
      <c r="I370" s="3">
        <v>1</v>
      </c>
      <c r="J370" s="3">
        <v>0.3</v>
      </c>
      <c r="K370" s="3">
        <v>0.2727</v>
      </c>
      <c r="L370" s="3">
        <v>0.45</v>
      </c>
      <c r="M370" s="3">
        <v>0.32840000000000003</v>
      </c>
      <c r="N370" s="3">
        <v>19</v>
      </c>
      <c r="O370" s="3">
        <v>86</v>
      </c>
      <c r="P370" s="3">
        <v>105</v>
      </c>
      <c r="Q370" t="str" cm="1">
        <f t="array" ref="Q370">_xlfn.IFS(F370&lt;=12,"morning",F370&lt;=18,"afternoon",F370&lt;=24,"night")</f>
        <v>morning</v>
      </c>
      <c r="R370" t="str">
        <f t="shared" si="9"/>
        <v>Sunday</v>
      </c>
    </row>
    <row r="371" spans="1:18" x14ac:dyDescent="0.3">
      <c r="A371" s="3">
        <v>980</v>
      </c>
      <c r="B371" s="4">
        <v>40587</v>
      </c>
      <c r="C371" s="3">
        <v>1</v>
      </c>
      <c r="D371" s="3">
        <v>0</v>
      </c>
      <c r="E371" s="3">
        <v>2</v>
      </c>
      <c r="F371" s="3">
        <v>11</v>
      </c>
      <c r="G371" s="3" t="b">
        <v>0</v>
      </c>
      <c r="H371" s="3">
        <v>0</v>
      </c>
      <c r="I371" s="3">
        <v>1</v>
      </c>
      <c r="J371" s="3">
        <v>0.32</v>
      </c>
      <c r="K371" s="3">
        <v>0.28789999999999999</v>
      </c>
      <c r="L371" s="3">
        <v>0.39</v>
      </c>
      <c r="M371" s="3">
        <v>0.44779999999999998</v>
      </c>
      <c r="N371" s="3">
        <v>26</v>
      </c>
      <c r="O371" s="3">
        <v>86</v>
      </c>
      <c r="P371" s="3">
        <v>112</v>
      </c>
      <c r="Q371" t="str" cm="1">
        <f t="array" ref="Q371">_xlfn.IFS(F371&lt;=12,"morning",F371&lt;=18,"afternoon",F371&lt;=24,"night")</f>
        <v>morning</v>
      </c>
      <c r="R371" t="str">
        <f t="shared" si="9"/>
        <v>Sunday</v>
      </c>
    </row>
    <row r="372" spans="1:18" x14ac:dyDescent="0.3">
      <c r="A372" s="3">
        <v>981</v>
      </c>
      <c r="B372" s="4">
        <v>40587</v>
      </c>
      <c r="C372" s="3">
        <v>1</v>
      </c>
      <c r="D372" s="3">
        <v>0</v>
      </c>
      <c r="E372" s="3">
        <v>2</v>
      </c>
      <c r="F372" s="3">
        <v>12</v>
      </c>
      <c r="G372" s="3" t="b">
        <v>0</v>
      </c>
      <c r="H372" s="3">
        <v>0</v>
      </c>
      <c r="I372" s="3">
        <v>1</v>
      </c>
      <c r="J372" s="3">
        <v>0.36</v>
      </c>
      <c r="K372" s="3">
        <v>0.31819999999999998</v>
      </c>
      <c r="L372" s="3">
        <v>0.32</v>
      </c>
      <c r="M372" s="3">
        <v>0.4627</v>
      </c>
      <c r="N372" s="3">
        <v>58</v>
      </c>
      <c r="O372" s="3">
        <v>94</v>
      </c>
      <c r="P372" s="3">
        <v>152</v>
      </c>
      <c r="Q372" t="str" cm="1">
        <f t="array" ref="Q372">_xlfn.IFS(F372&lt;=12,"morning",F372&lt;=18,"afternoon",F372&lt;=24,"night")</f>
        <v>morning</v>
      </c>
      <c r="R372" t="str">
        <f t="shared" si="9"/>
        <v>Sunday</v>
      </c>
    </row>
    <row r="373" spans="1:18" x14ac:dyDescent="0.3">
      <c r="A373" s="3">
        <v>982</v>
      </c>
      <c r="B373" s="4">
        <v>40587</v>
      </c>
      <c r="C373" s="3">
        <v>1</v>
      </c>
      <c r="D373" s="3">
        <v>0</v>
      </c>
      <c r="E373" s="3">
        <v>2</v>
      </c>
      <c r="F373" s="3">
        <v>13</v>
      </c>
      <c r="G373" s="3" t="b">
        <v>0</v>
      </c>
      <c r="H373" s="3">
        <v>0</v>
      </c>
      <c r="I373" s="3">
        <v>1</v>
      </c>
      <c r="J373" s="3">
        <v>0.38</v>
      </c>
      <c r="K373" s="3">
        <v>0.39389999999999997</v>
      </c>
      <c r="L373" s="3">
        <v>0.28999999999999998</v>
      </c>
      <c r="M373" s="3">
        <v>0.35820000000000002</v>
      </c>
      <c r="N373" s="3">
        <v>62</v>
      </c>
      <c r="O373" s="3">
        <v>92</v>
      </c>
      <c r="P373" s="3">
        <v>154</v>
      </c>
      <c r="Q373" t="str" cm="1">
        <f t="array" ref="Q373">_xlfn.IFS(F373&lt;=12,"morning",F373&lt;=18,"afternoon",F373&lt;=24,"night")</f>
        <v>afternoon</v>
      </c>
      <c r="R373" t="str">
        <f t="shared" si="9"/>
        <v>Sunday</v>
      </c>
    </row>
    <row r="374" spans="1:18" x14ac:dyDescent="0.3">
      <c r="A374" s="3">
        <v>983</v>
      </c>
      <c r="B374" s="4">
        <v>40587</v>
      </c>
      <c r="C374" s="3">
        <v>1</v>
      </c>
      <c r="D374" s="3">
        <v>0</v>
      </c>
      <c r="E374" s="3">
        <v>2</v>
      </c>
      <c r="F374" s="3">
        <v>14</v>
      </c>
      <c r="G374" s="3" t="b">
        <v>0</v>
      </c>
      <c r="H374" s="3">
        <v>0</v>
      </c>
      <c r="I374" s="3">
        <v>2</v>
      </c>
      <c r="J374" s="3">
        <v>0.4</v>
      </c>
      <c r="K374" s="3">
        <v>0.40910000000000002</v>
      </c>
      <c r="L374" s="3">
        <v>0.3</v>
      </c>
      <c r="M374" s="3">
        <v>0.41789999999999999</v>
      </c>
      <c r="N374" s="3">
        <v>51</v>
      </c>
      <c r="O374" s="3">
        <v>110</v>
      </c>
      <c r="P374" s="3">
        <v>161</v>
      </c>
      <c r="Q374" t="str" cm="1">
        <f t="array" ref="Q374">_xlfn.IFS(F374&lt;=12,"morning",F374&lt;=18,"afternoon",F374&lt;=24,"night")</f>
        <v>afternoon</v>
      </c>
      <c r="R374" t="str">
        <f t="shared" si="9"/>
        <v>Sunday</v>
      </c>
    </row>
    <row r="375" spans="1:18" x14ac:dyDescent="0.3">
      <c r="A375" s="3">
        <v>984</v>
      </c>
      <c r="B375" s="4">
        <v>40587</v>
      </c>
      <c r="C375" s="3">
        <v>1</v>
      </c>
      <c r="D375" s="3">
        <v>0</v>
      </c>
      <c r="E375" s="3">
        <v>2</v>
      </c>
      <c r="F375" s="3">
        <v>15</v>
      </c>
      <c r="G375" s="3" t="b">
        <v>0</v>
      </c>
      <c r="H375" s="3">
        <v>0</v>
      </c>
      <c r="I375" s="3">
        <v>2</v>
      </c>
      <c r="J375" s="3">
        <v>0.4</v>
      </c>
      <c r="K375" s="3">
        <v>0.40910000000000002</v>
      </c>
      <c r="L375" s="3">
        <v>0.3</v>
      </c>
      <c r="M375" s="3">
        <v>0.29849999999999999</v>
      </c>
      <c r="N375" s="3">
        <v>40</v>
      </c>
      <c r="O375" s="3">
        <v>122</v>
      </c>
      <c r="P375" s="3">
        <v>162</v>
      </c>
      <c r="Q375" t="str" cm="1">
        <f t="array" ref="Q375">_xlfn.IFS(F375&lt;=12,"morning",F375&lt;=18,"afternoon",F375&lt;=24,"night")</f>
        <v>afternoon</v>
      </c>
      <c r="R375" t="str">
        <f t="shared" si="9"/>
        <v>Sunday</v>
      </c>
    </row>
    <row r="376" spans="1:18" x14ac:dyDescent="0.3">
      <c r="A376" s="3">
        <v>985</v>
      </c>
      <c r="B376" s="4">
        <v>40587</v>
      </c>
      <c r="C376" s="3">
        <v>1</v>
      </c>
      <c r="D376" s="3">
        <v>0</v>
      </c>
      <c r="E376" s="3">
        <v>2</v>
      </c>
      <c r="F376" s="3">
        <v>16</v>
      </c>
      <c r="G376" s="3" t="b">
        <v>0</v>
      </c>
      <c r="H376" s="3">
        <v>0</v>
      </c>
      <c r="I376" s="3">
        <v>2</v>
      </c>
      <c r="J376" s="3">
        <v>0.42</v>
      </c>
      <c r="K376" s="3">
        <v>0.42420000000000002</v>
      </c>
      <c r="L376" s="3">
        <v>0.28000000000000003</v>
      </c>
      <c r="M376" s="3">
        <v>0.32840000000000003</v>
      </c>
      <c r="N376" s="3">
        <v>28</v>
      </c>
      <c r="O376" s="3">
        <v>106</v>
      </c>
      <c r="P376" s="3">
        <v>134</v>
      </c>
      <c r="Q376" t="str" cm="1">
        <f t="array" ref="Q376">_xlfn.IFS(F376&lt;=12,"morning",F376&lt;=18,"afternoon",F376&lt;=24,"night")</f>
        <v>afternoon</v>
      </c>
      <c r="R376" t="str">
        <f t="shared" si="9"/>
        <v>Sunday</v>
      </c>
    </row>
    <row r="377" spans="1:18" x14ac:dyDescent="0.3">
      <c r="A377" s="3">
        <v>986</v>
      </c>
      <c r="B377" s="4">
        <v>40587</v>
      </c>
      <c r="C377" s="3">
        <v>1</v>
      </c>
      <c r="D377" s="3">
        <v>0</v>
      </c>
      <c r="E377" s="3">
        <v>2</v>
      </c>
      <c r="F377" s="3">
        <v>17</v>
      </c>
      <c r="G377" s="3" t="b">
        <v>0</v>
      </c>
      <c r="H377" s="3">
        <v>0</v>
      </c>
      <c r="I377" s="3">
        <v>1</v>
      </c>
      <c r="J377" s="3">
        <v>0.42</v>
      </c>
      <c r="K377" s="3">
        <v>0.42420000000000002</v>
      </c>
      <c r="L377" s="3">
        <v>0.28000000000000003</v>
      </c>
      <c r="M377" s="3">
        <v>0.32840000000000003</v>
      </c>
      <c r="N377" s="3">
        <v>30</v>
      </c>
      <c r="O377" s="3">
        <v>95</v>
      </c>
      <c r="P377" s="3">
        <v>125</v>
      </c>
      <c r="Q377" t="str" cm="1">
        <f t="array" ref="Q377">_xlfn.IFS(F377&lt;=12,"morning",F377&lt;=18,"afternoon",F377&lt;=24,"night")</f>
        <v>afternoon</v>
      </c>
      <c r="R377" t="str">
        <f t="shared" si="9"/>
        <v>Sunday</v>
      </c>
    </row>
    <row r="378" spans="1:18" x14ac:dyDescent="0.3">
      <c r="A378" s="3">
        <v>987</v>
      </c>
      <c r="B378" s="4">
        <v>40587</v>
      </c>
      <c r="C378" s="3">
        <v>1</v>
      </c>
      <c r="D378" s="3">
        <v>0</v>
      </c>
      <c r="E378" s="3">
        <v>2</v>
      </c>
      <c r="F378" s="3">
        <v>18</v>
      </c>
      <c r="G378" s="3" t="b">
        <v>0</v>
      </c>
      <c r="H378" s="3">
        <v>0</v>
      </c>
      <c r="I378" s="3">
        <v>1</v>
      </c>
      <c r="J378" s="3">
        <v>0.4</v>
      </c>
      <c r="K378" s="3">
        <v>0.40910000000000002</v>
      </c>
      <c r="L378" s="3">
        <v>0.32</v>
      </c>
      <c r="M378" s="3">
        <v>0.29849999999999999</v>
      </c>
      <c r="N378" s="3">
        <v>17</v>
      </c>
      <c r="O378" s="3">
        <v>78</v>
      </c>
      <c r="P378" s="3">
        <v>95</v>
      </c>
      <c r="Q378" t="str" cm="1">
        <f t="array" ref="Q378">_xlfn.IFS(F378&lt;=12,"morning",F378&lt;=18,"afternoon",F378&lt;=24,"night")</f>
        <v>afternoon</v>
      </c>
      <c r="R378" t="str">
        <f t="shared" si="9"/>
        <v>Sunday</v>
      </c>
    </row>
    <row r="379" spans="1:18" x14ac:dyDescent="0.3">
      <c r="A379" s="3">
        <v>988</v>
      </c>
      <c r="B379" s="4">
        <v>40587</v>
      </c>
      <c r="C379" s="3">
        <v>1</v>
      </c>
      <c r="D379" s="3">
        <v>0</v>
      </c>
      <c r="E379" s="3">
        <v>2</v>
      </c>
      <c r="F379" s="3">
        <v>19</v>
      </c>
      <c r="G379" s="3" t="b">
        <v>0</v>
      </c>
      <c r="H379" s="3">
        <v>0</v>
      </c>
      <c r="I379" s="3">
        <v>1</v>
      </c>
      <c r="J379" s="3">
        <v>0.4</v>
      </c>
      <c r="K379" s="3">
        <v>0.40910000000000002</v>
      </c>
      <c r="L379" s="3">
        <v>0.35</v>
      </c>
      <c r="M379" s="3">
        <v>0.28360000000000002</v>
      </c>
      <c r="N379" s="3">
        <v>11</v>
      </c>
      <c r="O379" s="3">
        <v>50</v>
      </c>
      <c r="P379" s="3">
        <v>61</v>
      </c>
      <c r="Q379" t="str" cm="1">
        <f t="array" ref="Q379">_xlfn.IFS(F379&lt;=12,"morning",F379&lt;=18,"afternoon",F379&lt;=24,"night")</f>
        <v>night</v>
      </c>
      <c r="R379" t="str">
        <f t="shared" si="9"/>
        <v>Sunday</v>
      </c>
    </row>
    <row r="380" spans="1:18" x14ac:dyDescent="0.3">
      <c r="A380" s="3">
        <v>989</v>
      </c>
      <c r="B380" s="4">
        <v>40587</v>
      </c>
      <c r="C380" s="3">
        <v>1</v>
      </c>
      <c r="D380" s="3">
        <v>0</v>
      </c>
      <c r="E380" s="3">
        <v>2</v>
      </c>
      <c r="F380" s="3">
        <v>20</v>
      </c>
      <c r="G380" s="3" t="b">
        <v>0</v>
      </c>
      <c r="H380" s="3">
        <v>0</v>
      </c>
      <c r="I380" s="3">
        <v>1</v>
      </c>
      <c r="J380" s="3">
        <v>0.4</v>
      </c>
      <c r="K380" s="3">
        <v>0.40910000000000002</v>
      </c>
      <c r="L380" s="3">
        <v>0.35</v>
      </c>
      <c r="M380" s="3">
        <v>0.32840000000000003</v>
      </c>
      <c r="N380" s="3">
        <v>15</v>
      </c>
      <c r="O380" s="3">
        <v>32</v>
      </c>
      <c r="P380" s="3">
        <v>47</v>
      </c>
      <c r="Q380" t="str" cm="1">
        <f t="array" ref="Q380">_xlfn.IFS(F380&lt;=12,"morning",F380&lt;=18,"afternoon",F380&lt;=24,"night")</f>
        <v>night</v>
      </c>
      <c r="R380" t="str">
        <f t="shared" si="9"/>
        <v>Sunday</v>
      </c>
    </row>
    <row r="381" spans="1:18" x14ac:dyDescent="0.3">
      <c r="A381" s="3">
        <v>990</v>
      </c>
      <c r="B381" s="4">
        <v>40587</v>
      </c>
      <c r="C381" s="3">
        <v>1</v>
      </c>
      <c r="D381" s="3">
        <v>0</v>
      </c>
      <c r="E381" s="3">
        <v>2</v>
      </c>
      <c r="F381" s="3">
        <v>21</v>
      </c>
      <c r="G381" s="3" t="b">
        <v>0</v>
      </c>
      <c r="H381" s="3">
        <v>0</v>
      </c>
      <c r="I381" s="3">
        <v>1</v>
      </c>
      <c r="J381" s="3">
        <v>0.4</v>
      </c>
      <c r="K381" s="3">
        <v>0.40910000000000002</v>
      </c>
      <c r="L381" s="3">
        <v>0.35</v>
      </c>
      <c r="M381" s="3">
        <v>0.35820000000000002</v>
      </c>
      <c r="N381" s="3">
        <v>6</v>
      </c>
      <c r="O381" s="3">
        <v>45</v>
      </c>
      <c r="P381" s="3">
        <v>51</v>
      </c>
      <c r="Q381" t="str" cm="1">
        <f t="array" ref="Q381">_xlfn.IFS(F381&lt;=12,"morning",F381&lt;=18,"afternoon",F381&lt;=24,"night")</f>
        <v>night</v>
      </c>
      <c r="R381" t="str">
        <f t="shared" si="9"/>
        <v>Sunday</v>
      </c>
    </row>
    <row r="382" spans="1:18" x14ac:dyDescent="0.3">
      <c r="A382" s="3">
        <v>991</v>
      </c>
      <c r="B382" s="4">
        <v>40587</v>
      </c>
      <c r="C382" s="3">
        <v>1</v>
      </c>
      <c r="D382" s="3">
        <v>0</v>
      </c>
      <c r="E382" s="3">
        <v>2</v>
      </c>
      <c r="F382" s="3">
        <v>22</v>
      </c>
      <c r="G382" s="3" t="b">
        <v>0</v>
      </c>
      <c r="H382" s="3">
        <v>0</v>
      </c>
      <c r="I382" s="3">
        <v>1</v>
      </c>
      <c r="J382" s="3">
        <v>0.4</v>
      </c>
      <c r="K382" s="3">
        <v>0.40910000000000002</v>
      </c>
      <c r="L382" s="3">
        <v>0.35</v>
      </c>
      <c r="M382" s="3">
        <v>0.29849999999999999</v>
      </c>
      <c r="N382" s="3">
        <v>5</v>
      </c>
      <c r="O382" s="3">
        <v>31</v>
      </c>
      <c r="P382" s="3">
        <v>36</v>
      </c>
      <c r="Q382" t="str" cm="1">
        <f t="array" ref="Q382">_xlfn.IFS(F382&lt;=12,"morning",F382&lt;=18,"afternoon",F382&lt;=24,"night")</f>
        <v>night</v>
      </c>
      <c r="R382" t="str">
        <f t="shared" si="9"/>
        <v>Sunday</v>
      </c>
    </row>
    <row r="383" spans="1:18" x14ac:dyDescent="0.3">
      <c r="A383" s="3">
        <v>992</v>
      </c>
      <c r="B383" s="4">
        <v>40587</v>
      </c>
      <c r="C383" s="3">
        <v>1</v>
      </c>
      <c r="D383" s="3">
        <v>0</v>
      </c>
      <c r="E383" s="3">
        <v>2</v>
      </c>
      <c r="F383" s="3">
        <v>23</v>
      </c>
      <c r="G383" s="3" t="b">
        <v>0</v>
      </c>
      <c r="H383" s="3">
        <v>0</v>
      </c>
      <c r="I383" s="3">
        <v>1</v>
      </c>
      <c r="J383" s="3">
        <v>0.4</v>
      </c>
      <c r="K383" s="3">
        <v>0.40910000000000002</v>
      </c>
      <c r="L383" s="3">
        <v>0.35</v>
      </c>
      <c r="M383" s="3">
        <v>0.35820000000000002</v>
      </c>
      <c r="N383" s="3">
        <v>3</v>
      </c>
      <c r="O383" s="3">
        <v>27</v>
      </c>
      <c r="P383" s="3">
        <v>30</v>
      </c>
      <c r="Q383" t="str" cm="1">
        <f t="array" ref="Q383">_xlfn.IFS(F383&lt;=12,"morning",F383&lt;=18,"afternoon",F383&lt;=24,"night")</f>
        <v>night</v>
      </c>
      <c r="R383" t="str">
        <f t="shared" si="9"/>
        <v>Sunday</v>
      </c>
    </row>
    <row r="384" spans="1:18" x14ac:dyDescent="0.3">
      <c r="A384" s="3">
        <v>993</v>
      </c>
      <c r="B384" s="4">
        <v>40588</v>
      </c>
      <c r="C384" s="3">
        <v>1</v>
      </c>
      <c r="D384" s="3">
        <v>0</v>
      </c>
      <c r="E384" s="3">
        <v>2</v>
      </c>
      <c r="F384" s="3">
        <v>0</v>
      </c>
      <c r="G384" s="3" t="b">
        <v>0</v>
      </c>
      <c r="H384" s="3">
        <v>1</v>
      </c>
      <c r="I384" s="3">
        <v>1</v>
      </c>
      <c r="J384" s="3">
        <v>0.38</v>
      </c>
      <c r="K384" s="3">
        <v>0.39389999999999997</v>
      </c>
      <c r="L384" s="3">
        <v>0.37</v>
      </c>
      <c r="M384" s="3">
        <v>0.35820000000000002</v>
      </c>
      <c r="N384" s="3">
        <v>3</v>
      </c>
      <c r="O384" s="3">
        <v>8</v>
      </c>
      <c r="P384" s="3">
        <v>11</v>
      </c>
      <c r="Q384" t="str" cm="1">
        <f t="array" ref="Q384">_xlfn.IFS(F384&lt;=12,"morning",F384&lt;=18,"afternoon",F384&lt;=24,"night")</f>
        <v>morning</v>
      </c>
      <c r="R384" t="str">
        <f t="shared" si="9"/>
        <v>Monday</v>
      </c>
    </row>
    <row r="385" spans="1:18" x14ac:dyDescent="0.3">
      <c r="A385" s="3">
        <v>994</v>
      </c>
      <c r="B385" s="4">
        <v>40588</v>
      </c>
      <c r="C385" s="3">
        <v>1</v>
      </c>
      <c r="D385" s="3">
        <v>0</v>
      </c>
      <c r="E385" s="3">
        <v>2</v>
      </c>
      <c r="F385" s="3">
        <v>1</v>
      </c>
      <c r="G385" s="3" t="b">
        <v>0</v>
      </c>
      <c r="H385" s="3">
        <v>1</v>
      </c>
      <c r="I385" s="3">
        <v>1</v>
      </c>
      <c r="J385" s="3">
        <v>0.38</v>
      </c>
      <c r="K385" s="3">
        <v>0.39389999999999997</v>
      </c>
      <c r="L385" s="3">
        <v>0.37</v>
      </c>
      <c r="M385" s="3">
        <v>0.35820000000000002</v>
      </c>
      <c r="N385" s="3">
        <v>1</v>
      </c>
      <c r="O385" s="3">
        <v>6</v>
      </c>
      <c r="P385" s="3">
        <v>7</v>
      </c>
      <c r="Q385" t="str" cm="1">
        <f t="array" ref="Q385">_xlfn.IFS(F385&lt;=12,"morning",F385&lt;=18,"afternoon",F385&lt;=24,"night")</f>
        <v>morning</v>
      </c>
      <c r="R385" t="str">
        <f t="shared" si="9"/>
        <v>Monday</v>
      </c>
    </row>
    <row r="386" spans="1:18" x14ac:dyDescent="0.3">
      <c r="A386" s="3">
        <v>995</v>
      </c>
      <c r="B386" s="4">
        <v>40588</v>
      </c>
      <c r="C386" s="3">
        <v>1</v>
      </c>
      <c r="D386" s="3">
        <v>0</v>
      </c>
      <c r="E386" s="3">
        <v>2</v>
      </c>
      <c r="F386" s="3">
        <v>2</v>
      </c>
      <c r="G386" s="3" t="b">
        <v>0</v>
      </c>
      <c r="H386" s="3">
        <v>1</v>
      </c>
      <c r="I386" s="3">
        <v>1</v>
      </c>
      <c r="J386" s="3">
        <v>0.36</v>
      </c>
      <c r="K386" s="3">
        <v>0.33329999999999999</v>
      </c>
      <c r="L386" s="3">
        <v>0.4</v>
      </c>
      <c r="M386" s="3">
        <v>0.29849999999999999</v>
      </c>
      <c r="N386" s="3">
        <v>0</v>
      </c>
      <c r="O386" s="3">
        <v>2</v>
      </c>
      <c r="P386" s="3">
        <v>2</v>
      </c>
      <c r="Q386" t="str" cm="1">
        <f t="array" ref="Q386">_xlfn.IFS(F386&lt;=12,"morning",F386&lt;=18,"afternoon",F386&lt;=24,"night")</f>
        <v>morning</v>
      </c>
      <c r="R386" t="str">
        <f t="shared" ref="R386:R391" si="10">TEXT(B386,"dddd")</f>
        <v>Monday</v>
      </c>
    </row>
    <row r="387" spans="1:18" x14ac:dyDescent="0.3">
      <c r="A387" s="3">
        <v>996</v>
      </c>
      <c r="B387" s="4">
        <v>40588</v>
      </c>
      <c r="C387" s="3">
        <v>1</v>
      </c>
      <c r="D387" s="3">
        <v>0</v>
      </c>
      <c r="E387" s="3">
        <v>2</v>
      </c>
      <c r="F387" s="3">
        <v>3</v>
      </c>
      <c r="G387" s="3" t="b">
        <v>0</v>
      </c>
      <c r="H387" s="3">
        <v>1</v>
      </c>
      <c r="I387" s="3">
        <v>1</v>
      </c>
      <c r="J387" s="3">
        <v>0.34</v>
      </c>
      <c r="K387" s="3">
        <v>0.31819999999999998</v>
      </c>
      <c r="L387" s="3">
        <v>0.46</v>
      </c>
      <c r="M387" s="3">
        <v>0.22389999999999999</v>
      </c>
      <c r="N387" s="3">
        <v>1</v>
      </c>
      <c r="O387" s="3">
        <v>1</v>
      </c>
      <c r="P387" s="3">
        <v>2</v>
      </c>
      <c r="Q387" t="str" cm="1">
        <f t="array" ref="Q387">_xlfn.IFS(F387&lt;=12,"morning",F387&lt;=18,"afternoon",F387&lt;=24,"night")</f>
        <v>morning</v>
      </c>
      <c r="R387" t="str">
        <f t="shared" si="10"/>
        <v>Monday</v>
      </c>
    </row>
    <row r="388" spans="1:18" x14ac:dyDescent="0.3">
      <c r="A388" s="3">
        <v>997</v>
      </c>
      <c r="B388" s="4">
        <v>40588</v>
      </c>
      <c r="C388" s="3">
        <v>1</v>
      </c>
      <c r="D388" s="3">
        <v>0</v>
      </c>
      <c r="E388" s="3">
        <v>2</v>
      </c>
      <c r="F388" s="3">
        <v>4</v>
      </c>
      <c r="G388" s="3" t="b">
        <v>0</v>
      </c>
      <c r="H388" s="3">
        <v>1</v>
      </c>
      <c r="I388" s="3">
        <v>1</v>
      </c>
      <c r="J388" s="3">
        <v>0.32</v>
      </c>
      <c r="K388" s="3">
        <v>0.30299999999999999</v>
      </c>
      <c r="L388" s="3">
        <v>0.53</v>
      </c>
      <c r="M388" s="3">
        <v>0.28360000000000002</v>
      </c>
      <c r="N388" s="3">
        <v>0</v>
      </c>
      <c r="O388" s="3">
        <v>2</v>
      </c>
      <c r="P388" s="3">
        <v>2</v>
      </c>
      <c r="Q388" t="str" cm="1">
        <f t="array" ref="Q388">_xlfn.IFS(F388&lt;=12,"morning",F388&lt;=18,"afternoon",F388&lt;=24,"night")</f>
        <v>morning</v>
      </c>
      <c r="R388" t="str">
        <f t="shared" si="10"/>
        <v>Monday</v>
      </c>
    </row>
    <row r="389" spans="1:18" x14ac:dyDescent="0.3">
      <c r="A389" s="3">
        <v>998</v>
      </c>
      <c r="B389" s="4">
        <v>40588</v>
      </c>
      <c r="C389" s="3">
        <v>1</v>
      </c>
      <c r="D389" s="3">
        <v>0</v>
      </c>
      <c r="E389" s="3">
        <v>2</v>
      </c>
      <c r="F389" s="3">
        <v>5</v>
      </c>
      <c r="G389" s="3" t="b">
        <v>0</v>
      </c>
      <c r="H389" s="3">
        <v>1</v>
      </c>
      <c r="I389" s="3">
        <v>1</v>
      </c>
      <c r="J389" s="3">
        <v>0.32</v>
      </c>
      <c r="K389" s="3">
        <v>0.30299999999999999</v>
      </c>
      <c r="L389" s="3">
        <v>0.53</v>
      </c>
      <c r="M389" s="3">
        <v>0.28360000000000002</v>
      </c>
      <c r="N389" s="3">
        <v>0</v>
      </c>
      <c r="O389" s="3">
        <v>3</v>
      </c>
      <c r="P389" s="3">
        <v>3</v>
      </c>
      <c r="Q389" t="str" cm="1">
        <f t="array" ref="Q389">_xlfn.IFS(F389&lt;=12,"morning",F389&lt;=18,"afternoon",F389&lt;=24,"night")</f>
        <v>morning</v>
      </c>
      <c r="R389" t="str">
        <f t="shared" si="10"/>
        <v>Monday</v>
      </c>
    </row>
    <row r="390" spans="1:18" x14ac:dyDescent="0.3">
      <c r="A390" s="3">
        <v>999</v>
      </c>
      <c r="B390" s="4">
        <v>40588</v>
      </c>
      <c r="C390" s="3">
        <v>1</v>
      </c>
      <c r="D390" s="3">
        <v>0</v>
      </c>
      <c r="E390" s="3">
        <v>2</v>
      </c>
      <c r="F390" s="3">
        <v>6</v>
      </c>
      <c r="G390" s="3" t="b">
        <v>0</v>
      </c>
      <c r="H390" s="3">
        <v>1</v>
      </c>
      <c r="I390" s="3">
        <v>1</v>
      </c>
      <c r="J390" s="3">
        <v>0.34</v>
      </c>
      <c r="K390" s="3">
        <v>0.30299999999999999</v>
      </c>
      <c r="L390" s="3">
        <v>0.46</v>
      </c>
      <c r="M390" s="3">
        <v>0.29849999999999999</v>
      </c>
      <c r="N390" s="3">
        <v>1</v>
      </c>
      <c r="O390" s="3">
        <v>25</v>
      </c>
      <c r="P390" s="3">
        <v>26</v>
      </c>
      <c r="Q390" t="str" cm="1">
        <f t="array" ref="Q390">_xlfn.IFS(F390&lt;=12,"morning",F390&lt;=18,"afternoon",F390&lt;=24,"night")</f>
        <v>morning</v>
      </c>
      <c r="R390" t="str">
        <f t="shared" si="10"/>
        <v>Monday</v>
      </c>
    </row>
    <row r="391" spans="1:18" ht="15" thickBot="1" x14ac:dyDescent="0.35">
      <c r="A391" s="5">
        <v>1000</v>
      </c>
      <c r="B391" s="6">
        <v>40588</v>
      </c>
      <c r="C391" s="5">
        <v>1</v>
      </c>
      <c r="D391" s="5">
        <v>0</v>
      </c>
      <c r="E391" s="5">
        <v>2</v>
      </c>
      <c r="F391" s="5">
        <v>7</v>
      </c>
      <c r="G391" s="5" t="b">
        <v>0</v>
      </c>
      <c r="H391" s="5">
        <v>1</v>
      </c>
      <c r="I391" s="5">
        <v>1</v>
      </c>
      <c r="J391" s="5">
        <v>0.34</v>
      </c>
      <c r="K391" s="5">
        <v>0.30299999999999999</v>
      </c>
      <c r="L391" s="5">
        <v>0.46</v>
      </c>
      <c r="M391" s="5">
        <v>0.29849999999999999</v>
      </c>
      <c r="N391" s="5">
        <v>2</v>
      </c>
      <c r="O391" s="5">
        <v>96</v>
      </c>
      <c r="P391" s="5">
        <v>98</v>
      </c>
      <c r="Q391" t="str" cm="1">
        <f t="array" ref="Q391">_xlfn.IFS(F391&lt;=12,"morning",F391&lt;=18,"afternoon",F391&lt;=24,"night")</f>
        <v>morning</v>
      </c>
      <c r="R391" t="str">
        <f t="shared" si="10"/>
        <v>Monday</v>
      </c>
    </row>
  </sheetData>
  <sortState xmlns:xlrd2="http://schemas.microsoft.com/office/spreadsheetml/2017/richdata2" ref="A2:R391">
    <sortCondition ref="A1:A391"/>
  </sortState>
  <mergeCells count="1">
    <mergeCell ref="U5:Y5"/>
  </mergeCells>
  <dataValidations count="1">
    <dataValidation type="list" allowBlank="1" showInputMessage="1" showErrorMessage="1" sqref="W3" xr:uid="{6B434976-036F-45AD-8181-3DFF5AAFE63D}">
      <formula1>Q7:Q22</formula1>
    </dataValidation>
  </dataValidations>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5A4D-4484-44EA-9F8D-BD88B52AF661}">
  <dimension ref="A3:D25"/>
  <sheetViews>
    <sheetView workbookViewId="0">
      <selection activeCell="Q14" sqref="Q14"/>
    </sheetView>
  </sheetViews>
  <sheetFormatPr defaultRowHeight="14.4" x14ac:dyDescent="0.3"/>
  <cols>
    <col min="1" max="2" width="12.44140625" bestFit="1" customWidth="1"/>
    <col min="3" max="3" width="15.5546875" bestFit="1" customWidth="1"/>
    <col min="4" max="4" width="9.6640625" bestFit="1" customWidth="1"/>
  </cols>
  <sheetData>
    <row r="3" spans="1:4" x14ac:dyDescent="0.3">
      <c r="A3" s="21" t="s">
        <v>61</v>
      </c>
      <c r="B3" t="s">
        <v>58</v>
      </c>
      <c r="C3" t="s">
        <v>59</v>
      </c>
      <c r="D3" t="s">
        <v>60</v>
      </c>
    </row>
    <row r="4" spans="1:4" x14ac:dyDescent="0.3">
      <c r="A4" s="22" t="s">
        <v>26</v>
      </c>
      <c r="B4">
        <v>293</v>
      </c>
      <c r="C4">
        <v>4752</v>
      </c>
      <c r="D4">
        <v>5045</v>
      </c>
    </row>
    <row r="5" spans="1:4" x14ac:dyDescent="0.3">
      <c r="A5" s="33" t="s">
        <v>69</v>
      </c>
      <c r="B5">
        <v>261</v>
      </c>
      <c r="C5">
        <v>3907</v>
      </c>
      <c r="D5">
        <v>4168</v>
      </c>
    </row>
    <row r="6" spans="1:4" x14ac:dyDescent="0.3">
      <c r="A6" s="33" t="s">
        <v>29</v>
      </c>
      <c r="B6">
        <v>32</v>
      </c>
      <c r="C6">
        <v>845</v>
      </c>
      <c r="D6">
        <v>877</v>
      </c>
    </row>
    <row r="7" spans="1:4" x14ac:dyDescent="0.3">
      <c r="A7" s="22" t="s">
        <v>22</v>
      </c>
      <c r="B7">
        <v>364</v>
      </c>
      <c r="C7">
        <v>4722</v>
      </c>
      <c r="D7">
        <v>5086</v>
      </c>
    </row>
    <row r="8" spans="1:4" x14ac:dyDescent="0.3">
      <c r="A8" s="33" t="s">
        <v>69</v>
      </c>
      <c r="B8">
        <v>307</v>
      </c>
      <c r="C8">
        <v>3753</v>
      </c>
      <c r="D8">
        <v>4060</v>
      </c>
    </row>
    <row r="9" spans="1:4" x14ac:dyDescent="0.3">
      <c r="A9" s="33" t="s">
        <v>29</v>
      </c>
      <c r="B9">
        <v>57</v>
      </c>
      <c r="C9">
        <v>969</v>
      </c>
      <c r="D9">
        <v>1026</v>
      </c>
    </row>
    <row r="10" spans="1:4" x14ac:dyDescent="0.3">
      <c r="A10" s="22" t="s">
        <v>20</v>
      </c>
      <c r="B10">
        <v>714</v>
      </c>
      <c r="C10">
        <v>3459</v>
      </c>
      <c r="D10">
        <v>4173</v>
      </c>
    </row>
    <row r="11" spans="1:4" x14ac:dyDescent="0.3">
      <c r="A11" s="33" t="s">
        <v>69</v>
      </c>
      <c r="B11">
        <v>580</v>
      </c>
      <c r="C11">
        <v>2527</v>
      </c>
      <c r="D11">
        <v>3107</v>
      </c>
    </row>
    <row r="12" spans="1:4" x14ac:dyDescent="0.3">
      <c r="A12" s="33" t="s">
        <v>29</v>
      </c>
      <c r="B12">
        <v>134</v>
      </c>
      <c r="C12">
        <v>932</v>
      </c>
      <c r="D12">
        <v>1066</v>
      </c>
    </row>
    <row r="13" spans="1:4" x14ac:dyDescent="0.3">
      <c r="A13" s="22" t="s">
        <v>21</v>
      </c>
      <c r="B13">
        <v>586</v>
      </c>
      <c r="C13">
        <v>3227</v>
      </c>
      <c r="D13">
        <v>3813</v>
      </c>
    </row>
    <row r="14" spans="1:4" x14ac:dyDescent="0.3">
      <c r="A14" s="33" t="s">
        <v>69</v>
      </c>
      <c r="B14">
        <v>469</v>
      </c>
      <c r="C14">
        <v>2517</v>
      </c>
      <c r="D14">
        <v>2986</v>
      </c>
    </row>
    <row r="15" spans="1:4" x14ac:dyDescent="0.3">
      <c r="A15" s="33" t="s">
        <v>29</v>
      </c>
      <c r="B15">
        <v>117</v>
      </c>
      <c r="C15">
        <v>710</v>
      </c>
      <c r="D15">
        <v>827</v>
      </c>
    </row>
    <row r="16" spans="1:4" x14ac:dyDescent="0.3">
      <c r="A16" s="22" t="s">
        <v>25</v>
      </c>
      <c r="B16">
        <v>224</v>
      </c>
      <c r="C16">
        <v>5146</v>
      </c>
      <c r="D16">
        <v>5370</v>
      </c>
    </row>
    <row r="17" spans="1:4" x14ac:dyDescent="0.3">
      <c r="A17" s="33" t="s">
        <v>69</v>
      </c>
      <c r="B17">
        <v>180</v>
      </c>
      <c r="C17">
        <v>3926</v>
      </c>
      <c r="D17">
        <v>4106</v>
      </c>
    </row>
    <row r="18" spans="1:4" x14ac:dyDescent="0.3">
      <c r="A18" s="33" t="s">
        <v>29</v>
      </c>
      <c r="B18">
        <v>44</v>
      </c>
      <c r="C18">
        <v>1220</v>
      </c>
      <c r="D18">
        <v>1264</v>
      </c>
    </row>
    <row r="19" spans="1:4" x14ac:dyDescent="0.3">
      <c r="A19" s="22" t="s">
        <v>23</v>
      </c>
      <c r="B19">
        <v>346</v>
      </c>
      <c r="C19">
        <v>5147</v>
      </c>
      <c r="D19">
        <v>5493</v>
      </c>
    </row>
    <row r="20" spans="1:4" x14ac:dyDescent="0.3">
      <c r="A20" s="33" t="s">
        <v>69</v>
      </c>
      <c r="B20">
        <v>290</v>
      </c>
      <c r="C20">
        <v>4049</v>
      </c>
      <c r="D20">
        <v>4339</v>
      </c>
    </row>
    <row r="21" spans="1:4" x14ac:dyDescent="0.3">
      <c r="A21" s="33" t="s">
        <v>29</v>
      </c>
      <c r="B21">
        <v>56</v>
      </c>
      <c r="C21">
        <v>1098</v>
      </c>
      <c r="D21">
        <v>1154</v>
      </c>
    </row>
    <row r="22" spans="1:4" x14ac:dyDescent="0.3">
      <c r="A22" s="22" t="s">
        <v>24</v>
      </c>
      <c r="B22">
        <v>219</v>
      </c>
      <c r="C22">
        <v>4699</v>
      </c>
      <c r="D22">
        <v>4918</v>
      </c>
    </row>
    <row r="23" spans="1:4" x14ac:dyDescent="0.3">
      <c r="A23" s="33" t="s">
        <v>69</v>
      </c>
      <c r="B23">
        <v>172</v>
      </c>
      <c r="C23">
        <v>3745</v>
      </c>
      <c r="D23">
        <v>3917</v>
      </c>
    </row>
    <row r="24" spans="1:4" x14ac:dyDescent="0.3">
      <c r="A24" s="33" t="s">
        <v>29</v>
      </c>
      <c r="B24">
        <v>47</v>
      </c>
      <c r="C24">
        <v>954</v>
      </c>
      <c r="D24">
        <v>1001</v>
      </c>
    </row>
    <row r="25" spans="1:4" x14ac:dyDescent="0.3">
      <c r="A25" s="22" t="s">
        <v>62</v>
      </c>
      <c r="B25">
        <v>2746</v>
      </c>
      <c r="C25">
        <v>31152</v>
      </c>
      <c r="D25">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561D6-6885-4D3E-A735-2410DE22ED61}">
  <dimension ref="A1:E43"/>
  <sheetViews>
    <sheetView workbookViewId="0">
      <selection activeCell="H26" sqref="H26"/>
    </sheetView>
  </sheetViews>
  <sheetFormatPr defaultRowHeight="14.4" x14ac:dyDescent="0.3"/>
  <cols>
    <col min="1" max="1" width="10.33203125" bestFit="1" customWidth="1"/>
    <col min="2" max="2" width="9" bestFit="1" customWidth="1"/>
    <col min="3" max="3" width="14.109375" customWidth="1"/>
    <col min="4" max="4" width="27.109375" customWidth="1"/>
    <col min="5" max="5" width="27.33203125" customWidth="1"/>
  </cols>
  <sheetData>
    <row r="1" spans="1:5" x14ac:dyDescent="0.3">
      <c r="A1" t="s">
        <v>1</v>
      </c>
      <c r="B1" t="s">
        <v>16</v>
      </c>
      <c r="C1" t="s">
        <v>65</v>
      </c>
      <c r="D1" t="s">
        <v>66</v>
      </c>
      <c r="E1" t="s">
        <v>67</v>
      </c>
    </row>
    <row r="2" spans="1:5" x14ac:dyDescent="0.3">
      <c r="A2" s="29">
        <v>40544</v>
      </c>
      <c r="B2">
        <v>41.041666666666664</v>
      </c>
    </row>
    <row r="3" spans="1:5" x14ac:dyDescent="0.3">
      <c r="A3" s="29">
        <v>40545</v>
      </c>
      <c r="B3">
        <v>34.826086956521742</v>
      </c>
    </row>
    <row r="4" spans="1:5" x14ac:dyDescent="0.3">
      <c r="A4" s="29">
        <v>40546</v>
      </c>
      <c r="B4">
        <v>61.31818181818182</v>
      </c>
    </row>
    <row r="5" spans="1:5" x14ac:dyDescent="0.3">
      <c r="A5" s="29">
        <v>40547</v>
      </c>
      <c r="B5">
        <v>67.913043478260875</v>
      </c>
    </row>
    <row r="6" spans="1:5" x14ac:dyDescent="0.3">
      <c r="A6" s="29">
        <v>40548</v>
      </c>
      <c r="B6">
        <v>69.565217391304344</v>
      </c>
    </row>
    <row r="7" spans="1:5" x14ac:dyDescent="0.3">
      <c r="A7" s="29">
        <v>40549</v>
      </c>
      <c r="B7">
        <v>69.826086956521735</v>
      </c>
    </row>
    <row r="8" spans="1:5" x14ac:dyDescent="0.3">
      <c r="A8" s="29">
        <v>40550</v>
      </c>
      <c r="B8">
        <v>65.652173913043484</v>
      </c>
    </row>
    <row r="9" spans="1:5" x14ac:dyDescent="0.3">
      <c r="A9" s="29">
        <v>40551</v>
      </c>
      <c r="B9">
        <v>39.958333333333336</v>
      </c>
    </row>
    <row r="10" spans="1:5" x14ac:dyDescent="0.3">
      <c r="A10" s="29">
        <v>40552</v>
      </c>
      <c r="B10">
        <v>34.25</v>
      </c>
    </row>
    <row r="11" spans="1:5" x14ac:dyDescent="0.3">
      <c r="A11" s="29">
        <v>40553</v>
      </c>
      <c r="B11">
        <v>55.041666666666664</v>
      </c>
    </row>
    <row r="12" spans="1:5" x14ac:dyDescent="0.3">
      <c r="A12" s="29">
        <v>40554</v>
      </c>
      <c r="B12">
        <v>57.409090909090907</v>
      </c>
    </row>
    <row r="13" spans="1:5" x14ac:dyDescent="0.3">
      <c r="A13" s="29">
        <v>40555</v>
      </c>
      <c r="B13">
        <v>52.81818181818182</v>
      </c>
    </row>
    <row r="14" spans="1:5" x14ac:dyDescent="0.3">
      <c r="A14" s="29">
        <v>40556</v>
      </c>
      <c r="B14">
        <v>58.583333333333336</v>
      </c>
    </row>
    <row r="15" spans="1:5" x14ac:dyDescent="0.3">
      <c r="A15" s="29">
        <v>40557</v>
      </c>
      <c r="B15">
        <v>61.782608695652172</v>
      </c>
    </row>
    <row r="16" spans="1:5" x14ac:dyDescent="0.3">
      <c r="A16" s="29">
        <v>40558</v>
      </c>
      <c r="B16">
        <v>52</v>
      </c>
    </row>
    <row r="17" spans="1:5" x14ac:dyDescent="0.3">
      <c r="A17" s="29">
        <v>40559</v>
      </c>
      <c r="B17">
        <v>50.166666666666664</v>
      </c>
    </row>
    <row r="18" spans="1:5" x14ac:dyDescent="0.3">
      <c r="A18" s="29">
        <v>40560</v>
      </c>
      <c r="B18">
        <v>41.666666666666664</v>
      </c>
    </row>
    <row r="19" spans="1:5" x14ac:dyDescent="0.3">
      <c r="A19" s="29">
        <v>40561</v>
      </c>
      <c r="B19">
        <v>56.916666666666664</v>
      </c>
    </row>
    <row r="20" spans="1:5" x14ac:dyDescent="0.3">
      <c r="A20" s="29">
        <v>40562</v>
      </c>
      <c r="B20">
        <v>71.739130434782609</v>
      </c>
    </row>
    <row r="21" spans="1:5" x14ac:dyDescent="0.3">
      <c r="A21" s="29">
        <v>40563</v>
      </c>
      <c r="B21">
        <v>80.291666666666671</v>
      </c>
    </row>
    <row r="22" spans="1:5" x14ac:dyDescent="0.3">
      <c r="A22" s="29">
        <v>40564</v>
      </c>
      <c r="B22">
        <v>64.291666666666671</v>
      </c>
    </row>
    <row r="23" spans="1:5" x14ac:dyDescent="0.3">
      <c r="A23" s="29">
        <v>40565</v>
      </c>
      <c r="B23">
        <v>42.652173913043477</v>
      </c>
    </row>
    <row r="24" spans="1:5" x14ac:dyDescent="0.3">
      <c r="A24" s="29">
        <v>40566</v>
      </c>
      <c r="B24">
        <v>42.869565217391305</v>
      </c>
    </row>
    <row r="25" spans="1:5" x14ac:dyDescent="0.3">
      <c r="A25" s="29">
        <v>40567</v>
      </c>
      <c r="B25">
        <v>61.565217391304351</v>
      </c>
    </row>
    <row r="26" spans="1:5" x14ac:dyDescent="0.3">
      <c r="A26" s="29">
        <v>40568</v>
      </c>
      <c r="B26">
        <v>86.304347826086953</v>
      </c>
    </row>
    <row r="27" spans="1:5" x14ac:dyDescent="0.3">
      <c r="A27" s="29">
        <v>40569</v>
      </c>
      <c r="B27">
        <v>31.625</v>
      </c>
    </row>
    <row r="28" spans="1:5" x14ac:dyDescent="0.3">
      <c r="A28" s="29">
        <v>40570</v>
      </c>
      <c r="B28">
        <v>53.875</v>
      </c>
    </row>
    <row r="29" spans="1:5" x14ac:dyDescent="0.3">
      <c r="A29" s="29">
        <v>40571</v>
      </c>
      <c r="B29">
        <v>38.06666666666667</v>
      </c>
      <c r="C29">
        <v>38.06666666666667</v>
      </c>
      <c r="D29" s="30">
        <v>38.06666666666667</v>
      </c>
      <c r="E29" s="30">
        <v>38.06666666666667</v>
      </c>
    </row>
    <row r="30" spans="1:5" x14ac:dyDescent="0.3">
      <c r="A30" s="29">
        <v>40572</v>
      </c>
      <c r="C30">
        <f t="shared" ref="C30:C43" si="0">_xlfn.FORECAST.ETS(A30,$B$2:$B$29,$A$2:$A$29,1,1)</f>
        <v>40.024790724090145</v>
      </c>
      <c r="D30" s="30">
        <f t="shared" ref="D30:D43" si="1">C30-_xlfn.FORECAST.ETS.CONFINT(A30,$B$2:$B$29,$A$2:$A$29,0.95,1,1)</f>
        <v>17.444044283269577</v>
      </c>
      <c r="E30" s="30">
        <f t="shared" ref="E30:E43" si="2">C30+_xlfn.FORECAST.ETS.CONFINT(A30,$B$2:$B$29,$A$2:$A$29,0.95,1,1)</f>
        <v>62.605537164910714</v>
      </c>
    </row>
    <row r="31" spans="1:5" x14ac:dyDescent="0.3">
      <c r="A31" s="29">
        <v>40573</v>
      </c>
      <c r="C31">
        <f t="shared" si="0"/>
        <v>35.874001603077829</v>
      </c>
      <c r="D31" s="30">
        <f t="shared" si="1"/>
        <v>13.111881152513643</v>
      </c>
      <c r="E31" s="30">
        <f t="shared" si="2"/>
        <v>58.636122053642012</v>
      </c>
    </row>
    <row r="32" spans="1:5" x14ac:dyDescent="0.3">
      <c r="A32" s="29">
        <v>40574</v>
      </c>
      <c r="C32">
        <f t="shared" si="0"/>
        <v>52.697995185828823</v>
      </c>
      <c r="D32" s="30">
        <f t="shared" si="1"/>
        <v>29.753101048671443</v>
      </c>
      <c r="E32" s="30">
        <f t="shared" si="2"/>
        <v>75.642889322986207</v>
      </c>
    </row>
    <row r="33" spans="1:5" x14ac:dyDescent="0.3">
      <c r="A33" s="29">
        <v>40575</v>
      </c>
      <c r="C33">
        <f t="shared" si="0"/>
        <v>56.548798521377336</v>
      </c>
      <c r="D33" s="30">
        <f t="shared" si="1"/>
        <v>33.419742157510029</v>
      </c>
      <c r="E33" s="30">
        <f t="shared" si="2"/>
        <v>79.677854885244642</v>
      </c>
    </row>
    <row r="34" spans="1:5" x14ac:dyDescent="0.3">
      <c r="A34" s="29">
        <v>40576</v>
      </c>
      <c r="C34">
        <f t="shared" si="0"/>
        <v>54.010119527889771</v>
      </c>
      <c r="D34" s="30">
        <f t="shared" si="1"/>
        <v>30.695523431474395</v>
      </c>
      <c r="E34" s="30">
        <f t="shared" si="2"/>
        <v>77.324715624305142</v>
      </c>
    </row>
    <row r="35" spans="1:5" x14ac:dyDescent="0.3">
      <c r="A35" s="29">
        <v>40577</v>
      </c>
      <c r="C35">
        <f t="shared" si="0"/>
        <v>57.339428082721284</v>
      </c>
      <c r="D35" s="30">
        <f t="shared" si="1"/>
        <v>33.837925677264572</v>
      </c>
      <c r="E35" s="30">
        <f t="shared" si="2"/>
        <v>80.840930488178003</v>
      </c>
    </row>
    <row r="36" spans="1:5" x14ac:dyDescent="0.3">
      <c r="A36" s="29">
        <v>40578</v>
      </c>
      <c r="C36">
        <f t="shared" si="0"/>
        <v>56.006038105996709</v>
      </c>
      <c r="D36" s="30">
        <f t="shared" si="1"/>
        <v>32.316273637195593</v>
      </c>
      <c r="E36" s="30">
        <f t="shared" si="2"/>
        <v>79.695802574797824</v>
      </c>
    </row>
    <row r="37" spans="1:5" x14ac:dyDescent="0.3">
      <c r="A37" s="29">
        <v>40579</v>
      </c>
      <c r="C37">
        <f t="shared" si="0"/>
        <v>38.785363455111067</v>
      </c>
      <c r="D37" s="30">
        <f t="shared" si="1"/>
        <v>14.9031414605126</v>
      </c>
      <c r="E37" s="30">
        <f t="shared" si="2"/>
        <v>62.667585449709534</v>
      </c>
    </row>
    <row r="38" spans="1:5" x14ac:dyDescent="0.3">
      <c r="A38" s="29">
        <v>40580</v>
      </c>
      <c r="C38">
        <f t="shared" si="0"/>
        <v>34.634574334098751</v>
      </c>
      <c r="D38" s="30">
        <f t="shared" si="1"/>
        <v>10.561433404604443</v>
      </c>
      <c r="E38" s="30">
        <f t="shared" si="2"/>
        <v>58.707715263593059</v>
      </c>
    </row>
    <row r="39" spans="1:5" x14ac:dyDescent="0.3">
      <c r="A39" s="29">
        <v>40581</v>
      </c>
      <c r="C39">
        <f t="shared" si="0"/>
        <v>51.458567916849738</v>
      </c>
      <c r="D39" s="30">
        <f t="shared" si="1"/>
        <v>27.193183900460301</v>
      </c>
      <c r="E39" s="30">
        <f t="shared" si="2"/>
        <v>75.723951933239178</v>
      </c>
    </row>
    <row r="40" spans="1:5" x14ac:dyDescent="0.3">
      <c r="A40" s="29">
        <v>40582</v>
      </c>
      <c r="C40">
        <f t="shared" si="0"/>
        <v>55.30937125239825</v>
      </c>
      <c r="D40" s="30">
        <f t="shared" si="1"/>
        <v>30.850430373158115</v>
      </c>
      <c r="E40" s="30">
        <f t="shared" si="2"/>
        <v>79.768312131638382</v>
      </c>
    </row>
    <row r="41" spans="1:5" x14ac:dyDescent="0.3">
      <c r="A41" s="29">
        <v>40583</v>
      </c>
      <c r="C41">
        <f t="shared" si="0"/>
        <v>52.770692258910692</v>
      </c>
      <c r="D41" s="30">
        <f t="shared" si="1"/>
        <v>28.116891002198518</v>
      </c>
      <c r="E41" s="30">
        <f t="shared" si="2"/>
        <v>77.424493515622871</v>
      </c>
    </row>
    <row r="42" spans="1:5" x14ac:dyDescent="0.3">
      <c r="A42" s="29">
        <v>40584</v>
      </c>
      <c r="C42">
        <f t="shared" si="0"/>
        <v>56.100000813742206</v>
      </c>
      <c r="D42" s="30">
        <f t="shared" si="1"/>
        <v>31.250045810624734</v>
      </c>
      <c r="E42" s="30">
        <f t="shared" si="2"/>
        <v>80.949955816859671</v>
      </c>
    </row>
    <row r="43" spans="1:5" x14ac:dyDescent="0.3">
      <c r="A43" s="29">
        <v>40585</v>
      </c>
      <c r="C43">
        <f t="shared" si="0"/>
        <v>54.76661083701763</v>
      </c>
      <c r="D43" s="30">
        <f t="shared" si="1"/>
        <v>29.719218747842262</v>
      </c>
      <c r="E43" s="30">
        <f t="shared" si="2"/>
        <v>79.814002926192998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F56FB-ECC4-4FCD-8326-567FBF5C8E44}">
  <dimension ref="A1:K611"/>
  <sheetViews>
    <sheetView workbookViewId="0">
      <selection activeCell="M332" sqref="M332"/>
    </sheetView>
  </sheetViews>
  <sheetFormatPr defaultRowHeight="14.4" x14ac:dyDescent="0.3"/>
  <cols>
    <col min="2" max="2" width="14.5546875" customWidth="1"/>
    <col min="4" max="4" width="13.21875" customWidth="1"/>
  </cols>
  <sheetData>
    <row r="1" spans="1:11" ht="29.4" thickBot="1" x14ac:dyDescent="0.35">
      <c r="A1" s="8" t="s">
        <v>0</v>
      </c>
      <c r="B1" s="8" t="s">
        <v>1</v>
      </c>
      <c r="C1" s="8" t="s">
        <v>5</v>
      </c>
      <c r="D1" s="8" t="s">
        <v>7</v>
      </c>
      <c r="E1" s="8" t="s">
        <v>9</v>
      </c>
      <c r="F1" s="9" t="s">
        <v>17</v>
      </c>
      <c r="G1" s="7" t="s">
        <v>12</v>
      </c>
      <c r="H1" s="7" t="s">
        <v>13</v>
      </c>
      <c r="I1" s="7" t="s">
        <v>14</v>
      </c>
      <c r="J1" s="7" t="s">
        <v>15</v>
      </c>
      <c r="K1" s="10" t="s">
        <v>16</v>
      </c>
    </row>
    <row r="2" spans="1:11" x14ac:dyDescent="0.3">
      <c r="A2" s="3">
        <v>1</v>
      </c>
      <c r="B2" s="4">
        <v>40544</v>
      </c>
      <c r="C2" s="3">
        <v>0</v>
      </c>
      <c r="D2" s="3">
        <v>6</v>
      </c>
      <c r="E2" s="3">
        <v>0.24</v>
      </c>
      <c r="F2" t="str">
        <f>TEXT(B2,"ddd")</f>
        <v>Sat</v>
      </c>
      <c r="G2">
        <f t="shared" ref="G2:G65" si="0">VLOOKUP($A2,instantc,3,FALSE)</f>
        <v>0.28789999999999999</v>
      </c>
      <c r="H2">
        <f t="shared" ref="H2:H65" si="1">VLOOKUP($A2,instantc,4,FALSE)</f>
        <v>0.81</v>
      </c>
      <c r="I2">
        <f t="shared" ref="I2:I65" si="2">VLOOKUP($A2,instantc,5,FALSE)</f>
        <v>0</v>
      </c>
      <c r="J2">
        <f t="shared" ref="J2:J65" si="3">VLOOKUP($A2,instantc,6,FALSE)</f>
        <v>3</v>
      </c>
      <c r="K2">
        <f t="shared" ref="K2:K65" si="4">VLOOKUP($A2,instantc,7,FALSE)</f>
        <v>13</v>
      </c>
    </row>
    <row r="3" spans="1:11" x14ac:dyDescent="0.3">
      <c r="A3" s="3">
        <v>2</v>
      </c>
      <c r="B3" s="4">
        <v>40544</v>
      </c>
      <c r="C3" s="3">
        <v>1</v>
      </c>
      <c r="D3" s="3">
        <v>6</v>
      </c>
      <c r="E3" s="3">
        <v>0.22</v>
      </c>
      <c r="F3" t="str">
        <f t="shared" ref="F3:F66" si="5">TEXT(B3,"ddd")</f>
        <v>Sat</v>
      </c>
      <c r="G3">
        <f t="shared" si="0"/>
        <v>0.2727</v>
      </c>
      <c r="H3">
        <f t="shared" si="1"/>
        <v>0.8</v>
      </c>
      <c r="I3">
        <f t="shared" si="2"/>
        <v>0</v>
      </c>
      <c r="J3">
        <f t="shared" si="3"/>
        <v>8</v>
      </c>
      <c r="K3">
        <f t="shared" si="4"/>
        <v>32</v>
      </c>
    </row>
    <row r="4" spans="1:11" x14ac:dyDescent="0.3">
      <c r="A4" s="3">
        <v>3</v>
      </c>
      <c r="B4" s="4">
        <v>40544</v>
      </c>
      <c r="C4" s="3">
        <v>2</v>
      </c>
      <c r="D4" s="3">
        <v>6</v>
      </c>
      <c r="E4" s="3">
        <v>0.22</v>
      </c>
      <c r="F4" t="str">
        <f t="shared" si="5"/>
        <v>Sat</v>
      </c>
      <c r="G4">
        <f t="shared" si="0"/>
        <v>0.2727</v>
      </c>
      <c r="H4">
        <f t="shared" si="1"/>
        <v>0.8</v>
      </c>
      <c r="I4">
        <f t="shared" si="2"/>
        <v>0</v>
      </c>
      <c r="J4">
        <f t="shared" si="3"/>
        <v>5</v>
      </c>
      <c r="K4">
        <f t="shared" si="4"/>
        <v>27</v>
      </c>
    </row>
    <row r="5" spans="1:11" x14ac:dyDescent="0.3">
      <c r="A5" s="3">
        <v>4</v>
      </c>
      <c r="B5" s="4">
        <v>40544</v>
      </c>
      <c r="C5" s="3">
        <v>3</v>
      </c>
      <c r="D5" s="3">
        <v>6</v>
      </c>
      <c r="E5" s="3">
        <v>0.24</v>
      </c>
      <c r="F5" t="str">
        <f t="shared" si="5"/>
        <v>Sat</v>
      </c>
      <c r="G5">
        <f t="shared" si="0"/>
        <v>0.28789999999999999</v>
      </c>
      <c r="H5">
        <f t="shared" si="1"/>
        <v>0.75</v>
      </c>
      <c r="I5">
        <f t="shared" si="2"/>
        <v>0</v>
      </c>
      <c r="J5">
        <f t="shared" si="3"/>
        <v>3</v>
      </c>
      <c r="K5">
        <f t="shared" si="4"/>
        <v>10</v>
      </c>
    </row>
    <row r="6" spans="1:11" x14ac:dyDescent="0.3">
      <c r="A6" s="3">
        <v>5</v>
      </c>
      <c r="B6" s="4">
        <v>40544</v>
      </c>
      <c r="C6" s="3">
        <v>4</v>
      </c>
      <c r="D6" s="3">
        <v>6</v>
      </c>
      <c r="E6" s="3">
        <v>0.24</v>
      </c>
      <c r="F6" t="str">
        <f t="shared" si="5"/>
        <v>Sat</v>
      </c>
      <c r="G6">
        <f t="shared" si="0"/>
        <v>0.28789999999999999</v>
      </c>
      <c r="H6">
        <f t="shared" si="1"/>
        <v>0.75</v>
      </c>
      <c r="I6">
        <f t="shared" si="2"/>
        <v>0</v>
      </c>
      <c r="J6">
        <f t="shared" si="3"/>
        <v>0</v>
      </c>
      <c r="K6">
        <f t="shared" si="4"/>
        <v>1</v>
      </c>
    </row>
    <row r="7" spans="1:11" x14ac:dyDescent="0.3">
      <c r="A7" s="3">
        <v>6</v>
      </c>
      <c r="B7" s="4">
        <v>40544</v>
      </c>
      <c r="C7" s="3">
        <v>5</v>
      </c>
      <c r="D7" s="3">
        <v>6</v>
      </c>
      <c r="E7" s="3">
        <v>0.24</v>
      </c>
      <c r="F7" t="str">
        <f t="shared" si="5"/>
        <v>Sat</v>
      </c>
      <c r="G7">
        <f t="shared" si="0"/>
        <v>0.2576</v>
      </c>
      <c r="H7">
        <f t="shared" si="1"/>
        <v>0.75</v>
      </c>
      <c r="I7">
        <f t="shared" si="2"/>
        <v>8.9599999999999999E-2</v>
      </c>
      <c r="J7">
        <f t="shared" si="3"/>
        <v>0</v>
      </c>
      <c r="K7">
        <f t="shared" si="4"/>
        <v>1</v>
      </c>
    </row>
    <row r="8" spans="1:11" x14ac:dyDescent="0.3">
      <c r="A8" s="3">
        <v>7</v>
      </c>
      <c r="B8" s="4">
        <v>40544</v>
      </c>
      <c r="C8" s="3">
        <v>6</v>
      </c>
      <c r="D8" s="3">
        <v>6</v>
      </c>
      <c r="E8" s="3">
        <v>0.22</v>
      </c>
      <c r="F8" t="str">
        <f t="shared" si="5"/>
        <v>Sat</v>
      </c>
      <c r="G8">
        <f t="shared" si="0"/>
        <v>0.2727</v>
      </c>
      <c r="H8">
        <f t="shared" si="1"/>
        <v>0.8</v>
      </c>
      <c r="I8">
        <f t="shared" si="2"/>
        <v>0</v>
      </c>
      <c r="J8">
        <f t="shared" si="3"/>
        <v>2</v>
      </c>
      <c r="K8">
        <f t="shared" si="4"/>
        <v>0</v>
      </c>
    </row>
    <row r="9" spans="1:11" x14ac:dyDescent="0.3">
      <c r="A9" s="3">
        <v>8</v>
      </c>
      <c r="B9" s="4">
        <v>40544</v>
      </c>
      <c r="C9" s="3">
        <v>7</v>
      </c>
      <c r="D9" s="3">
        <v>6</v>
      </c>
      <c r="E9" s="3">
        <v>0.2</v>
      </c>
      <c r="F9" t="str">
        <f t="shared" si="5"/>
        <v>Sat</v>
      </c>
      <c r="G9">
        <f t="shared" si="0"/>
        <v>0.2576</v>
      </c>
      <c r="H9">
        <f t="shared" si="1"/>
        <v>0.86</v>
      </c>
      <c r="I9">
        <f t="shared" si="2"/>
        <v>0</v>
      </c>
      <c r="J9">
        <f t="shared" si="3"/>
        <v>1</v>
      </c>
      <c r="K9">
        <f t="shared" si="4"/>
        <v>2</v>
      </c>
    </row>
    <row r="10" spans="1:11" x14ac:dyDescent="0.3">
      <c r="A10" s="3">
        <v>9</v>
      </c>
      <c r="B10" s="4">
        <v>40544</v>
      </c>
      <c r="C10" s="3">
        <v>8</v>
      </c>
      <c r="D10" s="3">
        <v>6</v>
      </c>
      <c r="E10" s="3">
        <v>0.24</v>
      </c>
      <c r="F10" t="str">
        <f t="shared" si="5"/>
        <v>Sat</v>
      </c>
      <c r="G10" t="str">
        <f t="shared" si="0"/>
        <v xml:space="preserve">N/d </v>
      </c>
      <c r="H10">
        <f t="shared" si="1"/>
        <v>0.75</v>
      </c>
      <c r="I10">
        <f t="shared" si="2"/>
        <v>0</v>
      </c>
      <c r="J10">
        <f t="shared" si="3"/>
        <v>1</v>
      </c>
      <c r="K10">
        <f t="shared" si="4"/>
        <v>7</v>
      </c>
    </row>
    <row r="11" spans="1:11" x14ac:dyDescent="0.3">
      <c r="A11" s="3">
        <v>10</v>
      </c>
      <c r="B11" s="4">
        <v>40544</v>
      </c>
      <c r="C11" s="3">
        <v>9</v>
      </c>
      <c r="D11" s="3">
        <v>6</v>
      </c>
      <c r="E11" s="3">
        <v>0.32</v>
      </c>
      <c r="F11" t="str">
        <f t="shared" si="5"/>
        <v>Sat</v>
      </c>
      <c r="G11">
        <f t="shared" si="0"/>
        <v>0.34849999999999998</v>
      </c>
      <c r="H11">
        <f t="shared" si="1"/>
        <v>0.76</v>
      </c>
      <c r="I11">
        <f t="shared" si="2"/>
        <v>0</v>
      </c>
      <c r="J11">
        <f t="shared" si="3"/>
        <v>8</v>
      </c>
      <c r="K11">
        <f t="shared" si="4"/>
        <v>6</v>
      </c>
    </row>
    <row r="12" spans="1:11" x14ac:dyDescent="0.3">
      <c r="A12" s="3">
        <v>11</v>
      </c>
      <c r="B12" s="4">
        <v>40544</v>
      </c>
      <c r="C12" s="3">
        <v>10</v>
      </c>
      <c r="D12" s="3">
        <v>6</v>
      </c>
      <c r="E12" s="3">
        <v>0.38</v>
      </c>
      <c r="F12" t="str">
        <f t="shared" si="5"/>
        <v>Sat</v>
      </c>
      <c r="G12">
        <f t="shared" si="0"/>
        <v>0.39389999999999997</v>
      </c>
      <c r="H12">
        <f t="shared" si="1"/>
        <v>0.76</v>
      </c>
      <c r="I12">
        <f t="shared" si="2"/>
        <v>0.25369999999999998</v>
      </c>
      <c r="J12">
        <f t="shared" si="3"/>
        <v>12</v>
      </c>
      <c r="K12">
        <f t="shared" si="4"/>
        <v>24</v>
      </c>
    </row>
    <row r="13" spans="1:11" x14ac:dyDescent="0.3">
      <c r="A13" s="3">
        <v>12</v>
      </c>
      <c r="B13" s="4">
        <v>40544</v>
      </c>
      <c r="C13" s="3">
        <v>11</v>
      </c>
      <c r="D13" s="3">
        <v>6</v>
      </c>
      <c r="E13" s="3">
        <v>0.36</v>
      </c>
      <c r="F13" t="str">
        <f t="shared" si="5"/>
        <v>Sat</v>
      </c>
      <c r="G13">
        <f t="shared" si="0"/>
        <v>0.33329999999999999</v>
      </c>
      <c r="H13">
        <f t="shared" si="1"/>
        <v>0.81</v>
      </c>
      <c r="I13">
        <f t="shared" si="2"/>
        <v>0.28360000000000002</v>
      </c>
      <c r="J13">
        <f t="shared" si="3"/>
        <v>26</v>
      </c>
      <c r="K13">
        <f t="shared" si="4"/>
        <v>30</v>
      </c>
    </row>
    <row r="14" spans="1:11" x14ac:dyDescent="0.3">
      <c r="A14" s="3">
        <v>13</v>
      </c>
      <c r="B14" s="4">
        <v>40544</v>
      </c>
      <c r="C14" s="3">
        <v>12</v>
      </c>
      <c r="D14" s="3">
        <v>6</v>
      </c>
      <c r="E14" s="3">
        <v>0.42</v>
      </c>
      <c r="F14" t="str">
        <f t="shared" si="5"/>
        <v>Sat</v>
      </c>
      <c r="G14">
        <f t="shared" si="0"/>
        <v>0.42420000000000002</v>
      </c>
      <c r="H14">
        <f t="shared" si="1"/>
        <v>0.77</v>
      </c>
      <c r="I14">
        <f t="shared" si="2"/>
        <v>0.28360000000000002</v>
      </c>
      <c r="J14">
        <f t="shared" si="3"/>
        <v>29</v>
      </c>
      <c r="K14">
        <f t="shared" si="4"/>
        <v>55</v>
      </c>
    </row>
    <row r="15" spans="1:11" x14ac:dyDescent="0.3">
      <c r="A15" s="3">
        <v>14</v>
      </c>
      <c r="B15" s="4">
        <v>40544</v>
      </c>
      <c r="C15" s="3">
        <v>13</v>
      </c>
      <c r="D15" s="3">
        <v>6</v>
      </c>
      <c r="E15" s="3">
        <v>0.46</v>
      </c>
      <c r="F15" t="str">
        <f t="shared" si="5"/>
        <v>Sat</v>
      </c>
      <c r="G15">
        <f t="shared" si="0"/>
        <v>0.45450000000000002</v>
      </c>
      <c r="H15">
        <f t="shared" si="1"/>
        <v>0.72</v>
      </c>
      <c r="I15">
        <f t="shared" si="2"/>
        <v>0.29849999999999999</v>
      </c>
      <c r="J15">
        <f t="shared" si="3"/>
        <v>47</v>
      </c>
      <c r="K15">
        <f t="shared" si="4"/>
        <v>47</v>
      </c>
    </row>
    <row r="16" spans="1:11" x14ac:dyDescent="0.3">
      <c r="A16" s="3">
        <v>15</v>
      </c>
      <c r="B16" s="4">
        <v>40544</v>
      </c>
      <c r="C16" s="3">
        <v>14</v>
      </c>
      <c r="D16" s="3">
        <v>6</v>
      </c>
      <c r="E16" s="3">
        <v>0.46</v>
      </c>
      <c r="F16" t="str">
        <f t="shared" si="5"/>
        <v>Sat</v>
      </c>
      <c r="G16">
        <f t="shared" si="0"/>
        <v>0.45450000000000002</v>
      </c>
      <c r="H16">
        <f t="shared" si="1"/>
        <v>0.72</v>
      </c>
      <c r="I16">
        <f t="shared" si="2"/>
        <v>0.28360000000000002</v>
      </c>
      <c r="J16">
        <f t="shared" si="3"/>
        <v>35</v>
      </c>
      <c r="K16">
        <f t="shared" si="4"/>
        <v>71</v>
      </c>
    </row>
    <row r="17" spans="1:11" x14ac:dyDescent="0.3">
      <c r="A17" s="3">
        <v>16</v>
      </c>
      <c r="B17" s="4">
        <v>40544</v>
      </c>
      <c r="C17" s="3">
        <v>15</v>
      </c>
      <c r="D17" s="3">
        <v>6</v>
      </c>
      <c r="E17" s="3">
        <v>0.44</v>
      </c>
      <c r="F17" t="str">
        <f t="shared" si="5"/>
        <v>Sat</v>
      </c>
      <c r="G17">
        <f t="shared" si="0"/>
        <v>0.43940000000000001</v>
      </c>
      <c r="H17">
        <f t="shared" si="1"/>
        <v>0.77</v>
      </c>
      <c r="I17">
        <f t="shared" si="2"/>
        <v>0.29849999999999999</v>
      </c>
      <c r="J17">
        <f t="shared" si="3"/>
        <v>40</v>
      </c>
      <c r="K17">
        <f t="shared" si="4"/>
        <v>70</v>
      </c>
    </row>
    <row r="18" spans="1:11" x14ac:dyDescent="0.3">
      <c r="A18" s="3">
        <v>17</v>
      </c>
      <c r="B18" s="4">
        <v>40544</v>
      </c>
      <c r="C18" s="3">
        <v>16</v>
      </c>
      <c r="D18" s="3">
        <v>6</v>
      </c>
      <c r="E18" s="3">
        <v>0.42</v>
      </c>
      <c r="F18" t="str">
        <f t="shared" si="5"/>
        <v>Sat</v>
      </c>
      <c r="G18">
        <f t="shared" si="0"/>
        <v>0.42420000000000002</v>
      </c>
      <c r="H18">
        <f t="shared" si="1"/>
        <v>0.82</v>
      </c>
      <c r="I18">
        <f t="shared" si="2"/>
        <v>0.29849999999999999</v>
      </c>
      <c r="J18">
        <f t="shared" si="3"/>
        <v>41</v>
      </c>
      <c r="K18">
        <f t="shared" si="4"/>
        <v>52</v>
      </c>
    </row>
    <row r="19" spans="1:11" x14ac:dyDescent="0.3">
      <c r="A19" s="3">
        <v>18</v>
      </c>
      <c r="B19" s="4">
        <v>40544</v>
      </c>
      <c r="C19" s="3">
        <v>17</v>
      </c>
      <c r="D19" s="3">
        <v>6</v>
      </c>
      <c r="E19" s="3">
        <v>0.44</v>
      </c>
      <c r="F19" t="str">
        <f t="shared" si="5"/>
        <v>Sat</v>
      </c>
      <c r="G19" t="str">
        <f t="shared" si="0"/>
        <v xml:space="preserve">N/d </v>
      </c>
      <c r="H19">
        <f t="shared" si="1"/>
        <v>0.82</v>
      </c>
      <c r="I19">
        <f t="shared" si="2"/>
        <v>0.28360000000000002</v>
      </c>
      <c r="J19">
        <f t="shared" si="3"/>
        <v>15</v>
      </c>
      <c r="K19">
        <f t="shared" si="4"/>
        <v>52</v>
      </c>
    </row>
    <row r="20" spans="1:11" x14ac:dyDescent="0.3">
      <c r="A20" s="3">
        <v>19</v>
      </c>
      <c r="B20" s="4">
        <v>40544</v>
      </c>
      <c r="C20" s="3">
        <v>18</v>
      </c>
      <c r="D20" s="3">
        <v>6</v>
      </c>
      <c r="E20" s="3">
        <v>0.42</v>
      </c>
      <c r="F20" t="str">
        <f t="shared" si="5"/>
        <v>Sat</v>
      </c>
      <c r="G20">
        <f t="shared" si="0"/>
        <v>0.42420000000000002</v>
      </c>
      <c r="H20">
        <f t="shared" si="1"/>
        <v>0.88</v>
      </c>
      <c r="I20">
        <f t="shared" si="2"/>
        <v>0.25369999999999998</v>
      </c>
      <c r="J20">
        <f t="shared" si="3"/>
        <v>9</v>
      </c>
      <c r="K20">
        <f t="shared" si="4"/>
        <v>26</v>
      </c>
    </row>
    <row r="21" spans="1:11" x14ac:dyDescent="0.3">
      <c r="A21" s="3">
        <v>20</v>
      </c>
      <c r="B21" s="4">
        <v>40544</v>
      </c>
      <c r="C21" s="3">
        <v>19</v>
      </c>
      <c r="D21" s="3">
        <v>6</v>
      </c>
      <c r="E21" s="3">
        <v>0.42</v>
      </c>
      <c r="F21" t="str">
        <f t="shared" si="5"/>
        <v>Sat</v>
      </c>
      <c r="G21">
        <f t="shared" si="0"/>
        <v>0.42420000000000002</v>
      </c>
      <c r="H21">
        <f t="shared" si="1"/>
        <v>0.88</v>
      </c>
      <c r="I21">
        <f t="shared" si="2"/>
        <v>0.25369999999999998</v>
      </c>
      <c r="J21">
        <f t="shared" si="3"/>
        <v>6</v>
      </c>
      <c r="K21">
        <f t="shared" si="4"/>
        <v>31</v>
      </c>
    </row>
    <row r="22" spans="1:11" x14ac:dyDescent="0.3">
      <c r="A22" s="3">
        <v>21</v>
      </c>
      <c r="B22" s="4">
        <v>40544</v>
      </c>
      <c r="C22" s="3">
        <v>20</v>
      </c>
      <c r="D22" s="3">
        <v>6</v>
      </c>
      <c r="E22" s="3">
        <v>0.4</v>
      </c>
      <c r="F22" t="str">
        <f t="shared" si="5"/>
        <v>Sat</v>
      </c>
      <c r="G22">
        <f t="shared" si="0"/>
        <v>0.40910000000000002</v>
      </c>
      <c r="H22">
        <f t="shared" si="1"/>
        <v>0.87</v>
      </c>
      <c r="I22">
        <f t="shared" si="2"/>
        <v>0.25369999999999998</v>
      </c>
      <c r="J22">
        <f t="shared" si="3"/>
        <v>11</v>
      </c>
      <c r="K22">
        <f t="shared" si="4"/>
        <v>25</v>
      </c>
    </row>
    <row r="23" spans="1:11" x14ac:dyDescent="0.3">
      <c r="A23" s="3">
        <v>22</v>
      </c>
      <c r="B23" s="4">
        <v>40544</v>
      </c>
      <c r="C23" s="3">
        <v>21</v>
      </c>
      <c r="D23" s="3">
        <v>6</v>
      </c>
      <c r="E23" s="3">
        <v>0.4</v>
      </c>
      <c r="F23" t="str">
        <f t="shared" si="5"/>
        <v>Sat</v>
      </c>
      <c r="G23">
        <f t="shared" si="0"/>
        <v>0.40910000000000002</v>
      </c>
      <c r="H23">
        <f t="shared" si="1"/>
        <v>0.87</v>
      </c>
      <c r="I23">
        <f t="shared" si="2"/>
        <v>0.19400000000000001</v>
      </c>
      <c r="J23">
        <f t="shared" si="3"/>
        <v>3</v>
      </c>
      <c r="K23">
        <f t="shared" si="4"/>
        <v>31</v>
      </c>
    </row>
    <row r="24" spans="1:11" x14ac:dyDescent="0.3">
      <c r="A24" s="3">
        <v>23</v>
      </c>
      <c r="B24" s="4">
        <v>40544</v>
      </c>
      <c r="C24" s="3">
        <v>22</v>
      </c>
      <c r="D24" s="3">
        <v>6</v>
      </c>
      <c r="E24" s="3">
        <v>0.4</v>
      </c>
      <c r="F24" t="str">
        <f t="shared" si="5"/>
        <v>Sat</v>
      </c>
      <c r="G24">
        <f t="shared" si="0"/>
        <v>0.40910000000000002</v>
      </c>
      <c r="H24">
        <f t="shared" si="1"/>
        <v>0.94</v>
      </c>
      <c r="I24">
        <f t="shared" si="2"/>
        <v>0.22389999999999999</v>
      </c>
      <c r="J24">
        <f t="shared" si="3"/>
        <v>11</v>
      </c>
      <c r="K24">
        <f t="shared" si="4"/>
        <v>17</v>
      </c>
    </row>
    <row r="25" spans="1:11" x14ac:dyDescent="0.3">
      <c r="A25" s="3">
        <v>24</v>
      </c>
      <c r="B25" s="4">
        <v>40544</v>
      </c>
      <c r="C25" s="3">
        <v>23</v>
      </c>
      <c r="D25" s="3">
        <v>6</v>
      </c>
      <c r="E25" s="3">
        <v>0.46</v>
      </c>
      <c r="F25" t="str">
        <f t="shared" si="5"/>
        <v>Sat</v>
      </c>
      <c r="G25" t="str">
        <f t="shared" si="0"/>
        <v xml:space="preserve">N/d </v>
      </c>
      <c r="H25">
        <f t="shared" si="1"/>
        <v>0.88</v>
      </c>
      <c r="I25">
        <f t="shared" si="2"/>
        <v>0.29849999999999999</v>
      </c>
      <c r="J25">
        <f t="shared" si="3"/>
        <v>15</v>
      </c>
      <c r="K25">
        <f t="shared" si="4"/>
        <v>24</v>
      </c>
    </row>
    <row r="26" spans="1:11" x14ac:dyDescent="0.3">
      <c r="A26" s="3">
        <v>25</v>
      </c>
      <c r="B26" s="4">
        <v>40545</v>
      </c>
      <c r="C26" s="3">
        <v>0</v>
      </c>
      <c r="D26" s="3">
        <v>0</v>
      </c>
      <c r="E26" s="3">
        <v>0.46</v>
      </c>
      <c r="F26" t="str">
        <f t="shared" si="5"/>
        <v>Sun</v>
      </c>
      <c r="G26">
        <f t="shared" si="0"/>
        <v>0.45450000000000002</v>
      </c>
      <c r="H26">
        <f t="shared" si="1"/>
        <v>0.88</v>
      </c>
      <c r="I26">
        <f t="shared" si="2"/>
        <v>0.29849999999999999</v>
      </c>
      <c r="J26">
        <f t="shared" si="3"/>
        <v>4</v>
      </c>
      <c r="K26">
        <f t="shared" si="4"/>
        <v>13</v>
      </c>
    </row>
    <row r="27" spans="1:11" x14ac:dyDescent="0.3">
      <c r="A27" s="3">
        <v>26</v>
      </c>
      <c r="B27" s="4">
        <v>40545</v>
      </c>
      <c r="C27" s="3">
        <v>1</v>
      </c>
      <c r="D27" s="3">
        <v>0</v>
      </c>
      <c r="E27" s="3">
        <v>0.44</v>
      </c>
      <c r="F27" t="str">
        <f t="shared" si="5"/>
        <v>Sun</v>
      </c>
      <c r="G27">
        <f t="shared" si="0"/>
        <v>0.43940000000000001</v>
      </c>
      <c r="H27">
        <f t="shared" si="1"/>
        <v>0.94</v>
      </c>
      <c r="I27">
        <f t="shared" si="2"/>
        <v>0.25369999999999998</v>
      </c>
      <c r="J27">
        <f t="shared" si="3"/>
        <v>1</v>
      </c>
      <c r="K27">
        <f t="shared" si="4"/>
        <v>16</v>
      </c>
    </row>
    <row r="28" spans="1:11" x14ac:dyDescent="0.3">
      <c r="A28" s="3">
        <v>27</v>
      </c>
      <c r="B28" s="4">
        <v>40545</v>
      </c>
      <c r="C28" s="3">
        <v>2</v>
      </c>
      <c r="D28" s="3">
        <v>0</v>
      </c>
      <c r="E28" s="3">
        <v>0.42</v>
      </c>
      <c r="F28" t="str">
        <f t="shared" si="5"/>
        <v>Sun</v>
      </c>
      <c r="G28">
        <f t="shared" si="0"/>
        <v>0.42420000000000002</v>
      </c>
      <c r="H28">
        <f t="shared" si="1"/>
        <v>1</v>
      </c>
      <c r="I28">
        <f t="shared" si="2"/>
        <v>0.28360000000000002</v>
      </c>
      <c r="J28">
        <f t="shared" si="3"/>
        <v>1</v>
      </c>
      <c r="K28">
        <f t="shared" si="4"/>
        <v>8</v>
      </c>
    </row>
    <row r="29" spans="1:11" x14ac:dyDescent="0.3">
      <c r="A29" s="3">
        <v>28</v>
      </c>
      <c r="B29" s="4">
        <v>40545</v>
      </c>
      <c r="C29" s="3">
        <v>3</v>
      </c>
      <c r="D29" s="3">
        <v>0</v>
      </c>
      <c r="E29" s="3">
        <v>0.46</v>
      </c>
      <c r="F29" t="str">
        <f t="shared" si="5"/>
        <v>Sun</v>
      </c>
      <c r="G29">
        <f t="shared" si="0"/>
        <v>0.45450000000000002</v>
      </c>
      <c r="H29">
        <f t="shared" si="1"/>
        <v>0.94</v>
      </c>
      <c r="I29">
        <f t="shared" si="2"/>
        <v>0.19400000000000001</v>
      </c>
      <c r="J29">
        <f t="shared" si="3"/>
        <v>2</v>
      </c>
      <c r="K29">
        <f t="shared" si="4"/>
        <v>4</v>
      </c>
    </row>
    <row r="30" spans="1:11" x14ac:dyDescent="0.3">
      <c r="A30" s="3">
        <v>29</v>
      </c>
      <c r="B30" s="4">
        <v>40545</v>
      </c>
      <c r="C30" s="3">
        <v>4</v>
      </c>
      <c r="D30" s="3">
        <v>0</v>
      </c>
      <c r="E30" s="3">
        <v>0.46</v>
      </c>
      <c r="F30" t="str">
        <f t="shared" si="5"/>
        <v>Sun</v>
      </c>
      <c r="G30" t="str">
        <f t="shared" si="0"/>
        <v xml:space="preserve">N/d </v>
      </c>
      <c r="H30">
        <f t="shared" si="1"/>
        <v>0.94</v>
      </c>
      <c r="I30">
        <f t="shared" si="2"/>
        <v>0.19400000000000001</v>
      </c>
      <c r="J30">
        <f t="shared" si="3"/>
        <v>2</v>
      </c>
      <c r="K30">
        <f t="shared" si="4"/>
        <v>1</v>
      </c>
    </row>
    <row r="31" spans="1:11" x14ac:dyDescent="0.3">
      <c r="A31" s="3">
        <v>30</v>
      </c>
      <c r="B31" s="4">
        <v>40545</v>
      </c>
      <c r="C31" s="3">
        <v>6</v>
      </c>
      <c r="D31" s="3">
        <v>0</v>
      </c>
      <c r="E31" s="3">
        <v>0.42</v>
      </c>
      <c r="F31" t="str">
        <f t="shared" si="5"/>
        <v>Sun</v>
      </c>
      <c r="G31">
        <f t="shared" si="0"/>
        <v>0.42420000000000002</v>
      </c>
      <c r="H31">
        <f t="shared" si="1"/>
        <v>0.77</v>
      </c>
      <c r="I31">
        <f t="shared" si="2"/>
        <v>0.29849999999999999</v>
      </c>
      <c r="J31">
        <f t="shared" si="3"/>
        <v>0</v>
      </c>
      <c r="K31">
        <f t="shared" si="4"/>
        <v>2</v>
      </c>
    </row>
    <row r="32" spans="1:11" x14ac:dyDescent="0.3">
      <c r="A32" s="3">
        <v>31</v>
      </c>
      <c r="B32" s="4">
        <v>40545</v>
      </c>
      <c r="C32" s="3">
        <v>7</v>
      </c>
      <c r="D32" s="3">
        <v>0</v>
      </c>
      <c r="E32" s="3">
        <v>0.4</v>
      </c>
      <c r="F32" t="str">
        <f t="shared" si="5"/>
        <v>Sun</v>
      </c>
      <c r="G32">
        <f t="shared" si="0"/>
        <v>0.40910000000000002</v>
      </c>
      <c r="H32">
        <f t="shared" si="1"/>
        <v>0.76</v>
      </c>
      <c r="I32">
        <f t="shared" si="2"/>
        <v>0.19400000000000001</v>
      </c>
      <c r="J32">
        <f t="shared" si="3"/>
        <v>0</v>
      </c>
      <c r="K32">
        <f t="shared" si="4"/>
        <v>1</v>
      </c>
    </row>
    <row r="33" spans="1:11" x14ac:dyDescent="0.3">
      <c r="A33" s="3">
        <v>32</v>
      </c>
      <c r="B33" s="4">
        <v>40545</v>
      </c>
      <c r="C33" s="3">
        <v>8</v>
      </c>
      <c r="D33" s="3">
        <v>0</v>
      </c>
      <c r="E33" s="3">
        <v>0.4</v>
      </c>
      <c r="F33" t="str">
        <f t="shared" si="5"/>
        <v>Sun</v>
      </c>
      <c r="G33">
        <f t="shared" si="0"/>
        <v>0.40910000000000002</v>
      </c>
      <c r="H33">
        <f t="shared" si="1"/>
        <v>0.71</v>
      </c>
      <c r="I33">
        <f t="shared" si="2"/>
        <v>0.22389999999999999</v>
      </c>
      <c r="J33">
        <f t="shared" si="3"/>
        <v>0</v>
      </c>
      <c r="K33">
        <f t="shared" si="4"/>
        <v>8</v>
      </c>
    </row>
    <row r="34" spans="1:11" x14ac:dyDescent="0.3">
      <c r="A34" s="3">
        <v>33</v>
      </c>
      <c r="B34" s="4">
        <v>40545</v>
      </c>
      <c r="C34" s="3">
        <v>9</v>
      </c>
      <c r="D34" s="3">
        <v>0</v>
      </c>
      <c r="E34" s="3">
        <v>0.38</v>
      </c>
      <c r="F34" t="str">
        <f t="shared" si="5"/>
        <v>Sun</v>
      </c>
      <c r="G34" t="str">
        <f t="shared" si="0"/>
        <v xml:space="preserve">N/d </v>
      </c>
      <c r="H34">
        <f t="shared" si="1"/>
        <v>0.76</v>
      </c>
      <c r="I34">
        <f t="shared" si="2"/>
        <v>0.22389999999999999</v>
      </c>
      <c r="J34">
        <f t="shared" si="3"/>
        <v>1</v>
      </c>
      <c r="K34">
        <f t="shared" si="4"/>
        <v>19</v>
      </c>
    </row>
    <row r="35" spans="1:11" x14ac:dyDescent="0.3">
      <c r="A35" s="3">
        <v>34</v>
      </c>
      <c r="B35" s="4">
        <v>40545</v>
      </c>
      <c r="C35" s="3">
        <v>10</v>
      </c>
      <c r="D35" s="3">
        <v>0</v>
      </c>
      <c r="E35" s="3">
        <v>0.36</v>
      </c>
      <c r="F35" t="str">
        <f t="shared" si="5"/>
        <v>Sun</v>
      </c>
      <c r="G35">
        <f t="shared" si="0"/>
        <v>0.34849999999999998</v>
      </c>
      <c r="H35">
        <f t="shared" si="1"/>
        <v>0.81</v>
      </c>
      <c r="I35">
        <f t="shared" si="2"/>
        <v>0.22389999999999999</v>
      </c>
      <c r="J35">
        <f t="shared" si="3"/>
        <v>7</v>
      </c>
      <c r="K35">
        <f t="shared" si="4"/>
        <v>46</v>
      </c>
    </row>
    <row r="36" spans="1:11" x14ac:dyDescent="0.3">
      <c r="A36" s="3">
        <v>35</v>
      </c>
      <c r="B36" s="4">
        <v>40545</v>
      </c>
      <c r="C36" s="3">
        <v>11</v>
      </c>
      <c r="D36" s="3">
        <v>0</v>
      </c>
      <c r="E36" s="3">
        <v>0.36</v>
      </c>
      <c r="F36" t="str">
        <f t="shared" si="5"/>
        <v>Sun</v>
      </c>
      <c r="G36">
        <f t="shared" si="0"/>
        <v>0.33329999999999999</v>
      </c>
      <c r="H36">
        <f t="shared" si="1"/>
        <v>0.71</v>
      </c>
      <c r="I36">
        <f t="shared" si="2"/>
        <v>0.25369999999999998</v>
      </c>
      <c r="J36">
        <f t="shared" si="3"/>
        <v>16</v>
      </c>
      <c r="K36">
        <f t="shared" si="4"/>
        <v>54</v>
      </c>
    </row>
    <row r="37" spans="1:11" x14ac:dyDescent="0.3">
      <c r="A37" s="3">
        <v>36</v>
      </c>
      <c r="B37" s="4">
        <v>40545</v>
      </c>
      <c r="C37" s="3">
        <v>12</v>
      </c>
      <c r="D37" s="3">
        <v>0</v>
      </c>
      <c r="E37" s="3">
        <v>0.36</v>
      </c>
      <c r="F37" t="str">
        <f t="shared" si="5"/>
        <v>Sun</v>
      </c>
      <c r="G37">
        <f t="shared" si="0"/>
        <v>0.33329999999999999</v>
      </c>
      <c r="H37">
        <f t="shared" si="1"/>
        <v>0.66</v>
      </c>
      <c r="I37">
        <f t="shared" si="2"/>
        <v>0.29849999999999999</v>
      </c>
      <c r="J37">
        <f t="shared" si="3"/>
        <v>20</v>
      </c>
      <c r="K37">
        <f t="shared" si="4"/>
        <v>73</v>
      </c>
    </row>
    <row r="38" spans="1:11" x14ac:dyDescent="0.3">
      <c r="A38" s="3">
        <v>37</v>
      </c>
      <c r="B38" s="4">
        <v>40545</v>
      </c>
      <c r="C38" s="3">
        <v>13</v>
      </c>
      <c r="D38" s="3">
        <v>0</v>
      </c>
      <c r="E38" s="3">
        <v>0.36</v>
      </c>
      <c r="F38" t="str">
        <f t="shared" si="5"/>
        <v>Sun</v>
      </c>
      <c r="G38">
        <f t="shared" si="0"/>
        <v>0.34849999999999998</v>
      </c>
      <c r="H38">
        <f t="shared" si="1"/>
        <v>0.66</v>
      </c>
      <c r="I38">
        <f t="shared" si="2"/>
        <v>0.1343</v>
      </c>
      <c r="J38">
        <f t="shared" si="3"/>
        <v>11</v>
      </c>
      <c r="K38">
        <f t="shared" si="4"/>
        <v>64</v>
      </c>
    </row>
    <row r="39" spans="1:11" x14ac:dyDescent="0.3">
      <c r="A39" s="3">
        <v>38</v>
      </c>
      <c r="B39" s="4">
        <v>40545</v>
      </c>
      <c r="C39" s="3">
        <v>14</v>
      </c>
      <c r="D39" s="3">
        <v>0</v>
      </c>
      <c r="E39" s="3">
        <v>0.36</v>
      </c>
      <c r="F39" t="str">
        <f t="shared" si="5"/>
        <v>Sun</v>
      </c>
      <c r="G39" t="str">
        <f t="shared" si="0"/>
        <v xml:space="preserve">N/d </v>
      </c>
      <c r="H39">
        <f t="shared" si="1"/>
        <v>0.76</v>
      </c>
      <c r="I39">
        <f t="shared" si="2"/>
        <v>0.19400000000000001</v>
      </c>
      <c r="J39">
        <f t="shared" si="3"/>
        <v>4</v>
      </c>
      <c r="K39">
        <f t="shared" si="4"/>
        <v>55</v>
      </c>
    </row>
    <row r="40" spans="1:11" x14ac:dyDescent="0.3">
      <c r="A40" s="3">
        <v>39</v>
      </c>
      <c r="B40" s="4">
        <v>40545</v>
      </c>
      <c r="C40" s="3">
        <v>15</v>
      </c>
      <c r="D40" s="3">
        <v>0</v>
      </c>
      <c r="E40" s="3">
        <v>0.34</v>
      </c>
      <c r="F40" t="str">
        <f t="shared" si="5"/>
        <v>Sun</v>
      </c>
      <c r="G40">
        <f t="shared" si="0"/>
        <v>0.33329999999999999</v>
      </c>
      <c r="H40">
        <f t="shared" si="1"/>
        <v>0.81</v>
      </c>
      <c r="I40">
        <f t="shared" si="2"/>
        <v>0.16420000000000001</v>
      </c>
      <c r="J40">
        <f t="shared" si="3"/>
        <v>19</v>
      </c>
      <c r="K40">
        <f t="shared" si="4"/>
        <v>55</v>
      </c>
    </row>
    <row r="41" spans="1:11" x14ac:dyDescent="0.3">
      <c r="A41" s="3">
        <v>40</v>
      </c>
      <c r="B41" s="4">
        <v>40545</v>
      </c>
      <c r="C41" s="3">
        <v>16</v>
      </c>
      <c r="D41" s="3">
        <v>0</v>
      </c>
      <c r="E41" s="3">
        <v>0.34</v>
      </c>
      <c r="F41" t="str">
        <f t="shared" si="5"/>
        <v>Sun</v>
      </c>
      <c r="G41">
        <f t="shared" si="0"/>
        <v>0.33329999999999999</v>
      </c>
      <c r="H41">
        <f t="shared" si="1"/>
        <v>0.71</v>
      </c>
      <c r="I41">
        <f t="shared" si="2"/>
        <v>0.16420000000000001</v>
      </c>
      <c r="J41">
        <f t="shared" si="3"/>
        <v>9</v>
      </c>
      <c r="K41">
        <f t="shared" si="4"/>
        <v>67</v>
      </c>
    </row>
    <row r="42" spans="1:11" x14ac:dyDescent="0.3">
      <c r="A42" s="3">
        <v>41</v>
      </c>
      <c r="B42" s="4">
        <v>40545</v>
      </c>
      <c r="C42" s="3">
        <v>17</v>
      </c>
      <c r="D42" s="3">
        <v>0</v>
      </c>
      <c r="E42" s="3">
        <v>0.34</v>
      </c>
      <c r="F42" t="str">
        <f t="shared" si="5"/>
        <v>Sun</v>
      </c>
      <c r="G42">
        <f t="shared" si="0"/>
        <v>0.33329999999999999</v>
      </c>
      <c r="H42">
        <f t="shared" si="1"/>
        <v>0.56999999999999995</v>
      </c>
      <c r="I42">
        <f t="shared" si="2"/>
        <v>0.19400000000000001</v>
      </c>
      <c r="J42">
        <f t="shared" si="3"/>
        <v>7</v>
      </c>
      <c r="K42">
        <f t="shared" si="4"/>
        <v>58</v>
      </c>
    </row>
    <row r="43" spans="1:11" x14ac:dyDescent="0.3">
      <c r="A43" s="3">
        <v>42</v>
      </c>
      <c r="B43" s="4">
        <v>40545</v>
      </c>
      <c r="C43" s="3">
        <v>18</v>
      </c>
      <c r="D43" s="3">
        <v>0</v>
      </c>
      <c r="E43" s="3">
        <v>0.36</v>
      </c>
      <c r="F43" t="str">
        <f t="shared" si="5"/>
        <v>Sun</v>
      </c>
      <c r="G43">
        <f t="shared" si="0"/>
        <v>0.33329999999999999</v>
      </c>
      <c r="H43">
        <f t="shared" si="1"/>
        <v>0.46</v>
      </c>
      <c r="I43">
        <f t="shared" si="2"/>
        <v>0.32840000000000003</v>
      </c>
      <c r="J43">
        <f t="shared" si="3"/>
        <v>10</v>
      </c>
      <c r="K43">
        <f t="shared" si="4"/>
        <v>43</v>
      </c>
    </row>
    <row r="44" spans="1:11" x14ac:dyDescent="0.3">
      <c r="A44" s="3">
        <v>43</v>
      </c>
      <c r="B44" s="4">
        <v>40545</v>
      </c>
      <c r="C44" s="3">
        <v>19</v>
      </c>
      <c r="D44" s="3">
        <v>0</v>
      </c>
      <c r="E44" s="3">
        <v>0.32</v>
      </c>
      <c r="F44" t="str">
        <f t="shared" si="5"/>
        <v>Sun</v>
      </c>
      <c r="G44">
        <f t="shared" si="0"/>
        <v>0.28789999999999999</v>
      </c>
      <c r="H44">
        <f t="shared" si="1"/>
        <v>0.42</v>
      </c>
      <c r="I44">
        <f t="shared" si="2"/>
        <v>0.44779999999999998</v>
      </c>
      <c r="J44">
        <f t="shared" si="3"/>
        <v>1</v>
      </c>
      <c r="K44">
        <f t="shared" si="4"/>
        <v>29</v>
      </c>
    </row>
    <row r="45" spans="1:11" x14ac:dyDescent="0.3">
      <c r="A45" s="3">
        <v>44</v>
      </c>
      <c r="B45" s="4">
        <v>40545</v>
      </c>
      <c r="C45" s="3">
        <v>20</v>
      </c>
      <c r="D45" s="3">
        <v>0</v>
      </c>
      <c r="E45" s="3">
        <v>0.3</v>
      </c>
      <c r="F45" t="str">
        <f t="shared" si="5"/>
        <v>Sun</v>
      </c>
      <c r="G45" t="str">
        <f t="shared" si="0"/>
        <v xml:space="preserve">N/d </v>
      </c>
      <c r="H45">
        <f t="shared" si="1"/>
        <v>0.39</v>
      </c>
      <c r="I45">
        <f t="shared" si="2"/>
        <v>0.35820000000000002</v>
      </c>
      <c r="J45">
        <f t="shared" si="3"/>
        <v>5</v>
      </c>
      <c r="K45">
        <f t="shared" si="4"/>
        <v>17</v>
      </c>
    </row>
    <row r="46" spans="1:11" x14ac:dyDescent="0.3">
      <c r="A46" s="3">
        <v>45</v>
      </c>
      <c r="B46" s="4">
        <v>40545</v>
      </c>
      <c r="C46" s="3">
        <v>21</v>
      </c>
      <c r="D46" s="3">
        <v>0</v>
      </c>
      <c r="E46" s="3">
        <v>0.26</v>
      </c>
      <c r="F46" t="str">
        <f t="shared" si="5"/>
        <v>Sun</v>
      </c>
      <c r="G46">
        <f t="shared" si="0"/>
        <v>0.2273</v>
      </c>
      <c r="H46">
        <f t="shared" si="1"/>
        <v>0.44</v>
      </c>
      <c r="I46">
        <f t="shared" si="2"/>
        <v>0.32840000000000003</v>
      </c>
      <c r="J46">
        <f t="shared" si="3"/>
        <v>11</v>
      </c>
      <c r="K46">
        <f t="shared" si="4"/>
        <v>20</v>
      </c>
    </row>
    <row r="47" spans="1:11" x14ac:dyDescent="0.3">
      <c r="A47" s="3">
        <v>46</v>
      </c>
      <c r="B47" s="4">
        <v>40545</v>
      </c>
      <c r="C47" s="3">
        <v>22</v>
      </c>
      <c r="D47" s="3">
        <v>0</v>
      </c>
      <c r="E47" s="3">
        <v>0.24</v>
      </c>
      <c r="F47" t="str">
        <f t="shared" si="5"/>
        <v>Sun</v>
      </c>
      <c r="G47">
        <f t="shared" si="0"/>
        <v>0.21210000000000001</v>
      </c>
      <c r="H47">
        <f t="shared" si="1"/>
        <v>0.44</v>
      </c>
      <c r="I47">
        <f t="shared" si="2"/>
        <v>0.29849999999999999</v>
      </c>
      <c r="J47">
        <f t="shared" si="3"/>
        <v>0</v>
      </c>
      <c r="K47">
        <f t="shared" si="4"/>
        <v>9</v>
      </c>
    </row>
    <row r="48" spans="1:11" x14ac:dyDescent="0.3">
      <c r="A48" s="3">
        <v>47</v>
      </c>
      <c r="B48" s="4">
        <v>40545</v>
      </c>
      <c r="C48" s="3">
        <v>23</v>
      </c>
      <c r="D48" s="3">
        <v>0</v>
      </c>
      <c r="E48" s="3">
        <v>0.22</v>
      </c>
      <c r="F48" t="str">
        <f t="shared" si="5"/>
        <v>Sun</v>
      </c>
      <c r="G48">
        <f t="shared" si="0"/>
        <v>0.2273</v>
      </c>
      <c r="H48">
        <f t="shared" si="1"/>
        <v>0.47</v>
      </c>
      <c r="I48">
        <f t="shared" si="2"/>
        <v>0.16420000000000001</v>
      </c>
      <c r="J48">
        <f t="shared" si="3"/>
        <v>0</v>
      </c>
      <c r="K48">
        <f t="shared" si="4"/>
        <v>8</v>
      </c>
    </row>
    <row r="49" spans="1:11" x14ac:dyDescent="0.3">
      <c r="A49" s="3">
        <v>48</v>
      </c>
      <c r="B49" s="4">
        <v>40546</v>
      </c>
      <c r="C49" s="3">
        <v>0</v>
      </c>
      <c r="D49" s="3">
        <v>1</v>
      </c>
      <c r="E49" s="3">
        <v>0.22</v>
      </c>
      <c r="F49" t="str">
        <f t="shared" si="5"/>
        <v>Mon</v>
      </c>
      <c r="G49">
        <f t="shared" si="0"/>
        <v>0.19700000000000001</v>
      </c>
      <c r="H49">
        <f t="shared" si="1"/>
        <v>0.44</v>
      </c>
      <c r="I49">
        <f t="shared" si="2"/>
        <v>0.35820000000000002</v>
      </c>
      <c r="J49">
        <f t="shared" si="3"/>
        <v>0</v>
      </c>
      <c r="K49">
        <f t="shared" si="4"/>
        <v>5</v>
      </c>
    </row>
    <row r="50" spans="1:11" x14ac:dyDescent="0.3">
      <c r="A50" s="3">
        <v>49</v>
      </c>
      <c r="B50" s="4">
        <v>40546</v>
      </c>
      <c r="C50" s="3">
        <v>1</v>
      </c>
      <c r="D50" s="3">
        <v>1</v>
      </c>
      <c r="E50" s="3">
        <v>0.2</v>
      </c>
      <c r="F50" t="str">
        <f t="shared" si="5"/>
        <v>Mon</v>
      </c>
      <c r="G50" t="str">
        <f t="shared" si="0"/>
        <v xml:space="preserve">N/d </v>
      </c>
      <c r="H50">
        <f t="shared" si="1"/>
        <v>0.44</v>
      </c>
      <c r="I50">
        <f t="shared" si="2"/>
        <v>0.41789999999999999</v>
      </c>
      <c r="J50">
        <f t="shared" si="3"/>
        <v>0</v>
      </c>
      <c r="K50">
        <f t="shared" si="4"/>
        <v>2</v>
      </c>
    </row>
    <row r="51" spans="1:11" x14ac:dyDescent="0.3">
      <c r="A51" s="3">
        <v>50</v>
      </c>
      <c r="B51" s="4">
        <v>40546</v>
      </c>
      <c r="C51" s="3">
        <v>4</v>
      </c>
      <c r="D51" s="3">
        <v>1</v>
      </c>
      <c r="E51" s="3">
        <v>0.16</v>
      </c>
      <c r="F51" t="str">
        <f t="shared" si="5"/>
        <v>Mon</v>
      </c>
      <c r="G51">
        <f t="shared" si="0"/>
        <v>0.13639999999999999</v>
      </c>
      <c r="H51">
        <f t="shared" si="1"/>
        <v>0.47</v>
      </c>
      <c r="I51">
        <f t="shared" si="2"/>
        <v>0.3881</v>
      </c>
      <c r="J51">
        <f t="shared" si="3"/>
        <v>0</v>
      </c>
      <c r="K51">
        <f t="shared" si="4"/>
        <v>1</v>
      </c>
    </row>
    <row r="52" spans="1:11" x14ac:dyDescent="0.3">
      <c r="A52" s="3">
        <v>51</v>
      </c>
      <c r="B52" s="4">
        <v>40546</v>
      </c>
      <c r="C52" s="3">
        <v>5</v>
      </c>
      <c r="D52" s="3">
        <v>1</v>
      </c>
      <c r="E52" s="3">
        <v>0.16</v>
      </c>
      <c r="F52" t="str">
        <f t="shared" si="5"/>
        <v>Mon</v>
      </c>
      <c r="G52">
        <f t="shared" si="0"/>
        <v>0.13639999999999999</v>
      </c>
      <c r="H52">
        <f t="shared" si="1"/>
        <v>0.47</v>
      </c>
      <c r="I52">
        <f t="shared" si="2"/>
        <v>0.28360000000000002</v>
      </c>
      <c r="J52">
        <f t="shared" si="3"/>
        <v>0</v>
      </c>
      <c r="K52">
        <f t="shared" si="4"/>
        <v>3</v>
      </c>
    </row>
    <row r="53" spans="1:11" x14ac:dyDescent="0.3">
      <c r="A53" s="3">
        <v>52</v>
      </c>
      <c r="B53" s="4">
        <v>40546</v>
      </c>
      <c r="C53" s="3">
        <v>6</v>
      </c>
      <c r="D53" s="3">
        <v>1</v>
      </c>
      <c r="E53" s="3">
        <v>0.14000000000000001</v>
      </c>
      <c r="F53" t="str">
        <f t="shared" si="5"/>
        <v>Mon</v>
      </c>
      <c r="G53">
        <f t="shared" si="0"/>
        <v>0.1061</v>
      </c>
      <c r="H53">
        <f t="shared" si="1"/>
        <v>0.5</v>
      </c>
      <c r="I53">
        <f t="shared" si="2"/>
        <v>0.3881</v>
      </c>
      <c r="J53">
        <f t="shared" si="3"/>
        <v>0</v>
      </c>
      <c r="K53">
        <f t="shared" si="4"/>
        <v>30</v>
      </c>
    </row>
    <row r="54" spans="1:11" x14ac:dyDescent="0.3">
      <c r="A54" s="3">
        <v>53</v>
      </c>
      <c r="B54" s="4">
        <v>40546</v>
      </c>
      <c r="C54" s="3">
        <v>7</v>
      </c>
      <c r="D54" s="3">
        <v>1</v>
      </c>
      <c r="E54" s="3">
        <v>0.14000000000000001</v>
      </c>
      <c r="F54" t="str">
        <f t="shared" si="5"/>
        <v>Mon</v>
      </c>
      <c r="G54">
        <f t="shared" si="0"/>
        <v>0.13639999999999999</v>
      </c>
      <c r="H54">
        <f t="shared" si="1"/>
        <v>0.5</v>
      </c>
      <c r="I54">
        <f t="shared" si="2"/>
        <v>0.19400000000000001</v>
      </c>
      <c r="J54">
        <f t="shared" si="3"/>
        <v>1</v>
      </c>
      <c r="K54">
        <f t="shared" si="4"/>
        <v>63</v>
      </c>
    </row>
    <row r="55" spans="1:11" x14ac:dyDescent="0.3">
      <c r="A55" s="3">
        <v>54</v>
      </c>
      <c r="B55" s="4">
        <v>40546</v>
      </c>
      <c r="C55" s="3">
        <v>8</v>
      </c>
      <c r="D55" s="3">
        <v>1</v>
      </c>
      <c r="E55" s="3">
        <v>0.14000000000000001</v>
      </c>
      <c r="F55" t="str">
        <f t="shared" si="5"/>
        <v>Mon</v>
      </c>
      <c r="G55">
        <f t="shared" si="0"/>
        <v>0.1212</v>
      </c>
      <c r="H55">
        <f t="shared" si="1"/>
        <v>0.5</v>
      </c>
      <c r="I55">
        <f t="shared" si="2"/>
        <v>0.28360000000000002</v>
      </c>
      <c r="J55">
        <f t="shared" si="3"/>
        <v>1</v>
      </c>
      <c r="K55">
        <f t="shared" si="4"/>
        <v>153</v>
      </c>
    </row>
    <row r="56" spans="1:11" x14ac:dyDescent="0.3">
      <c r="A56" s="3">
        <v>55</v>
      </c>
      <c r="B56" s="4">
        <v>40546</v>
      </c>
      <c r="C56" s="3">
        <v>9</v>
      </c>
      <c r="D56" s="3">
        <v>1</v>
      </c>
      <c r="E56" s="3">
        <v>0.16</v>
      </c>
      <c r="F56" t="str">
        <f t="shared" si="5"/>
        <v>Mon</v>
      </c>
      <c r="G56">
        <f t="shared" si="0"/>
        <v>0.13639999999999999</v>
      </c>
      <c r="H56">
        <f t="shared" si="1"/>
        <v>0.43</v>
      </c>
      <c r="I56">
        <f t="shared" si="2"/>
        <v>0.3881</v>
      </c>
      <c r="J56">
        <f t="shared" si="3"/>
        <v>7</v>
      </c>
      <c r="K56">
        <f t="shared" si="4"/>
        <v>81</v>
      </c>
    </row>
    <row r="57" spans="1:11" x14ac:dyDescent="0.3">
      <c r="A57" s="3">
        <v>56</v>
      </c>
      <c r="B57" s="4">
        <v>40546</v>
      </c>
      <c r="C57" s="3">
        <v>10</v>
      </c>
      <c r="D57" s="3">
        <v>1</v>
      </c>
      <c r="E57" s="3">
        <v>0.18</v>
      </c>
      <c r="F57" t="str">
        <f t="shared" si="5"/>
        <v>Mon</v>
      </c>
      <c r="G57">
        <f t="shared" si="0"/>
        <v>0.16669999999999999</v>
      </c>
      <c r="H57">
        <f t="shared" si="1"/>
        <v>0.43</v>
      </c>
      <c r="I57">
        <f t="shared" si="2"/>
        <v>0.25369999999999998</v>
      </c>
      <c r="J57">
        <f t="shared" si="3"/>
        <v>11</v>
      </c>
      <c r="K57">
        <f t="shared" si="4"/>
        <v>33</v>
      </c>
    </row>
    <row r="58" spans="1:11" x14ac:dyDescent="0.3">
      <c r="A58" s="3">
        <v>57</v>
      </c>
      <c r="B58" s="4">
        <v>40546</v>
      </c>
      <c r="C58" s="3">
        <v>11</v>
      </c>
      <c r="D58" s="3">
        <v>1</v>
      </c>
      <c r="E58" s="3">
        <v>0.2</v>
      </c>
      <c r="F58" t="str">
        <f t="shared" si="5"/>
        <v>Mon</v>
      </c>
      <c r="G58">
        <f t="shared" si="0"/>
        <v>0.18179999999999999</v>
      </c>
      <c r="H58">
        <f t="shared" si="1"/>
        <v>0.4</v>
      </c>
      <c r="I58">
        <f t="shared" si="2"/>
        <v>0.32840000000000003</v>
      </c>
      <c r="J58">
        <f t="shared" si="3"/>
        <v>10</v>
      </c>
      <c r="K58">
        <f t="shared" si="4"/>
        <v>41</v>
      </c>
    </row>
    <row r="59" spans="1:11" x14ac:dyDescent="0.3">
      <c r="A59" s="3">
        <v>58</v>
      </c>
      <c r="B59" s="4">
        <v>40546</v>
      </c>
      <c r="C59" s="3">
        <v>12</v>
      </c>
      <c r="D59" s="3">
        <v>1</v>
      </c>
      <c r="E59" s="3">
        <v>0.22</v>
      </c>
      <c r="F59" t="str">
        <f t="shared" si="5"/>
        <v>Mon</v>
      </c>
      <c r="G59">
        <f t="shared" si="0"/>
        <v>0.21210000000000001</v>
      </c>
      <c r="H59">
        <f t="shared" si="1"/>
        <v>0.35</v>
      </c>
      <c r="I59">
        <f t="shared" si="2"/>
        <v>0.29849999999999999</v>
      </c>
      <c r="J59">
        <f t="shared" si="3"/>
        <v>13</v>
      </c>
      <c r="K59">
        <f t="shared" si="4"/>
        <v>48</v>
      </c>
    </row>
    <row r="60" spans="1:11" x14ac:dyDescent="0.3">
      <c r="A60" s="3">
        <v>59</v>
      </c>
      <c r="B60" s="4">
        <v>40546</v>
      </c>
      <c r="C60" s="3">
        <v>13</v>
      </c>
      <c r="D60" s="3">
        <v>1</v>
      </c>
      <c r="E60" s="3">
        <v>0.24</v>
      </c>
      <c r="F60" t="str">
        <f t="shared" si="5"/>
        <v>Mon</v>
      </c>
      <c r="G60" t="str">
        <f t="shared" si="0"/>
        <v xml:space="preserve">N/d </v>
      </c>
      <c r="H60">
        <f t="shared" si="1"/>
        <v>0.35</v>
      </c>
      <c r="I60">
        <f t="shared" si="2"/>
        <v>0.28360000000000002</v>
      </c>
      <c r="J60">
        <f t="shared" si="3"/>
        <v>8</v>
      </c>
      <c r="K60">
        <f t="shared" si="4"/>
        <v>53</v>
      </c>
    </row>
    <row r="61" spans="1:11" x14ac:dyDescent="0.3">
      <c r="A61" s="3">
        <v>60</v>
      </c>
      <c r="B61" s="4">
        <v>40546</v>
      </c>
      <c r="C61" s="3">
        <v>14</v>
      </c>
      <c r="D61" s="3">
        <v>1</v>
      </c>
      <c r="E61" s="3">
        <v>0.26</v>
      </c>
      <c r="F61" t="str">
        <f t="shared" si="5"/>
        <v>Mon</v>
      </c>
      <c r="G61">
        <f t="shared" si="0"/>
        <v>0.2424</v>
      </c>
      <c r="H61">
        <f t="shared" si="1"/>
        <v>0.3</v>
      </c>
      <c r="I61">
        <f t="shared" si="2"/>
        <v>0.28360000000000002</v>
      </c>
      <c r="J61">
        <f t="shared" si="3"/>
        <v>11</v>
      </c>
      <c r="K61">
        <f t="shared" si="4"/>
        <v>66</v>
      </c>
    </row>
    <row r="62" spans="1:11" x14ac:dyDescent="0.3">
      <c r="A62" s="3">
        <v>61</v>
      </c>
      <c r="B62" s="4">
        <v>40546</v>
      </c>
      <c r="C62" s="3">
        <v>15</v>
      </c>
      <c r="D62" s="3">
        <v>1</v>
      </c>
      <c r="E62" s="3">
        <v>0.26</v>
      </c>
      <c r="F62" t="str">
        <f t="shared" si="5"/>
        <v>Mon</v>
      </c>
      <c r="G62">
        <f t="shared" si="0"/>
        <v>0.2424</v>
      </c>
      <c r="H62">
        <f t="shared" si="1"/>
        <v>0.3</v>
      </c>
      <c r="I62">
        <f t="shared" si="2"/>
        <v>0.25369999999999998</v>
      </c>
      <c r="J62">
        <f t="shared" si="3"/>
        <v>14</v>
      </c>
      <c r="K62">
        <f t="shared" si="4"/>
        <v>58</v>
      </c>
    </row>
    <row r="63" spans="1:11" x14ac:dyDescent="0.3">
      <c r="A63" s="3">
        <v>62</v>
      </c>
      <c r="B63" s="4">
        <v>40546</v>
      </c>
      <c r="C63" s="3">
        <v>16</v>
      </c>
      <c r="D63" s="3">
        <v>1</v>
      </c>
      <c r="E63" s="3">
        <v>0.26</v>
      </c>
      <c r="F63" t="str">
        <f t="shared" si="5"/>
        <v>Mon</v>
      </c>
      <c r="G63">
        <f t="shared" si="0"/>
        <v>0.2424</v>
      </c>
      <c r="H63">
        <f t="shared" si="1"/>
        <v>0.3</v>
      </c>
      <c r="I63">
        <f t="shared" si="2"/>
        <v>0.25369999999999998</v>
      </c>
      <c r="J63">
        <f t="shared" si="3"/>
        <v>9</v>
      </c>
      <c r="K63">
        <f t="shared" si="4"/>
        <v>67</v>
      </c>
    </row>
    <row r="64" spans="1:11" x14ac:dyDescent="0.3">
      <c r="A64" s="3">
        <v>63</v>
      </c>
      <c r="B64" s="4">
        <v>40546</v>
      </c>
      <c r="C64" s="3">
        <v>17</v>
      </c>
      <c r="D64" s="3">
        <v>1</v>
      </c>
      <c r="E64" s="3">
        <v>0.24</v>
      </c>
      <c r="F64" t="str">
        <f t="shared" si="5"/>
        <v>Mon</v>
      </c>
      <c r="G64">
        <f t="shared" si="0"/>
        <v>0.2273</v>
      </c>
      <c r="H64">
        <f t="shared" si="1"/>
        <v>0.3</v>
      </c>
      <c r="I64">
        <f t="shared" si="2"/>
        <v>0.22389999999999999</v>
      </c>
      <c r="J64">
        <f t="shared" si="3"/>
        <v>11</v>
      </c>
      <c r="K64">
        <f t="shared" si="4"/>
        <v>146</v>
      </c>
    </row>
    <row r="65" spans="1:11" x14ac:dyDescent="0.3">
      <c r="A65" s="3">
        <v>64</v>
      </c>
      <c r="B65" s="4">
        <v>40546</v>
      </c>
      <c r="C65" s="3">
        <v>18</v>
      </c>
      <c r="D65" s="3">
        <v>1</v>
      </c>
      <c r="E65" s="3">
        <v>0.24</v>
      </c>
      <c r="F65" t="str">
        <f t="shared" si="5"/>
        <v>Mon</v>
      </c>
      <c r="G65">
        <f t="shared" si="0"/>
        <v>0.2576</v>
      </c>
      <c r="H65">
        <f t="shared" si="1"/>
        <v>0.32</v>
      </c>
      <c r="I65">
        <f t="shared" si="2"/>
        <v>0.1045</v>
      </c>
      <c r="J65">
        <f t="shared" si="3"/>
        <v>9</v>
      </c>
      <c r="K65">
        <f t="shared" si="4"/>
        <v>148</v>
      </c>
    </row>
    <row r="66" spans="1:11" x14ac:dyDescent="0.3">
      <c r="A66" s="3">
        <v>65</v>
      </c>
      <c r="B66" s="4">
        <v>40546</v>
      </c>
      <c r="C66" s="3">
        <v>19</v>
      </c>
      <c r="D66" s="3">
        <v>1</v>
      </c>
      <c r="E66" s="3">
        <v>0.2</v>
      </c>
      <c r="F66" t="str">
        <f t="shared" si="5"/>
        <v>Mon</v>
      </c>
      <c r="G66">
        <f t="shared" ref="G66:G129" si="6">VLOOKUP($A66,instantc,3,FALSE)</f>
        <v>0.2576</v>
      </c>
      <c r="H66">
        <f t="shared" ref="H66:H129" si="7">VLOOKUP($A66,instantc,4,FALSE)</f>
        <v>0.47</v>
      </c>
      <c r="I66">
        <f t="shared" ref="I66:I129" si="8">VLOOKUP($A66,instantc,5,FALSE)</f>
        <v>0</v>
      </c>
      <c r="J66">
        <f t="shared" ref="J66:J129" si="9">VLOOKUP($A66,instantc,6,FALSE)</f>
        <v>8</v>
      </c>
      <c r="K66">
        <f t="shared" ref="K66:K129" si="10">VLOOKUP($A66,instantc,7,FALSE)</f>
        <v>102</v>
      </c>
    </row>
    <row r="67" spans="1:11" x14ac:dyDescent="0.3">
      <c r="A67" s="3">
        <v>66</v>
      </c>
      <c r="B67" s="4">
        <v>40546</v>
      </c>
      <c r="C67" s="3">
        <v>20</v>
      </c>
      <c r="D67" s="3">
        <v>1</v>
      </c>
      <c r="E67" s="3">
        <v>0.2</v>
      </c>
      <c r="F67" t="str">
        <f t="shared" ref="F67:F130" si="11">TEXT(B67,"ddd")</f>
        <v>Mon</v>
      </c>
      <c r="G67" t="str">
        <f t="shared" si="6"/>
        <v xml:space="preserve">N/d </v>
      </c>
      <c r="H67">
        <f t="shared" si="7"/>
        <v>0.47</v>
      </c>
      <c r="I67">
        <f t="shared" si="8"/>
        <v>0.1045</v>
      </c>
      <c r="J67">
        <f t="shared" si="9"/>
        <v>3</v>
      </c>
      <c r="K67">
        <f t="shared" si="10"/>
        <v>49</v>
      </c>
    </row>
    <row r="68" spans="1:11" x14ac:dyDescent="0.3">
      <c r="A68" s="3">
        <v>67</v>
      </c>
      <c r="B68" s="4">
        <v>40546</v>
      </c>
      <c r="C68" s="3">
        <v>21</v>
      </c>
      <c r="D68" s="3">
        <v>1</v>
      </c>
      <c r="E68" s="3">
        <v>0.18</v>
      </c>
      <c r="F68" t="str">
        <f t="shared" si="11"/>
        <v>Mon</v>
      </c>
      <c r="G68">
        <f t="shared" si="6"/>
        <v>0.19700000000000001</v>
      </c>
      <c r="H68">
        <f t="shared" si="7"/>
        <v>0.64</v>
      </c>
      <c r="I68">
        <f t="shared" si="8"/>
        <v>0.1343</v>
      </c>
      <c r="J68">
        <f t="shared" si="9"/>
        <v>3</v>
      </c>
      <c r="K68">
        <f t="shared" si="10"/>
        <v>49</v>
      </c>
    </row>
    <row r="69" spans="1:11" x14ac:dyDescent="0.3">
      <c r="A69" s="3">
        <v>68</v>
      </c>
      <c r="B69" s="4">
        <v>40546</v>
      </c>
      <c r="C69" s="3">
        <v>22</v>
      </c>
      <c r="D69" s="3">
        <v>1</v>
      </c>
      <c r="E69" s="3">
        <v>0.14000000000000001</v>
      </c>
      <c r="F69" t="str">
        <f t="shared" si="11"/>
        <v>Mon</v>
      </c>
      <c r="G69">
        <f t="shared" si="6"/>
        <v>0.1515</v>
      </c>
      <c r="H69">
        <f t="shared" si="7"/>
        <v>0.69</v>
      </c>
      <c r="I69">
        <f t="shared" si="8"/>
        <v>0.1343</v>
      </c>
      <c r="J69">
        <f t="shared" si="9"/>
        <v>0</v>
      </c>
      <c r="K69">
        <f t="shared" si="10"/>
        <v>20</v>
      </c>
    </row>
    <row r="70" spans="1:11" x14ac:dyDescent="0.3">
      <c r="A70" s="3">
        <v>69</v>
      </c>
      <c r="B70" s="4">
        <v>40546</v>
      </c>
      <c r="C70" s="3">
        <v>23</v>
      </c>
      <c r="D70" s="3">
        <v>1</v>
      </c>
      <c r="E70" s="3">
        <v>0.18</v>
      </c>
      <c r="F70" t="str">
        <f t="shared" si="11"/>
        <v>Mon</v>
      </c>
      <c r="G70">
        <f t="shared" si="6"/>
        <v>0.21210000000000001</v>
      </c>
      <c r="H70">
        <f t="shared" si="7"/>
        <v>0.55000000000000004</v>
      </c>
      <c r="I70">
        <f t="shared" si="8"/>
        <v>0.1045</v>
      </c>
      <c r="J70">
        <f t="shared" si="9"/>
        <v>1</v>
      </c>
      <c r="K70">
        <f t="shared" si="10"/>
        <v>11</v>
      </c>
    </row>
    <row r="71" spans="1:11" x14ac:dyDescent="0.3">
      <c r="A71" s="3">
        <v>70</v>
      </c>
      <c r="B71" s="4">
        <v>40547</v>
      </c>
      <c r="C71" s="3">
        <v>0</v>
      </c>
      <c r="D71" s="3">
        <v>2</v>
      </c>
      <c r="E71" s="3">
        <v>0.16</v>
      </c>
      <c r="F71" t="str">
        <f t="shared" si="11"/>
        <v>Tue</v>
      </c>
      <c r="G71" t="str">
        <f t="shared" si="6"/>
        <v xml:space="preserve">N/d </v>
      </c>
      <c r="H71">
        <f t="shared" si="7"/>
        <v>0.55000000000000004</v>
      </c>
      <c r="I71">
        <f t="shared" si="8"/>
        <v>0.1045</v>
      </c>
      <c r="J71">
        <f t="shared" si="9"/>
        <v>0</v>
      </c>
      <c r="K71">
        <f t="shared" si="10"/>
        <v>5</v>
      </c>
    </row>
    <row r="72" spans="1:11" x14ac:dyDescent="0.3">
      <c r="A72" s="3">
        <v>71</v>
      </c>
      <c r="B72" s="4">
        <v>40547</v>
      </c>
      <c r="C72" s="3">
        <v>1</v>
      </c>
      <c r="D72" s="3">
        <v>2</v>
      </c>
      <c r="E72" s="3">
        <v>0.16</v>
      </c>
      <c r="F72" t="str">
        <f t="shared" si="11"/>
        <v>Tue</v>
      </c>
      <c r="G72">
        <f t="shared" si="6"/>
        <v>0.18179999999999999</v>
      </c>
      <c r="H72">
        <f t="shared" si="7"/>
        <v>0.59</v>
      </c>
      <c r="I72">
        <f t="shared" si="8"/>
        <v>0.1045</v>
      </c>
      <c r="J72">
        <f t="shared" si="9"/>
        <v>0</v>
      </c>
      <c r="K72">
        <f t="shared" si="10"/>
        <v>2</v>
      </c>
    </row>
    <row r="73" spans="1:11" x14ac:dyDescent="0.3">
      <c r="A73" s="3">
        <v>72</v>
      </c>
      <c r="B73" s="4">
        <v>40547</v>
      </c>
      <c r="C73" s="3">
        <v>2</v>
      </c>
      <c r="D73" s="3">
        <v>2</v>
      </c>
      <c r="E73" s="3">
        <v>0.14000000000000001</v>
      </c>
      <c r="F73" t="str">
        <f t="shared" si="11"/>
        <v>Tue</v>
      </c>
      <c r="G73">
        <f t="shared" si="6"/>
        <v>0.1515</v>
      </c>
      <c r="H73">
        <f t="shared" si="7"/>
        <v>0.63</v>
      </c>
      <c r="I73">
        <f t="shared" si="8"/>
        <v>0.1343</v>
      </c>
      <c r="J73">
        <f t="shared" si="9"/>
        <v>0</v>
      </c>
      <c r="K73">
        <f t="shared" si="10"/>
        <v>1</v>
      </c>
    </row>
    <row r="74" spans="1:11" x14ac:dyDescent="0.3">
      <c r="A74" s="3">
        <v>73</v>
      </c>
      <c r="B74" s="4">
        <v>40547</v>
      </c>
      <c r="C74" s="3">
        <v>4</v>
      </c>
      <c r="D74" s="3">
        <v>2</v>
      </c>
      <c r="E74" s="3">
        <v>0.14000000000000001</v>
      </c>
      <c r="F74" t="str">
        <f t="shared" si="11"/>
        <v>Tue</v>
      </c>
      <c r="G74">
        <f t="shared" si="6"/>
        <v>0.18179999999999999</v>
      </c>
      <c r="H74">
        <f t="shared" si="7"/>
        <v>0.63</v>
      </c>
      <c r="I74">
        <f t="shared" si="8"/>
        <v>8.9599999999999999E-2</v>
      </c>
      <c r="J74">
        <f t="shared" si="9"/>
        <v>0</v>
      </c>
      <c r="K74">
        <f t="shared" si="10"/>
        <v>2</v>
      </c>
    </row>
    <row r="75" spans="1:11" x14ac:dyDescent="0.3">
      <c r="A75" s="3">
        <v>74</v>
      </c>
      <c r="B75" s="4">
        <v>40547</v>
      </c>
      <c r="C75" s="3">
        <v>5</v>
      </c>
      <c r="D75" s="3">
        <v>2</v>
      </c>
      <c r="E75" s="3">
        <v>0.12</v>
      </c>
      <c r="F75" t="str">
        <f t="shared" si="11"/>
        <v>Tue</v>
      </c>
      <c r="G75">
        <f t="shared" si="6"/>
        <v>0.1515</v>
      </c>
      <c r="H75">
        <f t="shared" si="7"/>
        <v>0.68</v>
      </c>
      <c r="I75">
        <f t="shared" si="8"/>
        <v>0.1045</v>
      </c>
      <c r="J75">
        <f t="shared" si="9"/>
        <v>0</v>
      </c>
      <c r="K75">
        <f t="shared" si="10"/>
        <v>4</v>
      </c>
    </row>
    <row r="76" spans="1:11" x14ac:dyDescent="0.3">
      <c r="A76" s="3">
        <v>75</v>
      </c>
      <c r="B76" s="4">
        <v>40547</v>
      </c>
      <c r="C76" s="3">
        <v>6</v>
      </c>
      <c r="D76" s="3">
        <v>2</v>
      </c>
      <c r="E76" s="3">
        <v>0.12</v>
      </c>
      <c r="F76" t="str">
        <f t="shared" si="11"/>
        <v>Tue</v>
      </c>
      <c r="G76">
        <f t="shared" si="6"/>
        <v>0.1515</v>
      </c>
      <c r="H76">
        <f t="shared" si="7"/>
        <v>0.74</v>
      </c>
      <c r="I76">
        <f t="shared" si="8"/>
        <v>0.1045</v>
      </c>
      <c r="J76">
        <f t="shared" si="9"/>
        <v>0</v>
      </c>
      <c r="K76">
        <f t="shared" si="10"/>
        <v>36</v>
      </c>
    </row>
    <row r="77" spans="1:11" x14ac:dyDescent="0.3">
      <c r="A77" s="3">
        <v>76</v>
      </c>
      <c r="B77" s="4">
        <v>40547</v>
      </c>
      <c r="C77" s="3">
        <v>7</v>
      </c>
      <c r="D77" s="3">
        <v>2</v>
      </c>
      <c r="E77" s="3">
        <v>0.12</v>
      </c>
      <c r="F77" t="str">
        <f t="shared" si="11"/>
        <v>Tue</v>
      </c>
      <c r="G77">
        <f t="shared" si="6"/>
        <v>0.1515</v>
      </c>
      <c r="H77">
        <f t="shared" si="7"/>
        <v>0.74</v>
      </c>
      <c r="I77">
        <f t="shared" si="8"/>
        <v>0.1343</v>
      </c>
      <c r="J77">
        <f t="shared" si="9"/>
        <v>2</v>
      </c>
      <c r="K77">
        <f t="shared" si="10"/>
        <v>92</v>
      </c>
    </row>
    <row r="78" spans="1:11" x14ac:dyDescent="0.3">
      <c r="A78" s="3">
        <v>77</v>
      </c>
      <c r="B78" s="4">
        <v>40547</v>
      </c>
      <c r="C78" s="3">
        <v>8</v>
      </c>
      <c r="D78" s="3">
        <v>2</v>
      </c>
      <c r="E78" s="3">
        <v>0.14000000000000001</v>
      </c>
      <c r="F78" t="str">
        <f t="shared" si="11"/>
        <v>Tue</v>
      </c>
      <c r="G78">
        <f t="shared" si="6"/>
        <v>0.1515</v>
      </c>
      <c r="H78">
        <f t="shared" si="7"/>
        <v>0.69</v>
      </c>
      <c r="I78">
        <f t="shared" si="8"/>
        <v>0.16420000000000001</v>
      </c>
      <c r="J78">
        <f t="shared" si="9"/>
        <v>2</v>
      </c>
      <c r="K78">
        <f t="shared" si="10"/>
        <v>177</v>
      </c>
    </row>
    <row r="79" spans="1:11" x14ac:dyDescent="0.3">
      <c r="A79" s="3">
        <v>78</v>
      </c>
      <c r="B79" s="4">
        <v>40547</v>
      </c>
      <c r="C79" s="3">
        <v>9</v>
      </c>
      <c r="D79" s="3">
        <v>2</v>
      </c>
      <c r="E79" s="3">
        <v>0.16</v>
      </c>
      <c r="F79" t="str">
        <f t="shared" si="11"/>
        <v>Tue</v>
      </c>
      <c r="G79">
        <f t="shared" si="6"/>
        <v>0.1515</v>
      </c>
      <c r="H79">
        <f t="shared" si="7"/>
        <v>0.64</v>
      </c>
      <c r="I79">
        <f t="shared" si="8"/>
        <v>0.22389999999999999</v>
      </c>
      <c r="J79">
        <f t="shared" si="9"/>
        <v>2</v>
      </c>
      <c r="K79">
        <f t="shared" si="10"/>
        <v>98</v>
      </c>
    </row>
    <row r="80" spans="1:11" x14ac:dyDescent="0.3">
      <c r="A80" s="3">
        <v>79</v>
      </c>
      <c r="B80" s="4">
        <v>40547</v>
      </c>
      <c r="C80" s="3">
        <v>10</v>
      </c>
      <c r="D80" s="3">
        <v>2</v>
      </c>
      <c r="E80" s="3">
        <v>0.16</v>
      </c>
      <c r="F80" t="str">
        <f t="shared" si="11"/>
        <v>Tue</v>
      </c>
      <c r="G80">
        <f t="shared" si="6"/>
        <v>0.13639999999999999</v>
      </c>
      <c r="H80">
        <f t="shared" si="7"/>
        <v>0.69</v>
      </c>
      <c r="I80">
        <f t="shared" si="8"/>
        <v>0.32840000000000003</v>
      </c>
      <c r="J80">
        <f t="shared" si="9"/>
        <v>5</v>
      </c>
      <c r="K80">
        <f t="shared" si="10"/>
        <v>37</v>
      </c>
    </row>
    <row r="81" spans="1:11" x14ac:dyDescent="0.3">
      <c r="A81" s="3">
        <v>80</v>
      </c>
      <c r="B81" s="4">
        <v>40547</v>
      </c>
      <c r="C81" s="3">
        <v>11</v>
      </c>
      <c r="D81" s="3">
        <v>2</v>
      </c>
      <c r="E81" s="3">
        <v>0.22</v>
      </c>
      <c r="F81" t="str">
        <f t="shared" si="11"/>
        <v>Tue</v>
      </c>
      <c r="G81">
        <f t="shared" si="6"/>
        <v>0.21210000000000001</v>
      </c>
      <c r="H81">
        <f t="shared" si="7"/>
        <v>0.51</v>
      </c>
      <c r="I81">
        <f t="shared" si="8"/>
        <v>0.29849999999999999</v>
      </c>
      <c r="J81">
        <f t="shared" si="9"/>
        <v>7</v>
      </c>
      <c r="K81">
        <f t="shared" si="10"/>
        <v>50</v>
      </c>
    </row>
    <row r="82" spans="1:11" x14ac:dyDescent="0.3">
      <c r="A82" s="3">
        <v>81</v>
      </c>
      <c r="B82" s="4">
        <v>40547</v>
      </c>
      <c r="C82" s="3">
        <v>12</v>
      </c>
      <c r="D82" s="3">
        <v>2</v>
      </c>
      <c r="E82" s="3">
        <v>0.22</v>
      </c>
      <c r="F82" t="str">
        <f t="shared" si="11"/>
        <v>Tue</v>
      </c>
      <c r="G82">
        <f t="shared" si="6"/>
        <v>0.2273</v>
      </c>
      <c r="H82">
        <f t="shared" si="7"/>
        <v>0.51</v>
      </c>
      <c r="I82">
        <f t="shared" si="8"/>
        <v>0.16420000000000001</v>
      </c>
      <c r="J82">
        <f t="shared" si="9"/>
        <v>12</v>
      </c>
      <c r="K82">
        <f t="shared" si="10"/>
        <v>66</v>
      </c>
    </row>
    <row r="83" spans="1:11" x14ac:dyDescent="0.3">
      <c r="A83" s="3">
        <v>82</v>
      </c>
      <c r="B83" s="4">
        <v>40547</v>
      </c>
      <c r="C83" s="3">
        <v>13</v>
      </c>
      <c r="D83" s="3">
        <v>2</v>
      </c>
      <c r="E83" s="3">
        <v>0.24</v>
      </c>
      <c r="F83" t="str">
        <f t="shared" si="11"/>
        <v>Tue</v>
      </c>
      <c r="G83">
        <f t="shared" si="6"/>
        <v>0.2273</v>
      </c>
      <c r="H83">
        <f t="shared" si="7"/>
        <v>0.56000000000000005</v>
      </c>
      <c r="I83">
        <f t="shared" si="8"/>
        <v>0.19400000000000001</v>
      </c>
      <c r="J83">
        <f t="shared" si="9"/>
        <v>18</v>
      </c>
      <c r="K83">
        <f t="shared" si="10"/>
        <v>79</v>
      </c>
    </row>
    <row r="84" spans="1:11" x14ac:dyDescent="0.3">
      <c r="A84" s="3">
        <v>83</v>
      </c>
      <c r="B84" s="4">
        <v>40547</v>
      </c>
      <c r="C84" s="3">
        <v>14</v>
      </c>
      <c r="D84" s="3">
        <v>2</v>
      </c>
      <c r="E84" s="3">
        <v>0.26</v>
      </c>
      <c r="F84" t="str">
        <f t="shared" si="11"/>
        <v>Tue</v>
      </c>
      <c r="G84">
        <f t="shared" si="6"/>
        <v>0.2576</v>
      </c>
      <c r="H84">
        <f t="shared" si="7"/>
        <v>0.52</v>
      </c>
      <c r="I84">
        <f t="shared" si="8"/>
        <v>0.22389999999999999</v>
      </c>
      <c r="J84">
        <f t="shared" si="9"/>
        <v>9</v>
      </c>
      <c r="K84">
        <f t="shared" si="10"/>
        <v>54</v>
      </c>
    </row>
    <row r="85" spans="1:11" x14ac:dyDescent="0.3">
      <c r="A85" s="3">
        <v>84</v>
      </c>
      <c r="B85" s="4">
        <v>40547</v>
      </c>
      <c r="C85" s="3">
        <v>15</v>
      </c>
      <c r="D85" s="3">
        <v>2</v>
      </c>
      <c r="E85" s="3">
        <v>0.28000000000000003</v>
      </c>
      <c r="F85" t="str">
        <f t="shared" si="11"/>
        <v>Tue</v>
      </c>
      <c r="G85">
        <f t="shared" si="6"/>
        <v>0.2727</v>
      </c>
      <c r="H85">
        <f t="shared" si="7"/>
        <v>0.52</v>
      </c>
      <c r="I85">
        <f t="shared" si="8"/>
        <v>0.25369999999999998</v>
      </c>
      <c r="J85">
        <f t="shared" si="9"/>
        <v>17</v>
      </c>
      <c r="K85">
        <f t="shared" si="10"/>
        <v>48</v>
      </c>
    </row>
    <row r="86" spans="1:11" x14ac:dyDescent="0.3">
      <c r="A86" s="3">
        <v>85</v>
      </c>
      <c r="B86" s="4">
        <v>40547</v>
      </c>
      <c r="C86" s="3">
        <v>16</v>
      </c>
      <c r="D86" s="3">
        <v>2</v>
      </c>
      <c r="E86" s="3">
        <v>0.3</v>
      </c>
      <c r="F86" t="str">
        <f t="shared" si="11"/>
        <v>Tue</v>
      </c>
      <c r="G86">
        <f t="shared" si="6"/>
        <v>0.28789999999999999</v>
      </c>
      <c r="H86">
        <f t="shared" si="7"/>
        <v>0.49</v>
      </c>
      <c r="I86">
        <f t="shared" si="8"/>
        <v>0.25369999999999998</v>
      </c>
      <c r="J86">
        <f t="shared" si="9"/>
        <v>15</v>
      </c>
      <c r="K86">
        <f t="shared" si="10"/>
        <v>68</v>
      </c>
    </row>
    <row r="87" spans="1:11" x14ac:dyDescent="0.3">
      <c r="A87" s="3">
        <v>86</v>
      </c>
      <c r="B87" s="4">
        <v>40547</v>
      </c>
      <c r="C87" s="3">
        <v>17</v>
      </c>
      <c r="D87" s="3">
        <v>2</v>
      </c>
      <c r="E87" s="3">
        <v>0.28000000000000003</v>
      </c>
      <c r="F87" t="str">
        <f t="shared" si="11"/>
        <v>Tue</v>
      </c>
      <c r="G87">
        <f t="shared" si="6"/>
        <v>0.2727</v>
      </c>
      <c r="H87">
        <f t="shared" si="7"/>
        <v>0.48</v>
      </c>
      <c r="I87">
        <f t="shared" si="8"/>
        <v>0.22389999999999999</v>
      </c>
      <c r="J87">
        <f t="shared" si="9"/>
        <v>10</v>
      </c>
      <c r="K87">
        <f t="shared" si="10"/>
        <v>202</v>
      </c>
    </row>
    <row r="88" spans="1:11" x14ac:dyDescent="0.3">
      <c r="A88" s="3">
        <v>87</v>
      </c>
      <c r="B88" s="4">
        <v>40547</v>
      </c>
      <c r="C88" s="3">
        <v>18</v>
      </c>
      <c r="D88" s="3">
        <v>2</v>
      </c>
      <c r="E88" s="3">
        <v>0.26</v>
      </c>
      <c r="F88" t="str">
        <f t="shared" si="11"/>
        <v>Tue</v>
      </c>
      <c r="G88">
        <f t="shared" si="6"/>
        <v>0.2576</v>
      </c>
      <c r="H88">
        <f t="shared" si="7"/>
        <v>0.48</v>
      </c>
      <c r="I88">
        <f t="shared" si="8"/>
        <v>0.19400000000000001</v>
      </c>
      <c r="J88">
        <f t="shared" si="9"/>
        <v>3</v>
      </c>
      <c r="K88">
        <f t="shared" si="10"/>
        <v>179</v>
      </c>
    </row>
    <row r="89" spans="1:11" x14ac:dyDescent="0.3">
      <c r="A89" s="3">
        <v>88</v>
      </c>
      <c r="B89" s="4">
        <v>40547</v>
      </c>
      <c r="C89" s="3">
        <v>19</v>
      </c>
      <c r="D89" s="3">
        <v>2</v>
      </c>
      <c r="E89" s="3">
        <v>0.24</v>
      </c>
      <c r="F89" t="str">
        <f t="shared" si="11"/>
        <v>Tue</v>
      </c>
      <c r="G89">
        <f t="shared" si="6"/>
        <v>0.2576</v>
      </c>
      <c r="H89">
        <f t="shared" si="7"/>
        <v>0.48</v>
      </c>
      <c r="I89">
        <f t="shared" si="8"/>
        <v>0.1045</v>
      </c>
      <c r="J89">
        <f t="shared" si="9"/>
        <v>2</v>
      </c>
      <c r="K89">
        <f t="shared" si="10"/>
        <v>110</v>
      </c>
    </row>
    <row r="90" spans="1:11" x14ac:dyDescent="0.3">
      <c r="A90" s="3">
        <v>89</v>
      </c>
      <c r="B90" s="4">
        <v>40547</v>
      </c>
      <c r="C90" s="3">
        <v>20</v>
      </c>
      <c r="D90" s="3">
        <v>2</v>
      </c>
      <c r="E90" s="3">
        <v>0.24</v>
      </c>
      <c r="F90" t="str">
        <f t="shared" si="11"/>
        <v>Tue</v>
      </c>
      <c r="G90">
        <f t="shared" si="6"/>
        <v>0.2576</v>
      </c>
      <c r="H90">
        <f t="shared" si="7"/>
        <v>0.48</v>
      </c>
      <c r="I90">
        <f t="shared" si="8"/>
        <v>0.1045</v>
      </c>
      <c r="J90">
        <f t="shared" si="9"/>
        <v>1</v>
      </c>
      <c r="K90">
        <f t="shared" si="10"/>
        <v>53</v>
      </c>
    </row>
    <row r="91" spans="1:11" x14ac:dyDescent="0.3">
      <c r="A91" s="3">
        <v>90</v>
      </c>
      <c r="B91" s="4">
        <v>40547</v>
      </c>
      <c r="C91" s="3">
        <v>21</v>
      </c>
      <c r="D91" s="3">
        <v>2</v>
      </c>
      <c r="E91" s="3">
        <v>0.22</v>
      </c>
      <c r="F91" t="str">
        <f t="shared" si="11"/>
        <v>Tue</v>
      </c>
      <c r="G91">
        <f t="shared" si="6"/>
        <v>0.2727</v>
      </c>
      <c r="H91">
        <f t="shared" si="7"/>
        <v>0.64</v>
      </c>
      <c r="I91">
        <f t="shared" si="8"/>
        <v>0</v>
      </c>
      <c r="J91">
        <f t="shared" si="9"/>
        <v>0</v>
      </c>
      <c r="K91">
        <f t="shared" si="10"/>
        <v>48</v>
      </c>
    </row>
    <row r="92" spans="1:11" x14ac:dyDescent="0.3">
      <c r="A92" s="3">
        <v>91</v>
      </c>
      <c r="B92" s="4">
        <v>40547</v>
      </c>
      <c r="C92" s="3">
        <v>22</v>
      </c>
      <c r="D92" s="3">
        <v>2</v>
      </c>
      <c r="E92" s="3">
        <v>0.22</v>
      </c>
      <c r="F92" t="str">
        <f t="shared" si="11"/>
        <v>Tue</v>
      </c>
      <c r="G92">
        <f t="shared" si="6"/>
        <v>0.2576</v>
      </c>
      <c r="H92">
        <f t="shared" si="7"/>
        <v>0.64</v>
      </c>
      <c r="I92">
        <f t="shared" si="8"/>
        <v>8.9599999999999999E-2</v>
      </c>
      <c r="J92">
        <f t="shared" si="9"/>
        <v>1</v>
      </c>
      <c r="K92">
        <f t="shared" si="10"/>
        <v>34</v>
      </c>
    </row>
    <row r="93" spans="1:11" x14ac:dyDescent="0.3">
      <c r="A93" s="3">
        <v>92</v>
      </c>
      <c r="B93" s="4">
        <v>40547</v>
      </c>
      <c r="C93" s="3">
        <v>23</v>
      </c>
      <c r="D93" s="3">
        <v>2</v>
      </c>
      <c r="E93" s="3">
        <v>0.2</v>
      </c>
      <c r="F93" t="str">
        <f t="shared" si="11"/>
        <v>Tue</v>
      </c>
      <c r="G93">
        <f t="shared" si="6"/>
        <v>0.2273</v>
      </c>
      <c r="H93">
        <f t="shared" si="7"/>
        <v>0.69</v>
      </c>
      <c r="I93">
        <f t="shared" si="8"/>
        <v>8.9599999999999999E-2</v>
      </c>
      <c r="J93">
        <f t="shared" si="9"/>
        <v>2</v>
      </c>
      <c r="K93">
        <f t="shared" si="10"/>
        <v>9</v>
      </c>
    </row>
    <row r="94" spans="1:11" x14ac:dyDescent="0.3">
      <c r="A94" s="3">
        <v>93</v>
      </c>
      <c r="B94" s="4">
        <v>40548</v>
      </c>
      <c r="C94" s="3">
        <v>0</v>
      </c>
      <c r="D94" s="3">
        <v>3</v>
      </c>
      <c r="E94" s="3">
        <v>0.2</v>
      </c>
      <c r="F94" t="str">
        <f t="shared" si="11"/>
        <v>Wed</v>
      </c>
      <c r="G94">
        <f t="shared" si="6"/>
        <v>0.2576</v>
      </c>
      <c r="H94">
        <f t="shared" si="7"/>
        <v>0.64</v>
      </c>
      <c r="I94">
        <f t="shared" si="8"/>
        <v>0</v>
      </c>
      <c r="J94">
        <f t="shared" si="9"/>
        <v>0</v>
      </c>
      <c r="K94">
        <f t="shared" si="10"/>
        <v>6</v>
      </c>
    </row>
    <row r="95" spans="1:11" x14ac:dyDescent="0.3">
      <c r="A95" s="3">
        <v>94</v>
      </c>
      <c r="B95" s="4">
        <v>40548</v>
      </c>
      <c r="C95" s="3">
        <v>1</v>
      </c>
      <c r="D95" s="3">
        <v>3</v>
      </c>
      <c r="E95" s="3">
        <v>0.16</v>
      </c>
      <c r="F95" t="str">
        <f t="shared" si="11"/>
        <v>Wed</v>
      </c>
      <c r="G95">
        <f t="shared" si="6"/>
        <v>0.19700000000000001</v>
      </c>
      <c r="H95">
        <f t="shared" si="7"/>
        <v>0.74</v>
      </c>
      <c r="I95">
        <f t="shared" si="8"/>
        <v>8.9599999999999999E-2</v>
      </c>
      <c r="J95">
        <f t="shared" si="9"/>
        <v>0</v>
      </c>
      <c r="K95">
        <f t="shared" si="10"/>
        <v>6</v>
      </c>
    </row>
    <row r="96" spans="1:11" x14ac:dyDescent="0.3">
      <c r="A96" s="3">
        <v>95</v>
      </c>
      <c r="B96" s="4">
        <v>40548</v>
      </c>
      <c r="C96" s="3">
        <v>2</v>
      </c>
      <c r="D96" s="3">
        <v>3</v>
      </c>
      <c r="E96" s="3">
        <v>0.16</v>
      </c>
      <c r="F96" t="str">
        <f t="shared" si="11"/>
        <v>Wed</v>
      </c>
      <c r="G96">
        <f t="shared" si="6"/>
        <v>0.19700000000000001</v>
      </c>
      <c r="H96">
        <f t="shared" si="7"/>
        <v>0.74</v>
      </c>
      <c r="I96">
        <f t="shared" si="8"/>
        <v>8.9599999999999999E-2</v>
      </c>
      <c r="J96">
        <f t="shared" si="9"/>
        <v>0</v>
      </c>
      <c r="K96">
        <f t="shared" si="10"/>
        <v>2</v>
      </c>
    </row>
    <row r="97" spans="1:11" x14ac:dyDescent="0.3">
      <c r="A97" s="3">
        <v>96</v>
      </c>
      <c r="B97" s="4">
        <v>40548</v>
      </c>
      <c r="C97" s="3">
        <v>4</v>
      </c>
      <c r="D97" s="3">
        <v>3</v>
      </c>
      <c r="E97" s="3">
        <v>0.24</v>
      </c>
      <c r="F97" t="str">
        <f t="shared" si="11"/>
        <v>Wed</v>
      </c>
      <c r="G97">
        <f t="shared" si="6"/>
        <v>0.2273</v>
      </c>
      <c r="H97">
        <f t="shared" si="7"/>
        <v>0.48</v>
      </c>
      <c r="I97">
        <f t="shared" si="8"/>
        <v>0.22389999999999999</v>
      </c>
      <c r="J97">
        <f t="shared" si="9"/>
        <v>0</v>
      </c>
      <c r="K97">
        <f t="shared" si="10"/>
        <v>2</v>
      </c>
    </row>
    <row r="98" spans="1:11" x14ac:dyDescent="0.3">
      <c r="A98" s="3">
        <v>97</v>
      </c>
      <c r="B98" s="4">
        <v>40548</v>
      </c>
      <c r="C98" s="3">
        <v>5</v>
      </c>
      <c r="D98" s="3">
        <v>3</v>
      </c>
      <c r="E98" s="3">
        <v>0.22</v>
      </c>
      <c r="F98" t="str">
        <f t="shared" si="11"/>
        <v>Wed</v>
      </c>
      <c r="G98">
        <f t="shared" si="6"/>
        <v>0.2273</v>
      </c>
      <c r="H98">
        <f t="shared" si="7"/>
        <v>0.47</v>
      </c>
      <c r="I98">
        <f t="shared" si="8"/>
        <v>0.16420000000000001</v>
      </c>
      <c r="J98">
        <f t="shared" si="9"/>
        <v>0</v>
      </c>
      <c r="K98">
        <f t="shared" si="10"/>
        <v>3</v>
      </c>
    </row>
    <row r="99" spans="1:11" x14ac:dyDescent="0.3">
      <c r="A99" s="3">
        <v>98</v>
      </c>
      <c r="B99" s="4">
        <v>40548</v>
      </c>
      <c r="C99" s="3">
        <v>6</v>
      </c>
      <c r="D99" s="3">
        <v>3</v>
      </c>
      <c r="E99" s="3">
        <v>0.2</v>
      </c>
      <c r="F99" t="str">
        <f t="shared" si="11"/>
        <v>Wed</v>
      </c>
      <c r="G99">
        <f t="shared" si="6"/>
        <v>0.19700000000000001</v>
      </c>
      <c r="H99">
        <f t="shared" si="7"/>
        <v>0.47</v>
      </c>
      <c r="I99">
        <f t="shared" si="8"/>
        <v>0.22389999999999999</v>
      </c>
      <c r="J99">
        <f t="shared" si="9"/>
        <v>0</v>
      </c>
      <c r="K99">
        <f t="shared" si="10"/>
        <v>33</v>
      </c>
    </row>
    <row r="100" spans="1:11" x14ac:dyDescent="0.3">
      <c r="A100" s="3">
        <v>99</v>
      </c>
      <c r="B100" s="4">
        <v>40548</v>
      </c>
      <c r="C100" s="3">
        <v>7</v>
      </c>
      <c r="D100" s="3">
        <v>3</v>
      </c>
      <c r="E100" s="3">
        <v>0.18</v>
      </c>
      <c r="F100" t="str">
        <f t="shared" si="11"/>
        <v>Wed</v>
      </c>
      <c r="G100">
        <f t="shared" si="6"/>
        <v>0.18179999999999999</v>
      </c>
      <c r="H100">
        <f t="shared" si="7"/>
        <v>0.43</v>
      </c>
      <c r="I100">
        <f t="shared" si="8"/>
        <v>0.19400000000000001</v>
      </c>
      <c r="J100">
        <f t="shared" si="9"/>
        <v>1</v>
      </c>
      <c r="K100">
        <f t="shared" si="10"/>
        <v>87</v>
      </c>
    </row>
    <row r="101" spans="1:11" x14ac:dyDescent="0.3">
      <c r="A101" s="3">
        <v>100</v>
      </c>
      <c r="B101" s="4">
        <v>40548</v>
      </c>
      <c r="C101" s="3">
        <v>8</v>
      </c>
      <c r="D101" s="3">
        <v>3</v>
      </c>
      <c r="E101" s="3">
        <v>0.2</v>
      </c>
      <c r="F101" t="str">
        <f t="shared" si="11"/>
        <v>Wed</v>
      </c>
      <c r="G101">
        <f t="shared" si="6"/>
        <v>0.18179999999999999</v>
      </c>
      <c r="H101">
        <f t="shared" si="7"/>
        <v>0.4</v>
      </c>
      <c r="I101">
        <f t="shared" si="8"/>
        <v>0.29849999999999999</v>
      </c>
      <c r="J101">
        <f t="shared" si="9"/>
        <v>3</v>
      </c>
      <c r="K101">
        <f t="shared" si="10"/>
        <v>192</v>
      </c>
    </row>
    <row r="102" spans="1:11" x14ac:dyDescent="0.3">
      <c r="A102" s="3">
        <v>101</v>
      </c>
      <c r="B102" s="4">
        <v>40548</v>
      </c>
      <c r="C102" s="3">
        <v>9</v>
      </c>
      <c r="D102" s="3">
        <v>3</v>
      </c>
      <c r="E102" s="3">
        <v>0.22</v>
      </c>
      <c r="F102" t="str">
        <f t="shared" si="11"/>
        <v>Wed</v>
      </c>
      <c r="G102">
        <f t="shared" si="6"/>
        <v>0.19700000000000001</v>
      </c>
      <c r="H102">
        <f t="shared" si="7"/>
        <v>0.37</v>
      </c>
      <c r="I102">
        <f t="shared" si="8"/>
        <v>0.32840000000000003</v>
      </c>
      <c r="J102">
        <f t="shared" si="9"/>
        <v>6</v>
      </c>
      <c r="K102">
        <f t="shared" si="10"/>
        <v>109</v>
      </c>
    </row>
    <row r="103" spans="1:11" x14ac:dyDescent="0.3">
      <c r="A103" s="3">
        <v>102</v>
      </c>
      <c r="B103" s="4">
        <v>40548</v>
      </c>
      <c r="C103" s="3">
        <v>10</v>
      </c>
      <c r="D103" s="3">
        <v>3</v>
      </c>
      <c r="E103" s="3">
        <v>0.22</v>
      </c>
      <c r="F103" t="str">
        <f t="shared" si="11"/>
        <v>Wed</v>
      </c>
      <c r="G103">
        <f t="shared" si="6"/>
        <v>0.19700000000000001</v>
      </c>
      <c r="H103">
        <f t="shared" si="7"/>
        <v>0.37</v>
      </c>
      <c r="I103">
        <f t="shared" si="8"/>
        <v>0.32840000000000003</v>
      </c>
      <c r="J103">
        <f t="shared" si="9"/>
        <v>4</v>
      </c>
      <c r="K103">
        <f t="shared" si="10"/>
        <v>53</v>
      </c>
    </row>
    <row r="104" spans="1:11" x14ac:dyDescent="0.3">
      <c r="A104" s="3">
        <v>103</v>
      </c>
      <c r="B104" s="4">
        <v>40548</v>
      </c>
      <c r="C104" s="3">
        <v>11</v>
      </c>
      <c r="D104" s="3">
        <v>3</v>
      </c>
      <c r="E104" s="3">
        <v>0.26</v>
      </c>
      <c r="F104" t="str">
        <f t="shared" si="11"/>
        <v>Wed</v>
      </c>
      <c r="G104">
        <f t="shared" si="6"/>
        <v>0.2273</v>
      </c>
      <c r="H104">
        <f t="shared" si="7"/>
        <v>0.33</v>
      </c>
      <c r="I104">
        <f t="shared" si="8"/>
        <v>0.32840000000000003</v>
      </c>
      <c r="J104">
        <f t="shared" si="9"/>
        <v>12</v>
      </c>
      <c r="K104">
        <f t="shared" si="10"/>
        <v>34</v>
      </c>
    </row>
    <row r="105" spans="1:11" x14ac:dyDescent="0.3">
      <c r="A105" s="3">
        <v>104</v>
      </c>
      <c r="B105" s="4">
        <v>40548</v>
      </c>
      <c r="C105" s="3">
        <v>12</v>
      </c>
      <c r="D105" s="3">
        <v>3</v>
      </c>
      <c r="E105" s="3">
        <v>0.26</v>
      </c>
      <c r="F105" t="str">
        <f t="shared" si="11"/>
        <v>Wed</v>
      </c>
      <c r="G105">
        <f t="shared" si="6"/>
        <v>0.2273</v>
      </c>
      <c r="H105">
        <f t="shared" si="7"/>
        <v>0.33</v>
      </c>
      <c r="I105">
        <f t="shared" si="8"/>
        <v>0.32840000000000003</v>
      </c>
      <c r="J105">
        <f t="shared" si="9"/>
        <v>5</v>
      </c>
      <c r="K105">
        <f t="shared" si="10"/>
        <v>74</v>
      </c>
    </row>
    <row r="106" spans="1:11" x14ac:dyDescent="0.3">
      <c r="A106" s="3">
        <v>105</v>
      </c>
      <c r="B106" s="4">
        <v>40548</v>
      </c>
      <c r="C106" s="3">
        <v>13</v>
      </c>
      <c r="D106" s="3">
        <v>3</v>
      </c>
      <c r="E106" s="3">
        <v>0.28000000000000003</v>
      </c>
      <c r="F106" t="str">
        <f t="shared" si="11"/>
        <v>Wed</v>
      </c>
      <c r="G106">
        <f t="shared" si="6"/>
        <v>0.2576</v>
      </c>
      <c r="H106">
        <f t="shared" si="7"/>
        <v>0.3</v>
      </c>
      <c r="I106">
        <f t="shared" si="8"/>
        <v>0.29849999999999999</v>
      </c>
      <c r="J106">
        <f t="shared" si="9"/>
        <v>6</v>
      </c>
      <c r="K106">
        <f t="shared" si="10"/>
        <v>65</v>
      </c>
    </row>
    <row r="107" spans="1:11" x14ac:dyDescent="0.3">
      <c r="A107" s="3">
        <v>106</v>
      </c>
      <c r="B107" s="4">
        <v>40548</v>
      </c>
      <c r="C107" s="3">
        <v>14</v>
      </c>
      <c r="D107" s="3">
        <v>3</v>
      </c>
      <c r="E107" s="3">
        <v>0.3</v>
      </c>
      <c r="F107" t="str">
        <f t="shared" si="11"/>
        <v>Wed</v>
      </c>
      <c r="G107">
        <f t="shared" si="6"/>
        <v>0.28789999999999999</v>
      </c>
      <c r="H107">
        <f t="shared" si="7"/>
        <v>0.28000000000000003</v>
      </c>
      <c r="I107">
        <f t="shared" si="8"/>
        <v>0.19400000000000001</v>
      </c>
      <c r="J107">
        <f t="shared" si="9"/>
        <v>10</v>
      </c>
      <c r="K107">
        <f t="shared" si="10"/>
        <v>52</v>
      </c>
    </row>
    <row r="108" spans="1:11" x14ac:dyDescent="0.3">
      <c r="A108" s="3">
        <v>107</v>
      </c>
      <c r="B108" s="4">
        <v>40548</v>
      </c>
      <c r="C108" s="3">
        <v>15</v>
      </c>
      <c r="D108" s="3">
        <v>3</v>
      </c>
      <c r="E108" s="3">
        <v>0.3</v>
      </c>
      <c r="F108" t="str">
        <f t="shared" si="11"/>
        <v>Wed</v>
      </c>
      <c r="G108">
        <f t="shared" si="6"/>
        <v>0.28789999999999999</v>
      </c>
      <c r="H108">
        <f t="shared" si="7"/>
        <v>0.28000000000000003</v>
      </c>
      <c r="I108">
        <f t="shared" si="8"/>
        <v>0.19400000000000001</v>
      </c>
      <c r="J108">
        <f t="shared" si="9"/>
        <v>7</v>
      </c>
      <c r="K108">
        <f t="shared" si="10"/>
        <v>55</v>
      </c>
    </row>
    <row r="109" spans="1:11" x14ac:dyDescent="0.3">
      <c r="A109" s="3">
        <v>108</v>
      </c>
      <c r="B109" s="4">
        <v>40548</v>
      </c>
      <c r="C109" s="3">
        <v>16</v>
      </c>
      <c r="D109" s="3">
        <v>3</v>
      </c>
      <c r="E109" s="3">
        <v>0.3</v>
      </c>
      <c r="F109" t="str">
        <f t="shared" si="11"/>
        <v>Wed</v>
      </c>
      <c r="G109">
        <f t="shared" si="6"/>
        <v>0.31819999999999998</v>
      </c>
      <c r="H109">
        <f t="shared" si="7"/>
        <v>0.28000000000000003</v>
      </c>
      <c r="I109">
        <f t="shared" si="8"/>
        <v>8.9599999999999999E-2</v>
      </c>
      <c r="J109">
        <f t="shared" si="9"/>
        <v>4</v>
      </c>
      <c r="K109">
        <f t="shared" si="10"/>
        <v>85</v>
      </c>
    </row>
    <row r="110" spans="1:11" x14ac:dyDescent="0.3">
      <c r="A110" s="3">
        <v>109</v>
      </c>
      <c r="B110" s="4">
        <v>40548</v>
      </c>
      <c r="C110" s="3">
        <v>17</v>
      </c>
      <c r="D110" s="3">
        <v>3</v>
      </c>
      <c r="E110" s="3">
        <v>0.24</v>
      </c>
      <c r="F110" t="str">
        <f t="shared" si="11"/>
        <v>Wed</v>
      </c>
      <c r="G110">
        <f t="shared" si="6"/>
        <v>0.2273</v>
      </c>
      <c r="H110">
        <f t="shared" si="7"/>
        <v>0.38</v>
      </c>
      <c r="I110">
        <f t="shared" si="8"/>
        <v>0.19400000000000001</v>
      </c>
      <c r="J110">
        <f t="shared" si="9"/>
        <v>4</v>
      </c>
      <c r="K110">
        <f t="shared" si="10"/>
        <v>186</v>
      </c>
    </row>
    <row r="111" spans="1:11" x14ac:dyDescent="0.3">
      <c r="A111" s="3">
        <v>110</v>
      </c>
      <c r="B111" s="4">
        <v>40548</v>
      </c>
      <c r="C111" s="3">
        <v>18</v>
      </c>
      <c r="D111" s="3">
        <v>3</v>
      </c>
      <c r="E111" s="3">
        <v>0.24</v>
      </c>
      <c r="F111" t="str">
        <f t="shared" si="11"/>
        <v>Wed</v>
      </c>
      <c r="G111">
        <f t="shared" si="6"/>
        <v>0.2424</v>
      </c>
      <c r="H111">
        <f t="shared" si="7"/>
        <v>0.38</v>
      </c>
      <c r="I111">
        <f t="shared" si="8"/>
        <v>0.1343</v>
      </c>
      <c r="J111">
        <f t="shared" si="9"/>
        <v>3</v>
      </c>
      <c r="K111">
        <f t="shared" si="10"/>
        <v>166</v>
      </c>
    </row>
    <row r="112" spans="1:11" x14ac:dyDescent="0.3">
      <c r="A112" s="3">
        <v>111</v>
      </c>
      <c r="B112" s="4">
        <v>40548</v>
      </c>
      <c r="C112" s="3">
        <v>19</v>
      </c>
      <c r="D112" s="3">
        <v>3</v>
      </c>
      <c r="E112" s="3">
        <v>0.24</v>
      </c>
      <c r="F112" t="str">
        <f t="shared" si="11"/>
        <v>Wed</v>
      </c>
      <c r="G112">
        <f t="shared" si="6"/>
        <v>0.2576</v>
      </c>
      <c r="H112">
        <f t="shared" si="7"/>
        <v>0.38</v>
      </c>
      <c r="I112">
        <f t="shared" si="8"/>
        <v>0.1045</v>
      </c>
      <c r="J112">
        <f t="shared" si="9"/>
        <v>5</v>
      </c>
      <c r="K112">
        <f t="shared" si="10"/>
        <v>127</v>
      </c>
    </row>
    <row r="113" spans="1:11" x14ac:dyDescent="0.3">
      <c r="A113" s="3">
        <v>112</v>
      </c>
      <c r="B113" s="4">
        <v>40548</v>
      </c>
      <c r="C113" s="3">
        <v>20</v>
      </c>
      <c r="D113" s="3">
        <v>3</v>
      </c>
      <c r="E113" s="3">
        <v>0.22</v>
      </c>
      <c r="F113" t="str">
        <f t="shared" si="11"/>
        <v>Wed</v>
      </c>
      <c r="G113">
        <f t="shared" si="6"/>
        <v>0.2273</v>
      </c>
      <c r="H113">
        <f t="shared" si="7"/>
        <v>0.47</v>
      </c>
      <c r="I113">
        <f t="shared" si="8"/>
        <v>0.16420000000000001</v>
      </c>
      <c r="J113">
        <f t="shared" si="9"/>
        <v>7</v>
      </c>
      <c r="K113">
        <f t="shared" si="10"/>
        <v>82</v>
      </c>
    </row>
    <row r="114" spans="1:11" x14ac:dyDescent="0.3">
      <c r="A114" s="3">
        <v>113</v>
      </c>
      <c r="B114" s="4">
        <v>40548</v>
      </c>
      <c r="C114" s="3">
        <v>21</v>
      </c>
      <c r="D114" s="3">
        <v>3</v>
      </c>
      <c r="E114" s="3">
        <v>0.2</v>
      </c>
      <c r="F114" t="str">
        <f t="shared" si="11"/>
        <v>Wed</v>
      </c>
      <c r="G114">
        <f t="shared" si="6"/>
        <v>0.19700000000000001</v>
      </c>
      <c r="H114">
        <f t="shared" si="7"/>
        <v>0.51</v>
      </c>
      <c r="I114">
        <f t="shared" si="8"/>
        <v>0.19400000000000001</v>
      </c>
      <c r="J114">
        <f t="shared" si="9"/>
        <v>3</v>
      </c>
      <c r="K114">
        <f t="shared" si="10"/>
        <v>40</v>
      </c>
    </row>
    <row r="115" spans="1:11" x14ac:dyDescent="0.3">
      <c r="A115" s="3">
        <v>114</v>
      </c>
      <c r="B115" s="4">
        <v>40548</v>
      </c>
      <c r="C115" s="3">
        <v>22</v>
      </c>
      <c r="D115" s="3">
        <v>3</v>
      </c>
      <c r="E115" s="3">
        <v>0.18</v>
      </c>
      <c r="F115" t="str">
        <f t="shared" si="11"/>
        <v>Wed</v>
      </c>
      <c r="G115">
        <f t="shared" si="6"/>
        <v>0.19700000000000001</v>
      </c>
      <c r="H115">
        <f t="shared" si="7"/>
        <v>0.55000000000000004</v>
      </c>
      <c r="I115">
        <f t="shared" si="8"/>
        <v>0.1343</v>
      </c>
      <c r="J115">
        <f t="shared" si="9"/>
        <v>1</v>
      </c>
      <c r="K115">
        <f t="shared" si="10"/>
        <v>41</v>
      </c>
    </row>
    <row r="116" spans="1:11" x14ac:dyDescent="0.3">
      <c r="A116" s="3">
        <v>115</v>
      </c>
      <c r="B116" s="4">
        <v>40548</v>
      </c>
      <c r="C116" s="3">
        <v>23</v>
      </c>
      <c r="D116" s="3">
        <v>3</v>
      </c>
      <c r="E116" s="3">
        <v>0.2</v>
      </c>
      <c r="F116" t="str">
        <f t="shared" si="11"/>
        <v>Wed</v>
      </c>
      <c r="G116">
        <f t="shared" si="6"/>
        <v>0.2576</v>
      </c>
      <c r="H116">
        <f t="shared" si="7"/>
        <v>0.47</v>
      </c>
      <c r="I116">
        <f t="shared" si="8"/>
        <v>0</v>
      </c>
      <c r="J116">
        <f t="shared" si="9"/>
        <v>1</v>
      </c>
      <c r="K116">
        <f t="shared" si="10"/>
        <v>18</v>
      </c>
    </row>
    <row r="117" spans="1:11" x14ac:dyDescent="0.3">
      <c r="A117" s="3">
        <v>116</v>
      </c>
      <c r="B117" s="4">
        <v>40549</v>
      </c>
      <c r="C117" s="3">
        <v>0</v>
      </c>
      <c r="D117" s="3">
        <v>4</v>
      </c>
      <c r="E117" s="3">
        <v>0.18</v>
      </c>
      <c r="F117" t="str">
        <f t="shared" si="11"/>
        <v>Thu</v>
      </c>
      <c r="G117">
        <f t="shared" si="6"/>
        <v>0.2424</v>
      </c>
      <c r="H117">
        <f t="shared" si="7"/>
        <v>0.55000000000000004</v>
      </c>
      <c r="I117">
        <f t="shared" si="8"/>
        <v>0</v>
      </c>
      <c r="J117">
        <f t="shared" si="9"/>
        <v>0</v>
      </c>
      <c r="K117">
        <f t="shared" si="10"/>
        <v>11</v>
      </c>
    </row>
    <row r="118" spans="1:11" x14ac:dyDescent="0.3">
      <c r="A118" s="3">
        <v>117</v>
      </c>
      <c r="B118" s="4">
        <v>40549</v>
      </c>
      <c r="C118" s="3">
        <v>1</v>
      </c>
      <c r="D118" s="3">
        <v>4</v>
      </c>
      <c r="E118" s="3">
        <v>0.16</v>
      </c>
      <c r="F118" t="str">
        <f t="shared" si="11"/>
        <v>Thu</v>
      </c>
      <c r="G118">
        <f t="shared" si="6"/>
        <v>0.2273</v>
      </c>
      <c r="H118">
        <f t="shared" si="7"/>
        <v>0.64</v>
      </c>
      <c r="I118">
        <f t="shared" si="8"/>
        <v>0</v>
      </c>
      <c r="J118">
        <f t="shared" si="9"/>
        <v>0</v>
      </c>
      <c r="K118">
        <f t="shared" si="10"/>
        <v>4</v>
      </c>
    </row>
    <row r="119" spans="1:11" x14ac:dyDescent="0.3">
      <c r="A119" s="3">
        <v>118</v>
      </c>
      <c r="B119" s="4">
        <v>40549</v>
      </c>
      <c r="C119" s="3">
        <v>2</v>
      </c>
      <c r="D119" s="3">
        <v>4</v>
      </c>
      <c r="E119" s="3">
        <v>0.16</v>
      </c>
      <c r="F119" t="str">
        <f t="shared" si="11"/>
        <v>Thu</v>
      </c>
      <c r="G119">
        <f t="shared" si="6"/>
        <v>0.2273</v>
      </c>
      <c r="H119">
        <f t="shared" si="7"/>
        <v>0.64</v>
      </c>
      <c r="I119">
        <f t="shared" si="8"/>
        <v>0</v>
      </c>
      <c r="J119">
        <f t="shared" si="9"/>
        <v>0</v>
      </c>
      <c r="K119">
        <f t="shared" si="10"/>
        <v>2</v>
      </c>
    </row>
    <row r="120" spans="1:11" x14ac:dyDescent="0.3">
      <c r="A120" s="3">
        <v>119</v>
      </c>
      <c r="B120" s="4">
        <v>40549</v>
      </c>
      <c r="C120" s="3">
        <v>4</v>
      </c>
      <c r="D120" s="3">
        <v>4</v>
      </c>
      <c r="E120" s="3">
        <v>0.16</v>
      </c>
      <c r="F120" t="str">
        <f t="shared" si="11"/>
        <v>Thu</v>
      </c>
      <c r="G120">
        <f t="shared" si="6"/>
        <v>0.19700000000000001</v>
      </c>
      <c r="H120">
        <f t="shared" si="7"/>
        <v>0.64</v>
      </c>
      <c r="I120">
        <f t="shared" si="8"/>
        <v>8.9599999999999999E-2</v>
      </c>
      <c r="J120">
        <f t="shared" si="9"/>
        <v>0</v>
      </c>
      <c r="K120">
        <f t="shared" si="10"/>
        <v>1</v>
      </c>
    </row>
    <row r="121" spans="1:11" x14ac:dyDescent="0.3">
      <c r="A121" s="3">
        <v>120</v>
      </c>
      <c r="B121" s="4">
        <v>40549</v>
      </c>
      <c r="C121" s="3">
        <v>5</v>
      </c>
      <c r="D121" s="3">
        <v>4</v>
      </c>
      <c r="E121" s="3">
        <v>0.14000000000000001</v>
      </c>
      <c r="F121" t="str">
        <f t="shared" si="11"/>
        <v>Thu</v>
      </c>
      <c r="G121">
        <f t="shared" si="6"/>
        <v>0.18179999999999999</v>
      </c>
      <c r="H121">
        <f t="shared" si="7"/>
        <v>0.69</v>
      </c>
      <c r="I121">
        <f t="shared" si="8"/>
        <v>8.9599999999999999E-2</v>
      </c>
      <c r="J121">
        <f t="shared" si="9"/>
        <v>0</v>
      </c>
      <c r="K121">
        <f t="shared" si="10"/>
        <v>4</v>
      </c>
    </row>
    <row r="122" spans="1:11" x14ac:dyDescent="0.3">
      <c r="A122" s="3">
        <v>121</v>
      </c>
      <c r="B122" s="4">
        <v>40549</v>
      </c>
      <c r="C122" s="3">
        <v>6</v>
      </c>
      <c r="D122" s="3">
        <v>4</v>
      </c>
      <c r="E122" s="3">
        <v>0.14000000000000001</v>
      </c>
      <c r="F122" t="str">
        <f t="shared" si="11"/>
        <v>Thu</v>
      </c>
      <c r="G122">
        <f t="shared" si="6"/>
        <v>0.16669999999999999</v>
      </c>
      <c r="H122">
        <f t="shared" si="7"/>
        <v>0.63</v>
      </c>
      <c r="I122">
        <f t="shared" si="8"/>
        <v>0.1045</v>
      </c>
      <c r="J122">
        <f t="shared" si="9"/>
        <v>0</v>
      </c>
      <c r="K122">
        <f t="shared" si="10"/>
        <v>36</v>
      </c>
    </row>
    <row r="123" spans="1:11" x14ac:dyDescent="0.3">
      <c r="A123" s="3">
        <v>122</v>
      </c>
      <c r="B123" s="4">
        <v>40549</v>
      </c>
      <c r="C123" s="3">
        <v>7</v>
      </c>
      <c r="D123" s="3">
        <v>4</v>
      </c>
      <c r="E123" s="3">
        <v>0.16</v>
      </c>
      <c r="F123" t="str">
        <f t="shared" si="11"/>
        <v>Thu</v>
      </c>
      <c r="G123">
        <f t="shared" si="6"/>
        <v>0.2273</v>
      </c>
      <c r="H123">
        <f t="shared" si="7"/>
        <v>0.59</v>
      </c>
      <c r="I123">
        <f t="shared" si="8"/>
        <v>0</v>
      </c>
      <c r="J123">
        <f t="shared" si="9"/>
        <v>0</v>
      </c>
      <c r="K123">
        <f t="shared" si="10"/>
        <v>95</v>
      </c>
    </row>
    <row r="124" spans="1:11" x14ac:dyDescent="0.3">
      <c r="A124" s="3">
        <v>123</v>
      </c>
      <c r="B124" s="4">
        <v>40549</v>
      </c>
      <c r="C124" s="3">
        <v>8</v>
      </c>
      <c r="D124" s="3">
        <v>4</v>
      </c>
      <c r="E124" s="3">
        <v>0.16</v>
      </c>
      <c r="F124" t="str">
        <f t="shared" si="11"/>
        <v>Thu</v>
      </c>
      <c r="G124">
        <f t="shared" si="6"/>
        <v>0.2273</v>
      </c>
      <c r="H124">
        <f t="shared" si="7"/>
        <v>0.59</v>
      </c>
      <c r="I124">
        <f t="shared" si="8"/>
        <v>0</v>
      </c>
      <c r="J124">
        <f t="shared" si="9"/>
        <v>3</v>
      </c>
      <c r="K124">
        <f t="shared" si="10"/>
        <v>216</v>
      </c>
    </row>
    <row r="125" spans="1:11" x14ac:dyDescent="0.3">
      <c r="A125" s="3">
        <v>124</v>
      </c>
      <c r="B125" s="4">
        <v>40549</v>
      </c>
      <c r="C125" s="3">
        <v>9</v>
      </c>
      <c r="D125" s="3">
        <v>4</v>
      </c>
      <c r="E125" s="3">
        <v>0.18</v>
      </c>
      <c r="F125" t="str">
        <f t="shared" si="11"/>
        <v>Thu</v>
      </c>
      <c r="G125">
        <f t="shared" si="6"/>
        <v>0.2424</v>
      </c>
      <c r="H125">
        <f t="shared" si="7"/>
        <v>0.51</v>
      </c>
      <c r="I125">
        <f t="shared" si="8"/>
        <v>0</v>
      </c>
      <c r="J125">
        <f t="shared" si="9"/>
        <v>6</v>
      </c>
      <c r="K125">
        <f t="shared" si="10"/>
        <v>116</v>
      </c>
    </row>
    <row r="126" spans="1:11" x14ac:dyDescent="0.3">
      <c r="A126" s="3">
        <v>125</v>
      </c>
      <c r="B126" s="4">
        <v>40549</v>
      </c>
      <c r="C126" s="3">
        <v>10</v>
      </c>
      <c r="D126" s="3">
        <v>4</v>
      </c>
      <c r="E126" s="3">
        <v>0.2</v>
      </c>
      <c r="F126" t="str">
        <f t="shared" si="11"/>
        <v>Thu</v>
      </c>
      <c r="G126">
        <f t="shared" si="6"/>
        <v>0.2576</v>
      </c>
      <c r="H126">
        <f t="shared" si="7"/>
        <v>0.47</v>
      </c>
      <c r="I126">
        <f t="shared" si="8"/>
        <v>0</v>
      </c>
      <c r="J126">
        <f t="shared" si="9"/>
        <v>3</v>
      </c>
      <c r="K126">
        <f t="shared" si="10"/>
        <v>42</v>
      </c>
    </row>
    <row r="127" spans="1:11" x14ac:dyDescent="0.3">
      <c r="A127" s="3">
        <v>126</v>
      </c>
      <c r="B127" s="4">
        <v>40549</v>
      </c>
      <c r="C127" s="3">
        <v>11</v>
      </c>
      <c r="D127" s="3">
        <v>4</v>
      </c>
      <c r="E127" s="3">
        <v>0.22</v>
      </c>
      <c r="F127" t="str">
        <f t="shared" si="11"/>
        <v>Thu</v>
      </c>
      <c r="G127">
        <f t="shared" si="6"/>
        <v>0.2576</v>
      </c>
      <c r="H127">
        <f t="shared" si="7"/>
        <v>0.44</v>
      </c>
      <c r="I127">
        <f t="shared" si="8"/>
        <v>8.9599999999999999E-2</v>
      </c>
      <c r="J127">
        <f t="shared" si="9"/>
        <v>2</v>
      </c>
      <c r="K127">
        <f t="shared" si="10"/>
        <v>57</v>
      </c>
    </row>
    <row r="128" spans="1:11" x14ac:dyDescent="0.3">
      <c r="A128" s="3">
        <v>127</v>
      </c>
      <c r="B128" s="4">
        <v>40549</v>
      </c>
      <c r="C128" s="3">
        <v>12</v>
      </c>
      <c r="D128" s="3">
        <v>4</v>
      </c>
      <c r="E128" s="3">
        <v>0.26</v>
      </c>
      <c r="F128" t="str">
        <f t="shared" si="11"/>
        <v>Thu</v>
      </c>
      <c r="G128">
        <f t="shared" si="6"/>
        <v>0.28789999999999999</v>
      </c>
      <c r="H128">
        <f t="shared" si="7"/>
        <v>0.35</v>
      </c>
      <c r="I128">
        <f t="shared" si="8"/>
        <v>0</v>
      </c>
      <c r="J128">
        <f t="shared" si="9"/>
        <v>6</v>
      </c>
      <c r="K128">
        <f t="shared" si="10"/>
        <v>78</v>
      </c>
    </row>
    <row r="129" spans="1:11" x14ac:dyDescent="0.3">
      <c r="A129" s="3">
        <v>128</v>
      </c>
      <c r="B129" s="4">
        <v>40549</v>
      </c>
      <c r="C129" s="3">
        <v>13</v>
      </c>
      <c r="D129" s="3">
        <v>4</v>
      </c>
      <c r="E129" s="3">
        <v>0.26</v>
      </c>
      <c r="F129" t="str">
        <f t="shared" si="11"/>
        <v>Thu</v>
      </c>
      <c r="G129">
        <f t="shared" si="6"/>
        <v>0.2727</v>
      </c>
      <c r="H129">
        <f t="shared" si="7"/>
        <v>0.35</v>
      </c>
      <c r="I129">
        <f t="shared" si="8"/>
        <v>0.1045</v>
      </c>
      <c r="J129">
        <f t="shared" si="9"/>
        <v>12</v>
      </c>
      <c r="K129">
        <f t="shared" si="10"/>
        <v>55</v>
      </c>
    </row>
    <row r="130" spans="1:11" x14ac:dyDescent="0.3">
      <c r="A130" s="3">
        <v>129</v>
      </c>
      <c r="B130" s="4">
        <v>40549</v>
      </c>
      <c r="C130" s="3">
        <v>14</v>
      </c>
      <c r="D130" s="3">
        <v>4</v>
      </c>
      <c r="E130" s="3">
        <v>0.28000000000000003</v>
      </c>
      <c r="F130" t="str">
        <f t="shared" si="11"/>
        <v>Thu</v>
      </c>
      <c r="G130">
        <f t="shared" ref="G130:G193" si="12">VLOOKUP($A130,instantc,3,FALSE)</f>
        <v>0.2727</v>
      </c>
      <c r="H130">
        <f t="shared" ref="H130:H193" si="13">VLOOKUP($A130,instantc,4,FALSE)</f>
        <v>0.36</v>
      </c>
      <c r="I130">
        <f t="shared" ref="I130:I193" si="14">VLOOKUP($A130,instantc,5,FALSE)</f>
        <v>0.16420000000000001</v>
      </c>
      <c r="J130">
        <f t="shared" ref="J130:J193" si="15">VLOOKUP($A130,instantc,6,FALSE)</f>
        <v>11</v>
      </c>
      <c r="K130">
        <f t="shared" ref="K130:K193" si="16">VLOOKUP($A130,instantc,7,FALSE)</f>
        <v>59</v>
      </c>
    </row>
    <row r="131" spans="1:11" x14ac:dyDescent="0.3">
      <c r="A131" s="3">
        <v>130</v>
      </c>
      <c r="B131" s="4">
        <v>40549</v>
      </c>
      <c r="C131" s="3">
        <v>15</v>
      </c>
      <c r="D131" s="3">
        <v>4</v>
      </c>
      <c r="E131" s="3">
        <v>0.28000000000000003</v>
      </c>
      <c r="F131" t="str">
        <f t="shared" ref="F131:F194" si="17">TEXT(B131,"ddd")</f>
        <v>Thu</v>
      </c>
      <c r="G131">
        <f t="shared" si="12"/>
        <v>0.2727</v>
      </c>
      <c r="H131">
        <f t="shared" si="13"/>
        <v>0.36</v>
      </c>
      <c r="I131">
        <f t="shared" si="14"/>
        <v>0</v>
      </c>
      <c r="J131">
        <f t="shared" si="15"/>
        <v>8</v>
      </c>
      <c r="K131">
        <f t="shared" si="16"/>
        <v>54</v>
      </c>
    </row>
    <row r="132" spans="1:11" x14ac:dyDescent="0.3">
      <c r="A132" s="3">
        <v>131</v>
      </c>
      <c r="B132" s="4">
        <v>40549</v>
      </c>
      <c r="C132" s="3">
        <v>16</v>
      </c>
      <c r="D132" s="3">
        <v>4</v>
      </c>
      <c r="E132" s="3">
        <v>0.26</v>
      </c>
      <c r="F132" t="str">
        <f t="shared" si="17"/>
        <v>Thu</v>
      </c>
      <c r="G132">
        <f t="shared" si="12"/>
        <v>0.2576</v>
      </c>
      <c r="H132">
        <f t="shared" si="13"/>
        <v>0.38</v>
      </c>
      <c r="I132">
        <f t="shared" si="14"/>
        <v>0.16420000000000001</v>
      </c>
      <c r="J132">
        <f t="shared" si="15"/>
        <v>12</v>
      </c>
      <c r="K132">
        <f t="shared" si="16"/>
        <v>74</v>
      </c>
    </row>
    <row r="133" spans="1:11" x14ac:dyDescent="0.3">
      <c r="A133" s="3">
        <v>132</v>
      </c>
      <c r="B133" s="4">
        <v>40549</v>
      </c>
      <c r="C133" s="3">
        <v>17</v>
      </c>
      <c r="D133" s="3">
        <v>4</v>
      </c>
      <c r="E133" s="3">
        <v>0.22</v>
      </c>
      <c r="F133" t="str">
        <f t="shared" si="17"/>
        <v>Thu</v>
      </c>
      <c r="G133">
        <f t="shared" si="12"/>
        <v>0.2273</v>
      </c>
      <c r="H133">
        <f t="shared" si="13"/>
        <v>0.51</v>
      </c>
      <c r="I133">
        <f t="shared" si="14"/>
        <v>0.16420000000000001</v>
      </c>
      <c r="J133">
        <f t="shared" si="15"/>
        <v>9</v>
      </c>
      <c r="K133">
        <f t="shared" si="16"/>
        <v>163</v>
      </c>
    </row>
    <row r="134" spans="1:11" x14ac:dyDescent="0.3">
      <c r="A134" s="3">
        <v>133</v>
      </c>
      <c r="B134" s="4">
        <v>40549</v>
      </c>
      <c r="C134" s="3">
        <v>18</v>
      </c>
      <c r="D134" s="3">
        <v>4</v>
      </c>
      <c r="E134" s="3">
        <v>0.22</v>
      </c>
      <c r="F134" t="str">
        <f t="shared" si="17"/>
        <v>Thu</v>
      </c>
      <c r="G134">
        <f t="shared" si="12"/>
        <v>0.2273</v>
      </c>
      <c r="H134">
        <f t="shared" si="13"/>
        <v>0.51</v>
      </c>
      <c r="I134">
        <f t="shared" si="14"/>
        <v>0.1343</v>
      </c>
      <c r="J134">
        <f t="shared" si="15"/>
        <v>5</v>
      </c>
      <c r="K134">
        <f t="shared" si="16"/>
        <v>158</v>
      </c>
    </row>
    <row r="135" spans="1:11" x14ac:dyDescent="0.3">
      <c r="A135" s="3">
        <v>134</v>
      </c>
      <c r="B135" s="4">
        <v>40549</v>
      </c>
      <c r="C135" s="3">
        <v>19</v>
      </c>
      <c r="D135" s="3">
        <v>4</v>
      </c>
      <c r="E135" s="3">
        <v>0.22</v>
      </c>
      <c r="F135" t="str">
        <f t="shared" si="17"/>
        <v>Thu</v>
      </c>
      <c r="G135">
        <f t="shared" si="12"/>
        <v>0.2576</v>
      </c>
      <c r="H135">
        <f t="shared" si="13"/>
        <v>0.55000000000000004</v>
      </c>
      <c r="I135">
        <f t="shared" si="14"/>
        <v>8.9599999999999999E-2</v>
      </c>
      <c r="J135">
        <f t="shared" si="15"/>
        <v>3</v>
      </c>
      <c r="K135">
        <f t="shared" si="16"/>
        <v>109</v>
      </c>
    </row>
    <row r="136" spans="1:11" x14ac:dyDescent="0.3">
      <c r="A136" s="3">
        <v>135</v>
      </c>
      <c r="B136" s="4">
        <v>40549</v>
      </c>
      <c r="C136" s="3">
        <v>20</v>
      </c>
      <c r="D136" s="3">
        <v>4</v>
      </c>
      <c r="E136" s="3">
        <v>0.2</v>
      </c>
      <c r="F136" t="str">
        <f t="shared" si="17"/>
        <v>Thu</v>
      </c>
      <c r="G136">
        <f t="shared" si="12"/>
        <v>0.21210000000000001</v>
      </c>
      <c r="H136">
        <f t="shared" si="13"/>
        <v>0.51</v>
      </c>
      <c r="I136">
        <f t="shared" si="14"/>
        <v>0.16420000000000001</v>
      </c>
      <c r="J136">
        <f t="shared" si="15"/>
        <v>3</v>
      </c>
      <c r="K136">
        <f t="shared" si="16"/>
        <v>66</v>
      </c>
    </row>
    <row r="137" spans="1:11" x14ac:dyDescent="0.3">
      <c r="A137" s="3">
        <v>136</v>
      </c>
      <c r="B137" s="4">
        <v>40549</v>
      </c>
      <c r="C137" s="3">
        <v>21</v>
      </c>
      <c r="D137" s="3">
        <v>4</v>
      </c>
      <c r="E137" s="3">
        <v>0.22</v>
      </c>
      <c r="F137" t="str">
        <f t="shared" si="17"/>
        <v>Thu</v>
      </c>
      <c r="G137">
        <f t="shared" si="12"/>
        <v>0.21210000000000001</v>
      </c>
      <c r="H137">
        <f t="shared" si="13"/>
        <v>0.55000000000000004</v>
      </c>
      <c r="I137">
        <f t="shared" si="14"/>
        <v>0.22389999999999999</v>
      </c>
      <c r="J137">
        <f t="shared" si="15"/>
        <v>0</v>
      </c>
      <c r="K137">
        <f t="shared" si="16"/>
        <v>48</v>
      </c>
    </row>
    <row r="138" spans="1:11" x14ac:dyDescent="0.3">
      <c r="A138" s="3">
        <v>137</v>
      </c>
      <c r="B138" s="4">
        <v>40549</v>
      </c>
      <c r="C138" s="3">
        <v>22</v>
      </c>
      <c r="D138" s="3">
        <v>4</v>
      </c>
      <c r="E138" s="3">
        <v>0.22</v>
      </c>
      <c r="F138" t="str">
        <f t="shared" si="17"/>
        <v>Thu</v>
      </c>
      <c r="G138">
        <f t="shared" si="12"/>
        <v>0.21210000000000001</v>
      </c>
      <c r="H138">
        <f t="shared" si="13"/>
        <v>0.51</v>
      </c>
      <c r="I138">
        <f t="shared" si="14"/>
        <v>0.28360000000000002</v>
      </c>
      <c r="J138">
        <f t="shared" si="15"/>
        <v>1</v>
      </c>
      <c r="K138">
        <f t="shared" si="16"/>
        <v>51</v>
      </c>
    </row>
    <row r="139" spans="1:11" x14ac:dyDescent="0.3">
      <c r="A139" s="3">
        <v>138</v>
      </c>
      <c r="B139" s="4">
        <v>40549</v>
      </c>
      <c r="C139" s="3">
        <v>23</v>
      </c>
      <c r="D139" s="3">
        <v>4</v>
      </c>
      <c r="E139" s="3">
        <v>0.2</v>
      </c>
      <c r="F139" t="str">
        <f t="shared" si="17"/>
        <v>Thu</v>
      </c>
      <c r="G139">
        <f t="shared" si="12"/>
        <v>0.19700000000000001</v>
      </c>
      <c r="H139">
        <f t="shared" si="13"/>
        <v>0.59</v>
      </c>
      <c r="I139">
        <f t="shared" si="14"/>
        <v>0.19400000000000001</v>
      </c>
      <c r="J139">
        <f t="shared" si="15"/>
        <v>4</v>
      </c>
      <c r="K139">
        <f t="shared" si="16"/>
        <v>19</v>
      </c>
    </row>
    <row r="140" spans="1:11" x14ac:dyDescent="0.3">
      <c r="A140" s="3">
        <v>139</v>
      </c>
      <c r="B140" s="4">
        <v>40550</v>
      </c>
      <c r="C140" s="3">
        <v>0</v>
      </c>
      <c r="D140" s="3">
        <v>5</v>
      </c>
      <c r="E140" s="3">
        <v>0.2</v>
      </c>
      <c r="F140" t="str">
        <f t="shared" si="17"/>
        <v>Fri</v>
      </c>
      <c r="G140">
        <f t="shared" si="12"/>
        <v>0.19700000000000001</v>
      </c>
      <c r="H140">
        <f t="shared" si="13"/>
        <v>0.64</v>
      </c>
      <c r="I140">
        <f t="shared" si="14"/>
        <v>0.19400000000000001</v>
      </c>
      <c r="J140">
        <f t="shared" si="15"/>
        <v>4</v>
      </c>
      <c r="K140">
        <f t="shared" si="16"/>
        <v>13</v>
      </c>
    </row>
    <row r="141" spans="1:11" x14ac:dyDescent="0.3">
      <c r="A141" s="3">
        <v>140</v>
      </c>
      <c r="B141" s="4">
        <v>40550</v>
      </c>
      <c r="C141" s="3">
        <v>1</v>
      </c>
      <c r="D141" s="3">
        <v>5</v>
      </c>
      <c r="E141" s="3">
        <v>0.2</v>
      </c>
      <c r="F141" t="str">
        <f t="shared" si="17"/>
        <v>Fri</v>
      </c>
      <c r="G141">
        <f t="shared" si="12"/>
        <v>0.19700000000000001</v>
      </c>
      <c r="H141">
        <f t="shared" si="13"/>
        <v>0.69</v>
      </c>
      <c r="I141">
        <f t="shared" si="14"/>
        <v>0.22389999999999999</v>
      </c>
      <c r="J141">
        <f t="shared" si="15"/>
        <v>2</v>
      </c>
      <c r="K141">
        <f t="shared" si="16"/>
        <v>5</v>
      </c>
    </row>
    <row r="142" spans="1:11" x14ac:dyDescent="0.3">
      <c r="A142" s="3">
        <v>141</v>
      </c>
      <c r="B142" s="4">
        <v>40550</v>
      </c>
      <c r="C142" s="3">
        <v>2</v>
      </c>
      <c r="D142" s="3">
        <v>5</v>
      </c>
      <c r="E142" s="3">
        <v>0.2</v>
      </c>
      <c r="F142" t="str">
        <f t="shared" si="17"/>
        <v>Fri</v>
      </c>
      <c r="G142">
        <f t="shared" si="12"/>
        <v>0.19700000000000001</v>
      </c>
      <c r="H142">
        <f t="shared" si="13"/>
        <v>0.69</v>
      </c>
      <c r="I142">
        <f t="shared" si="14"/>
        <v>0.22389999999999999</v>
      </c>
      <c r="J142">
        <f t="shared" si="15"/>
        <v>0</v>
      </c>
      <c r="K142">
        <f t="shared" si="16"/>
        <v>1</v>
      </c>
    </row>
    <row r="143" spans="1:11" x14ac:dyDescent="0.3">
      <c r="A143" s="3">
        <v>142</v>
      </c>
      <c r="B143" s="4">
        <v>40550</v>
      </c>
      <c r="C143" s="3">
        <v>4</v>
      </c>
      <c r="D143" s="3">
        <v>5</v>
      </c>
      <c r="E143" s="3">
        <v>0.2</v>
      </c>
      <c r="F143" t="str">
        <f t="shared" si="17"/>
        <v>Fri</v>
      </c>
      <c r="G143">
        <f t="shared" si="12"/>
        <v>0.21210000000000001</v>
      </c>
      <c r="H143">
        <f t="shared" si="13"/>
        <v>0.69</v>
      </c>
      <c r="I143">
        <f t="shared" si="14"/>
        <v>0.1343</v>
      </c>
      <c r="J143">
        <f t="shared" si="15"/>
        <v>0</v>
      </c>
      <c r="K143">
        <f t="shared" si="16"/>
        <v>1</v>
      </c>
    </row>
    <row r="144" spans="1:11" x14ac:dyDescent="0.3">
      <c r="A144" s="3">
        <v>143</v>
      </c>
      <c r="B144" s="4">
        <v>40550</v>
      </c>
      <c r="C144" s="3">
        <v>5</v>
      </c>
      <c r="D144" s="3">
        <v>5</v>
      </c>
      <c r="E144" s="3">
        <v>0.22</v>
      </c>
      <c r="F144" t="str">
        <f t="shared" si="17"/>
        <v>Fri</v>
      </c>
      <c r="G144">
        <f t="shared" si="12"/>
        <v>0.2727</v>
      </c>
      <c r="H144">
        <f t="shared" si="13"/>
        <v>0.55000000000000004</v>
      </c>
      <c r="I144">
        <f t="shared" si="14"/>
        <v>0</v>
      </c>
      <c r="J144">
        <f t="shared" si="15"/>
        <v>0</v>
      </c>
      <c r="K144">
        <f t="shared" si="16"/>
        <v>5</v>
      </c>
    </row>
    <row r="145" spans="1:11" x14ac:dyDescent="0.3">
      <c r="A145" s="3">
        <v>144</v>
      </c>
      <c r="B145" s="4">
        <v>40550</v>
      </c>
      <c r="C145" s="3">
        <v>6</v>
      </c>
      <c r="D145" s="3">
        <v>5</v>
      </c>
      <c r="E145" s="3">
        <v>0.2</v>
      </c>
      <c r="F145" t="str">
        <f t="shared" si="17"/>
        <v>Fri</v>
      </c>
      <c r="G145">
        <f t="shared" si="12"/>
        <v>0.2576</v>
      </c>
      <c r="H145">
        <f t="shared" si="13"/>
        <v>0.69</v>
      </c>
      <c r="I145">
        <f t="shared" si="14"/>
        <v>0</v>
      </c>
      <c r="J145">
        <f t="shared" si="15"/>
        <v>8</v>
      </c>
      <c r="K145">
        <f t="shared" si="16"/>
        <v>26</v>
      </c>
    </row>
    <row r="146" spans="1:11" x14ac:dyDescent="0.3">
      <c r="A146" s="3">
        <v>145</v>
      </c>
      <c r="B146" s="4">
        <v>40550</v>
      </c>
      <c r="C146" s="3">
        <v>7</v>
      </c>
      <c r="D146" s="3">
        <v>5</v>
      </c>
      <c r="E146" s="3">
        <v>0.2</v>
      </c>
      <c r="F146" t="str">
        <f t="shared" si="17"/>
        <v>Fri</v>
      </c>
      <c r="G146">
        <f t="shared" si="12"/>
        <v>0.21210000000000001</v>
      </c>
      <c r="H146">
        <f t="shared" si="13"/>
        <v>0.69</v>
      </c>
      <c r="I146">
        <f t="shared" si="14"/>
        <v>0.1343</v>
      </c>
      <c r="J146">
        <f t="shared" si="15"/>
        <v>8</v>
      </c>
      <c r="K146">
        <f t="shared" si="16"/>
        <v>76</v>
      </c>
    </row>
    <row r="147" spans="1:11" x14ac:dyDescent="0.3">
      <c r="A147" s="3">
        <v>146</v>
      </c>
      <c r="B147" s="4">
        <v>40550</v>
      </c>
      <c r="C147" s="3">
        <v>8</v>
      </c>
      <c r="D147" s="3">
        <v>5</v>
      </c>
      <c r="E147" s="3">
        <v>0.2</v>
      </c>
      <c r="F147" t="str">
        <f t="shared" si="17"/>
        <v>Fri</v>
      </c>
      <c r="G147">
        <f t="shared" si="12"/>
        <v>0.19700000000000001</v>
      </c>
      <c r="H147">
        <f t="shared" si="13"/>
        <v>0.51</v>
      </c>
      <c r="I147">
        <f t="shared" si="14"/>
        <v>0.25369999999999998</v>
      </c>
      <c r="J147">
        <f t="shared" si="15"/>
        <v>20</v>
      </c>
      <c r="K147">
        <f t="shared" si="16"/>
        <v>190</v>
      </c>
    </row>
    <row r="148" spans="1:11" x14ac:dyDescent="0.3">
      <c r="A148" s="3">
        <v>147</v>
      </c>
      <c r="B148" s="4">
        <v>40550</v>
      </c>
      <c r="C148" s="3">
        <v>9</v>
      </c>
      <c r="D148" s="3">
        <v>5</v>
      </c>
      <c r="E148" s="3">
        <v>0.2</v>
      </c>
      <c r="F148" t="str">
        <f t="shared" si="17"/>
        <v>Fri</v>
      </c>
      <c r="G148">
        <f t="shared" si="12"/>
        <v>0.18179999999999999</v>
      </c>
      <c r="H148">
        <f t="shared" si="13"/>
        <v>0.47</v>
      </c>
      <c r="I148">
        <f t="shared" si="14"/>
        <v>0.29849999999999999</v>
      </c>
      <c r="J148">
        <f t="shared" si="15"/>
        <v>9</v>
      </c>
      <c r="K148">
        <f t="shared" si="16"/>
        <v>125</v>
      </c>
    </row>
    <row r="149" spans="1:11" x14ac:dyDescent="0.3">
      <c r="A149" s="3">
        <v>148</v>
      </c>
      <c r="B149" s="4">
        <v>40550</v>
      </c>
      <c r="C149" s="3">
        <v>10</v>
      </c>
      <c r="D149" s="3">
        <v>5</v>
      </c>
      <c r="E149" s="3">
        <v>0.22</v>
      </c>
      <c r="F149" t="str">
        <f t="shared" si="17"/>
        <v>Fri</v>
      </c>
      <c r="G149">
        <f t="shared" si="12"/>
        <v>0.19700000000000001</v>
      </c>
      <c r="H149">
        <f t="shared" si="13"/>
        <v>0.37</v>
      </c>
      <c r="I149">
        <f t="shared" si="14"/>
        <v>0.32840000000000003</v>
      </c>
      <c r="J149">
        <f t="shared" si="15"/>
        <v>16</v>
      </c>
      <c r="K149">
        <f t="shared" si="16"/>
        <v>47</v>
      </c>
    </row>
    <row r="150" spans="1:11" x14ac:dyDescent="0.3">
      <c r="A150" s="3">
        <v>149</v>
      </c>
      <c r="B150" s="4">
        <v>40550</v>
      </c>
      <c r="C150" s="3">
        <v>11</v>
      </c>
      <c r="D150" s="3">
        <v>5</v>
      </c>
      <c r="E150" s="3">
        <v>0.2</v>
      </c>
      <c r="F150" t="str">
        <f t="shared" si="17"/>
        <v>Fri</v>
      </c>
      <c r="G150">
        <f t="shared" si="12"/>
        <v>0.19700000000000001</v>
      </c>
      <c r="H150">
        <f t="shared" si="13"/>
        <v>0.4</v>
      </c>
      <c r="I150">
        <f t="shared" si="14"/>
        <v>0.22389999999999999</v>
      </c>
      <c r="J150">
        <f t="shared" si="15"/>
        <v>19</v>
      </c>
      <c r="K150">
        <f t="shared" si="16"/>
        <v>48</v>
      </c>
    </row>
    <row r="151" spans="1:11" x14ac:dyDescent="0.3">
      <c r="A151" s="3">
        <v>150</v>
      </c>
      <c r="B151" s="4">
        <v>40550</v>
      </c>
      <c r="C151" s="3">
        <v>12</v>
      </c>
      <c r="D151" s="3">
        <v>5</v>
      </c>
      <c r="E151" s="3">
        <v>0.2</v>
      </c>
      <c r="F151" t="str">
        <f t="shared" si="17"/>
        <v>Fri</v>
      </c>
      <c r="G151">
        <f t="shared" si="12"/>
        <v>0.19700000000000001</v>
      </c>
      <c r="H151">
        <f t="shared" si="13"/>
        <v>0.37</v>
      </c>
      <c r="I151">
        <f t="shared" si="14"/>
        <v>0.25369999999999998</v>
      </c>
      <c r="J151">
        <f t="shared" si="15"/>
        <v>9</v>
      </c>
      <c r="K151">
        <f t="shared" si="16"/>
        <v>50</v>
      </c>
    </row>
    <row r="152" spans="1:11" x14ac:dyDescent="0.3">
      <c r="A152" s="3">
        <v>151</v>
      </c>
      <c r="B152" s="4">
        <v>40550</v>
      </c>
      <c r="C152" s="3">
        <v>13</v>
      </c>
      <c r="D152" s="3">
        <v>5</v>
      </c>
      <c r="E152" s="3">
        <v>0.2</v>
      </c>
      <c r="F152" t="str">
        <f t="shared" si="17"/>
        <v>Fri</v>
      </c>
      <c r="G152">
        <f t="shared" si="12"/>
        <v>0.18179999999999999</v>
      </c>
      <c r="H152">
        <f t="shared" si="13"/>
        <v>0.37</v>
      </c>
      <c r="I152">
        <f t="shared" si="14"/>
        <v>0.28360000000000002</v>
      </c>
      <c r="J152">
        <f t="shared" si="15"/>
        <v>9</v>
      </c>
      <c r="K152">
        <f t="shared" si="16"/>
        <v>64</v>
      </c>
    </row>
    <row r="153" spans="1:11" x14ac:dyDescent="0.3">
      <c r="A153" s="3">
        <v>152</v>
      </c>
      <c r="B153" s="4">
        <v>40550</v>
      </c>
      <c r="C153" s="3">
        <v>14</v>
      </c>
      <c r="D153" s="3">
        <v>5</v>
      </c>
      <c r="E153" s="3">
        <v>0.2</v>
      </c>
      <c r="F153" t="str">
        <f t="shared" si="17"/>
        <v>Fri</v>
      </c>
      <c r="G153">
        <f t="shared" si="12"/>
        <v>0.19700000000000001</v>
      </c>
      <c r="H153">
        <f t="shared" si="13"/>
        <v>0.4</v>
      </c>
      <c r="I153">
        <f t="shared" si="14"/>
        <v>0.25369999999999998</v>
      </c>
      <c r="J153">
        <f t="shared" si="15"/>
        <v>7</v>
      </c>
      <c r="K153">
        <f t="shared" si="16"/>
        <v>43</v>
      </c>
    </row>
    <row r="154" spans="1:11" x14ac:dyDescent="0.3">
      <c r="A154" s="3">
        <v>153</v>
      </c>
      <c r="B154" s="4">
        <v>40550</v>
      </c>
      <c r="C154" s="3">
        <v>15</v>
      </c>
      <c r="D154" s="3">
        <v>5</v>
      </c>
      <c r="E154" s="3">
        <v>0.2</v>
      </c>
      <c r="F154" t="str">
        <f t="shared" si="17"/>
        <v>Fri</v>
      </c>
      <c r="G154">
        <f t="shared" si="12"/>
        <v>0.21210000000000001</v>
      </c>
      <c r="H154">
        <f t="shared" si="13"/>
        <v>0.37</v>
      </c>
      <c r="I154">
        <f t="shared" si="14"/>
        <v>0.16420000000000001</v>
      </c>
      <c r="J154">
        <f t="shared" si="15"/>
        <v>9</v>
      </c>
      <c r="K154">
        <f t="shared" si="16"/>
        <v>63</v>
      </c>
    </row>
    <row r="155" spans="1:11" x14ac:dyDescent="0.3">
      <c r="A155" s="3">
        <v>154</v>
      </c>
      <c r="B155" s="4">
        <v>40550</v>
      </c>
      <c r="C155" s="3">
        <v>16</v>
      </c>
      <c r="D155" s="3">
        <v>5</v>
      </c>
      <c r="E155" s="3">
        <v>0.2</v>
      </c>
      <c r="F155" t="str">
        <f t="shared" si="17"/>
        <v>Fri</v>
      </c>
      <c r="G155">
        <f t="shared" si="12"/>
        <v>0.21210000000000001</v>
      </c>
      <c r="H155">
        <f t="shared" si="13"/>
        <v>0.37</v>
      </c>
      <c r="I155">
        <f t="shared" si="14"/>
        <v>0.16420000000000001</v>
      </c>
      <c r="J155">
        <f t="shared" si="15"/>
        <v>5</v>
      </c>
      <c r="K155">
        <f t="shared" si="16"/>
        <v>82</v>
      </c>
    </row>
    <row r="156" spans="1:11" x14ac:dyDescent="0.3">
      <c r="A156" s="3">
        <v>155</v>
      </c>
      <c r="B156" s="4">
        <v>40550</v>
      </c>
      <c r="C156" s="3">
        <v>17</v>
      </c>
      <c r="D156" s="3">
        <v>5</v>
      </c>
      <c r="E156" s="3">
        <v>0.2</v>
      </c>
      <c r="F156" t="str">
        <f t="shared" si="17"/>
        <v>Fri</v>
      </c>
      <c r="G156">
        <f t="shared" si="12"/>
        <v>0.2576</v>
      </c>
      <c r="H156">
        <f t="shared" si="13"/>
        <v>0.37</v>
      </c>
      <c r="I156">
        <f t="shared" si="14"/>
        <v>0</v>
      </c>
      <c r="J156">
        <f t="shared" si="15"/>
        <v>9</v>
      </c>
      <c r="K156">
        <f t="shared" si="16"/>
        <v>178</v>
      </c>
    </row>
    <row r="157" spans="1:11" x14ac:dyDescent="0.3">
      <c r="A157" s="3">
        <v>156</v>
      </c>
      <c r="B157" s="4">
        <v>40550</v>
      </c>
      <c r="C157" s="3">
        <v>18</v>
      </c>
      <c r="D157" s="3">
        <v>5</v>
      </c>
      <c r="E157" s="3">
        <v>0.2</v>
      </c>
      <c r="F157" t="str">
        <f t="shared" si="17"/>
        <v>Fri</v>
      </c>
      <c r="G157">
        <f t="shared" si="12"/>
        <v>0.2273</v>
      </c>
      <c r="H157">
        <f t="shared" si="13"/>
        <v>0.4</v>
      </c>
      <c r="I157">
        <f t="shared" si="14"/>
        <v>8.9599999999999999E-2</v>
      </c>
      <c r="J157">
        <f t="shared" si="15"/>
        <v>7</v>
      </c>
      <c r="K157">
        <f t="shared" si="16"/>
        <v>116</v>
      </c>
    </row>
    <row r="158" spans="1:11" x14ac:dyDescent="0.3">
      <c r="A158" s="3">
        <v>157</v>
      </c>
      <c r="B158" s="4">
        <v>40550</v>
      </c>
      <c r="C158" s="3">
        <v>19</v>
      </c>
      <c r="D158" s="3">
        <v>5</v>
      </c>
      <c r="E158" s="3">
        <v>0.16</v>
      </c>
      <c r="F158" t="str">
        <f t="shared" si="17"/>
        <v>Fri</v>
      </c>
      <c r="G158">
        <f t="shared" si="12"/>
        <v>0.19700000000000001</v>
      </c>
      <c r="H158">
        <f t="shared" si="13"/>
        <v>0.55000000000000004</v>
      </c>
      <c r="I158">
        <f t="shared" si="14"/>
        <v>8.9599999999999999E-2</v>
      </c>
      <c r="J158">
        <f t="shared" si="15"/>
        <v>3</v>
      </c>
      <c r="K158">
        <f t="shared" si="16"/>
        <v>92</v>
      </c>
    </row>
    <row r="159" spans="1:11" x14ac:dyDescent="0.3">
      <c r="A159" s="3">
        <v>158</v>
      </c>
      <c r="B159" s="4">
        <v>40550</v>
      </c>
      <c r="C159" s="3">
        <v>20</v>
      </c>
      <c r="D159" s="3">
        <v>5</v>
      </c>
      <c r="E159" s="3">
        <v>0.18</v>
      </c>
      <c r="F159" t="str">
        <f t="shared" si="17"/>
        <v>Fri</v>
      </c>
      <c r="G159">
        <f t="shared" si="12"/>
        <v>0.21210000000000001</v>
      </c>
      <c r="H159">
        <f t="shared" si="13"/>
        <v>0.47</v>
      </c>
      <c r="I159">
        <f t="shared" si="14"/>
        <v>0.1045</v>
      </c>
      <c r="J159">
        <f t="shared" si="15"/>
        <v>1</v>
      </c>
      <c r="K159">
        <f t="shared" si="16"/>
        <v>50</v>
      </c>
    </row>
    <row r="160" spans="1:11" x14ac:dyDescent="0.3">
      <c r="A160" s="3">
        <v>159</v>
      </c>
      <c r="B160" s="4">
        <v>40550</v>
      </c>
      <c r="C160" s="3">
        <v>21</v>
      </c>
      <c r="D160" s="3">
        <v>5</v>
      </c>
      <c r="E160" s="3">
        <v>0.18</v>
      </c>
      <c r="F160" t="str">
        <f t="shared" si="17"/>
        <v>Fri</v>
      </c>
      <c r="G160">
        <f t="shared" si="12"/>
        <v>0.19700000000000001</v>
      </c>
      <c r="H160">
        <f t="shared" si="13"/>
        <v>0.47</v>
      </c>
      <c r="I160">
        <f t="shared" si="14"/>
        <v>0.1343</v>
      </c>
      <c r="J160">
        <f t="shared" si="15"/>
        <v>0</v>
      </c>
      <c r="K160">
        <f t="shared" si="16"/>
        <v>39</v>
      </c>
    </row>
    <row r="161" spans="1:11" x14ac:dyDescent="0.3">
      <c r="A161" s="3">
        <v>160</v>
      </c>
      <c r="B161" s="4">
        <v>40550</v>
      </c>
      <c r="C161" s="3">
        <v>22</v>
      </c>
      <c r="D161" s="3">
        <v>5</v>
      </c>
      <c r="E161" s="3">
        <v>0.18</v>
      </c>
      <c r="F161" t="str">
        <f t="shared" si="17"/>
        <v>Fri</v>
      </c>
      <c r="G161">
        <f t="shared" si="12"/>
        <v>0.19700000000000001</v>
      </c>
      <c r="H161">
        <f t="shared" si="13"/>
        <v>0.43</v>
      </c>
      <c r="I161">
        <f t="shared" si="14"/>
        <v>0.16420000000000001</v>
      </c>
      <c r="J161">
        <f t="shared" si="15"/>
        <v>2</v>
      </c>
      <c r="K161">
        <f t="shared" si="16"/>
        <v>34</v>
      </c>
    </row>
    <row r="162" spans="1:11" x14ac:dyDescent="0.3">
      <c r="A162" s="3">
        <v>161</v>
      </c>
      <c r="B162" s="4">
        <v>40550</v>
      </c>
      <c r="C162" s="3">
        <v>23</v>
      </c>
      <c r="D162" s="3">
        <v>5</v>
      </c>
      <c r="E162" s="3">
        <v>0.18</v>
      </c>
      <c r="F162" t="str">
        <f t="shared" si="17"/>
        <v>Fri</v>
      </c>
      <c r="G162">
        <f t="shared" si="12"/>
        <v>0.19700000000000001</v>
      </c>
      <c r="H162">
        <f t="shared" si="13"/>
        <v>0.51</v>
      </c>
      <c r="I162">
        <f t="shared" si="14"/>
        <v>0.16420000000000001</v>
      </c>
      <c r="J162">
        <f t="shared" si="15"/>
        <v>1</v>
      </c>
      <c r="K162">
        <f t="shared" si="16"/>
        <v>14</v>
      </c>
    </row>
    <row r="163" spans="1:11" x14ac:dyDescent="0.3">
      <c r="A163" s="3">
        <v>162</v>
      </c>
      <c r="B163" s="4">
        <v>40551</v>
      </c>
      <c r="C163" s="3">
        <v>0</v>
      </c>
      <c r="D163" s="3">
        <v>6</v>
      </c>
      <c r="E163" s="3">
        <v>0.18</v>
      </c>
      <c r="F163" t="str">
        <f t="shared" si="17"/>
        <v>Sat</v>
      </c>
      <c r="G163">
        <f t="shared" si="12"/>
        <v>0.19700000000000001</v>
      </c>
      <c r="H163">
        <f t="shared" si="13"/>
        <v>0.51</v>
      </c>
      <c r="I163">
        <f t="shared" si="14"/>
        <v>0.16420000000000001</v>
      </c>
      <c r="J163">
        <f t="shared" si="15"/>
        <v>1</v>
      </c>
      <c r="K163">
        <f t="shared" si="16"/>
        <v>24</v>
      </c>
    </row>
    <row r="164" spans="1:11" x14ac:dyDescent="0.3">
      <c r="A164" s="3">
        <v>163</v>
      </c>
      <c r="B164" s="4">
        <v>40551</v>
      </c>
      <c r="C164" s="3">
        <v>1</v>
      </c>
      <c r="D164" s="3">
        <v>6</v>
      </c>
      <c r="E164" s="3">
        <v>0.18</v>
      </c>
      <c r="F164" t="str">
        <f t="shared" si="17"/>
        <v>Sat</v>
      </c>
      <c r="G164">
        <f t="shared" si="12"/>
        <v>0.21210000000000001</v>
      </c>
      <c r="H164">
        <f t="shared" si="13"/>
        <v>0.55000000000000004</v>
      </c>
      <c r="I164">
        <f t="shared" si="14"/>
        <v>8.9599999999999999E-2</v>
      </c>
      <c r="J164">
        <f t="shared" si="15"/>
        <v>1</v>
      </c>
      <c r="K164">
        <f t="shared" si="16"/>
        <v>15</v>
      </c>
    </row>
    <row r="165" spans="1:11" x14ac:dyDescent="0.3">
      <c r="A165" s="3">
        <v>164</v>
      </c>
      <c r="B165" s="4">
        <v>40551</v>
      </c>
      <c r="C165" s="3">
        <v>2</v>
      </c>
      <c r="D165" s="3">
        <v>6</v>
      </c>
      <c r="E165" s="3">
        <v>0.18</v>
      </c>
      <c r="F165" t="str">
        <f t="shared" si="17"/>
        <v>Sat</v>
      </c>
      <c r="G165">
        <f t="shared" si="12"/>
        <v>0.2424</v>
      </c>
      <c r="H165">
        <f t="shared" si="13"/>
        <v>0.55000000000000004</v>
      </c>
      <c r="I165">
        <f t="shared" si="14"/>
        <v>0</v>
      </c>
      <c r="J165">
        <f t="shared" si="15"/>
        <v>3</v>
      </c>
      <c r="K165">
        <f t="shared" si="16"/>
        <v>13</v>
      </c>
    </row>
    <row r="166" spans="1:11" x14ac:dyDescent="0.3">
      <c r="A166" s="3">
        <v>165</v>
      </c>
      <c r="B166" s="4">
        <v>40551</v>
      </c>
      <c r="C166" s="3">
        <v>3</v>
      </c>
      <c r="D166" s="3">
        <v>6</v>
      </c>
      <c r="E166" s="3">
        <v>0.18</v>
      </c>
      <c r="F166" t="str">
        <f t="shared" si="17"/>
        <v>Sat</v>
      </c>
      <c r="G166">
        <f t="shared" si="12"/>
        <v>0.19700000000000001</v>
      </c>
      <c r="H166">
        <f t="shared" si="13"/>
        <v>0.55000000000000004</v>
      </c>
      <c r="I166">
        <f t="shared" si="14"/>
        <v>0.16420000000000001</v>
      </c>
      <c r="J166">
        <f t="shared" si="15"/>
        <v>0</v>
      </c>
      <c r="K166">
        <f t="shared" si="16"/>
        <v>7</v>
      </c>
    </row>
    <row r="167" spans="1:11" x14ac:dyDescent="0.3">
      <c r="A167" s="3">
        <v>166</v>
      </c>
      <c r="B167" s="4">
        <v>40551</v>
      </c>
      <c r="C167" s="3">
        <v>4</v>
      </c>
      <c r="D167" s="3">
        <v>6</v>
      </c>
      <c r="E167" s="3">
        <v>0.18</v>
      </c>
      <c r="F167" t="str">
        <f t="shared" si="17"/>
        <v>Sat</v>
      </c>
      <c r="G167">
        <f t="shared" si="12"/>
        <v>0.19700000000000001</v>
      </c>
      <c r="H167">
        <f t="shared" si="13"/>
        <v>0.55000000000000004</v>
      </c>
      <c r="I167">
        <f t="shared" si="14"/>
        <v>0.16420000000000001</v>
      </c>
      <c r="J167">
        <f t="shared" si="15"/>
        <v>0</v>
      </c>
      <c r="K167">
        <f t="shared" si="16"/>
        <v>1</v>
      </c>
    </row>
    <row r="168" spans="1:11" x14ac:dyDescent="0.3">
      <c r="A168" s="3">
        <v>167</v>
      </c>
      <c r="B168" s="4">
        <v>40551</v>
      </c>
      <c r="C168" s="3">
        <v>5</v>
      </c>
      <c r="D168" s="3">
        <v>6</v>
      </c>
      <c r="E168" s="3">
        <v>0.16</v>
      </c>
      <c r="F168" t="str">
        <f t="shared" si="17"/>
        <v>Sat</v>
      </c>
      <c r="G168">
        <f t="shared" si="12"/>
        <v>0.16669999999999999</v>
      </c>
      <c r="H168">
        <f t="shared" si="13"/>
        <v>0.74</v>
      </c>
      <c r="I168">
        <f t="shared" si="14"/>
        <v>0.16420000000000001</v>
      </c>
      <c r="J168">
        <f t="shared" si="15"/>
        <v>0</v>
      </c>
      <c r="K168">
        <f t="shared" si="16"/>
        <v>5</v>
      </c>
    </row>
    <row r="169" spans="1:11" x14ac:dyDescent="0.3">
      <c r="A169" s="3">
        <v>168</v>
      </c>
      <c r="B169" s="4">
        <v>40551</v>
      </c>
      <c r="C169" s="3">
        <v>6</v>
      </c>
      <c r="D169" s="3">
        <v>6</v>
      </c>
      <c r="E169" s="3">
        <v>0.16</v>
      </c>
      <c r="F169" t="str">
        <f t="shared" si="17"/>
        <v>Sat</v>
      </c>
      <c r="G169">
        <f t="shared" si="12"/>
        <v>0.16669999999999999</v>
      </c>
      <c r="H169">
        <f t="shared" si="13"/>
        <v>0.74</v>
      </c>
      <c r="I169">
        <f t="shared" si="14"/>
        <v>0.16420000000000001</v>
      </c>
      <c r="J169">
        <f t="shared" si="15"/>
        <v>0</v>
      </c>
      <c r="K169">
        <f t="shared" si="16"/>
        <v>2</v>
      </c>
    </row>
    <row r="170" spans="1:11" x14ac:dyDescent="0.3">
      <c r="A170" s="3">
        <v>169</v>
      </c>
      <c r="B170" s="4">
        <v>40551</v>
      </c>
      <c r="C170" s="3">
        <v>7</v>
      </c>
      <c r="D170" s="3">
        <v>6</v>
      </c>
      <c r="E170" s="3">
        <v>0.16</v>
      </c>
      <c r="F170" t="str">
        <f t="shared" si="17"/>
        <v>Sat</v>
      </c>
      <c r="G170">
        <f t="shared" si="12"/>
        <v>0.18179999999999999</v>
      </c>
      <c r="H170">
        <f t="shared" si="13"/>
        <v>0.74</v>
      </c>
      <c r="I170">
        <f t="shared" si="14"/>
        <v>0.1045</v>
      </c>
      <c r="J170">
        <f t="shared" si="15"/>
        <v>1</v>
      </c>
      <c r="K170">
        <f t="shared" si="16"/>
        <v>8</v>
      </c>
    </row>
    <row r="171" spans="1:11" x14ac:dyDescent="0.3">
      <c r="A171" s="3">
        <v>170</v>
      </c>
      <c r="B171" s="4">
        <v>40551</v>
      </c>
      <c r="C171" s="3">
        <v>8</v>
      </c>
      <c r="D171" s="3">
        <v>6</v>
      </c>
      <c r="E171" s="3">
        <v>0.16</v>
      </c>
      <c r="F171" t="str">
        <f t="shared" si="17"/>
        <v>Sat</v>
      </c>
      <c r="G171">
        <f t="shared" si="12"/>
        <v>0.18179999999999999</v>
      </c>
      <c r="H171">
        <f t="shared" si="13"/>
        <v>0.93</v>
      </c>
      <c r="I171">
        <f t="shared" si="14"/>
        <v>0.1045</v>
      </c>
      <c r="J171">
        <f t="shared" si="15"/>
        <v>0</v>
      </c>
      <c r="K171">
        <f t="shared" si="16"/>
        <v>15</v>
      </c>
    </row>
    <row r="172" spans="1:11" x14ac:dyDescent="0.3">
      <c r="A172" s="3">
        <v>171</v>
      </c>
      <c r="B172" s="4">
        <v>40551</v>
      </c>
      <c r="C172" s="3">
        <v>9</v>
      </c>
      <c r="D172" s="3">
        <v>6</v>
      </c>
      <c r="E172" s="3">
        <v>0.16</v>
      </c>
      <c r="F172" t="str">
        <f t="shared" si="17"/>
        <v>Sat</v>
      </c>
      <c r="G172">
        <f t="shared" si="12"/>
        <v>0.18179999999999999</v>
      </c>
      <c r="H172">
        <f t="shared" si="13"/>
        <v>0.93</v>
      </c>
      <c r="I172">
        <f t="shared" si="14"/>
        <v>0.1045</v>
      </c>
      <c r="J172">
        <f t="shared" si="15"/>
        <v>0</v>
      </c>
      <c r="K172">
        <f t="shared" si="16"/>
        <v>20</v>
      </c>
    </row>
    <row r="173" spans="1:11" x14ac:dyDescent="0.3">
      <c r="A173" s="3">
        <v>172</v>
      </c>
      <c r="B173" s="4">
        <v>40551</v>
      </c>
      <c r="C173" s="3">
        <v>10</v>
      </c>
      <c r="D173" s="3">
        <v>6</v>
      </c>
      <c r="E173" s="3">
        <v>0.18</v>
      </c>
      <c r="F173" t="str">
        <f t="shared" si="17"/>
        <v>Sat</v>
      </c>
      <c r="G173">
        <f t="shared" si="12"/>
        <v>0.19700000000000001</v>
      </c>
      <c r="H173">
        <f t="shared" si="13"/>
        <v>0.8</v>
      </c>
      <c r="I173">
        <f t="shared" si="14"/>
        <v>0.16420000000000001</v>
      </c>
      <c r="J173">
        <f t="shared" si="15"/>
        <v>5</v>
      </c>
      <c r="K173">
        <f t="shared" si="16"/>
        <v>56</v>
      </c>
    </row>
    <row r="174" spans="1:11" x14ac:dyDescent="0.3">
      <c r="A174" s="3">
        <v>173</v>
      </c>
      <c r="B174" s="4">
        <v>40551</v>
      </c>
      <c r="C174" s="3">
        <v>11</v>
      </c>
      <c r="D174" s="3">
        <v>6</v>
      </c>
      <c r="E174" s="3">
        <v>0.2</v>
      </c>
      <c r="F174" t="str">
        <f t="shared" si="17"/>
        <v>Sat</v>
      </c>
      <c r="G174">
        <f t="shared" si="12"/>
        <v>0.18179999999999999</v>
      </c>
      <c r="H174">
        <f t="shared" si="13"/>
        <v>0.69</v>
      </c>
      <c r="I174">
        <f t="shared" si="14"/>
        <v>0.3881</v>
      </c>
      <c r="J174">
        <f t="shared" si="15"/>
        <v>2</v>
      </c>
      <c r="K174">
        <f t="shared" si="16"/>
        <v>60</v>
      </c>
    </row>
    <row r="175" spans="1:11" x14ac:dyDescent="0.3">
      <c r="A175" s="3">
        <v>174</v>
      </c>
      <c r="B175" s="4">
        <v>40551</v>
      </c>
      <c r="C175" s="3">
        <v>12</v>
      </c>
      <c r="D175" s="3">
        <v>6</v>
      </c>
      <c r="E175" s="3">
        <v>0.2</v>
      </c>
      <c r="F175" t="str">
        <f t="shared" si="17"/>
        <v>Sat</v>
      </c>
      <c r="G175">
        <f t="shared" si="12"/>
        <v>0.18179999999999999</v>
      </c>
      <c r="H175">
        <f t="shared" si="13"/>
        <v>0.59</v>
      </c>
      <c r="I175">
        <f t="shared" si="14"/>
        <v>0.35820000000000002</v>
      </c>
      <c r="J175">
        <f t="shared" si="15"/>
        <v>8</v>
      </c>
      <c r="K175">
        <f t="shared" si="16"/>
        <v>90</v>
      </c>
    </row>
    <row r="176" spans="1:11" x14ac:dyDescent="0.3">
      <c r="A176" s="3">
        <v>175</v>
      </c>
      <c r="B176" s="4">
        <v>40551</v>
      </c>
      <c r="C176" s="3">
        <v>13</v>
      </c>
      <c r="D176" s="3">
        <v>6</v>
      </c>
      <c r="E176" s="3">
        <v>0.2</v>
      </c>
      <c r="F176" t="str">
        <f t="shared" si="17"/>
        <v>Sat</v>
      </c>
      <c r="G176">
        <f t="shared" si="12"/>
        <v>0.18179999999999999</v>
      </c>
      <c r="H176">
        <f t="shared" si="13"/>
        <v>0.44</v>
      </c>
      <c r="I176">
        <f t="shared" si="14"/>
        <v>0.32840000000000003</v>
      </c>
      <c r="J176">
        <f t="shared" si="15"/>
        <v>7</v>
      </c>
      <c r="K176">
        <f t="shared" si="16"/>
        <v>95</v>
      </c>
    </row>
    <row r="177" spans="1:11" x14ac:dyDescent="0.3">
      <c r="A177" s="3">
        <v>176</v>
      </c>
      <c r="B177" s="4">
        <v>40551</v>
      </c>
      <c r="C177" s="3">
        <v>14</v>
      </c>
      <c r="D177" s="3">
        <v>6</v>
      </c>
      <c r="E177" s="3">
        <v>0.2</v>
      </c>
      <c r="F177" t="str">
        <f t="shared" si="17"/>
        <v>Sat</v>
      </c>
      <c r="G177">
        <f t="shared" si="12"/>
        <v>0.16669999999999999</v>
      </c>
      <c r="H177">
        <f t="shared" si="13"/>
        <v>0.32</v>
      </c>
      <c r="I177">
        <f t="shared" si="14"/>
        <v>0.49249999999999999</v>
      </c>
      <c r="J177">
        <f t="shared" si="15"/>
        <v>12</v>
      </c>
      <c r="K177">
        <f t="shared" si="16"/>
        <v>83</v>
      </c>
    </row>
    <row r="178" spans="1:11" x14ac:dyDescent="0.3">
      <c r="A178" s="3">
        <v>177</v>
      </c>
      <c r="B178" s="4">
        <v>40551</v>
      </c>
      <c r="C178" s="3">
        <v>15</v>
      </c>
      <c r="D178" s="3">
        <v>6</v>
      </c>
      <c r="E178" s="3">
        <v>0.2</v>
      </c>
      <c r="F178" t="str">
        <f t="shared" si="17"/>
        <v>Sat</v>
      </c>
      <c r="G178">
        <f t="shared" si="12"/>
        <v>0.16669999999999999</v>
      </c>
      <c r="H178">
        <f t="shared" si="13"/>
        <v>0.32</v>
      </c>
      <c r="I178">
        <f t="shared" si="14"/>
        <v>0.44779999999999998</v>
      </c>
      <c r="J178">
        <f t="shared" si="15"/>
        <v>5</v>
      </c>
      <c r="K178">
        <f t="shared" si="16"/>
        <v>69</v>
      </c>
    </row>
    <row r="179" spans="1:11" x14ac:dyDescent="0.3">
      <c r="A179" s="3">
        <v>178</v>
      </c>
      <c r="B179" s="4">
        <v>40551</v>
      </c>
      <c r="C179" s="3">
        <v>16</v>
      </c>
      <c r="D179" s="3">
        <v>6</v>
      </c>
      <c r="E179" s="3">
        <v>0.18</v>
      </c>
      <c r="F179" t="str">
        <f t="shared" si="17"/>
        <v>Sat</v>
      </c>
      <c r="G179">
        <f t="shared" si="12"/>
        <v>0.13639999999999999</v>
      </c>
      <c r="H179">
        <f t="shared" si="13"/>
        <v>0.28999999999999998</v>
      </c>
      <c r="I179">
        <f t="shared" si="14"/>
        <v>0.44779999999999998</v>
      </c>
      <c r="J179">
        <f t="shared" si="15"/>
        <v>8</v>
      </c>
      <c r="K179">
        <f t="shared" si="16"/>
        <v>68</v>
      </c>
    </row>
    <row r="180" spans="1:11" x14ac:dyDescent="0.3">
      <c r="A180" s="3">
        <v>179</v>
      </c>
      <c r="B180" s="4">
        <v>40551</v>
      </c>
      <c r="C180" s="3">
        <v>17</v>
      </c>
      <c r="D180" s="3">
        <v>6</v>
      </c>
      <c r="E180" s="3">
        <v>0.16</v>
      </c>
      <c r="F180" t="str">
        <f t="shared" si="17"/>
        <v>Sat</v>
      </c>
      <c r="G180">
        <f t="shared" si="12"/>
        <v>0.1212</v>
      </c>
      <c r="H180">
        <f t="shared" si="13"/>
        <v>0.37</v>
      </c>
      <c r="I180">
        <f t="shared" si="14"/>
        <v>0.55220000000000002</v>
      </c>
      <c r="J180">
        <f t="shared" si="15"/>
        <v>5</v>
      </c>
      <c r="K180">
        <f t="shared" si="16"/>
        <v>64</v>
      </c>
    </row>
    <row r="181" spans="1:11" x14ac:dyDescent="0.3">
      <c r="A181" s="3">
        <v>180</v>
      </c>
      <c r="B181" s="4">
        <v>40551</v>
      </c>
      <c r="C181" s="3">
        <v>18</v>
      </c>
      <c r="D181" s="3">
        <v>6</v>
      </c>
      <c r="E181" s="3">
        <v>0.14000000000000001</v>
      </c>
      <c r="F181" t="str">
        <f t="shared" si="17"/>
        <v>Sat</v>
      </c>
      <c r="G181">
        <f t="shared" si="12"/>
        <v>0.1212</v>
      </c>
      <c r="H181">
        <f t="shared" si="13"/>
        <v>0.39</v>
      </c>
      <c r="I181">
        <f t="shared" si="14"/>
        <v>0.29849999999999999</v>
      </c>
      <c r="J181">
        <f t="shared" si="15"/>
        <v>3</v>
      </c>
      <c r="K181">
        <f t="shared" si="16"/>
        <v>52</v>
      </c>
    </row>
    <row r="182" spans="1:11" x14ac:dyDescent="0.3">
      <c r="A182" s="3">
        <v>181</v>
      </c>
      <c r="B182" s="4">
        <v>40551</v>
      </c>
      <c r="C182" s="3">
        <v>19</v>
      </c>
      <c r="D182" s="3">
        <v>6</v>
      </c>
      <c r="E182" s="3">
        <v>0.14000000000000001</v>
      </c>
      <c r="F182" t="str">
        <f t="shared" si="17"/>
        <v>Sat</v>
      </c>
      <c r="G182">
        <f t="shared" si="12"/>
        <v>0.1212</v>
      </c>
      <c r="H182">
        <f t="shared" si="13"/>
        <v>0.36</v>
      </c>
      <c r="I182">
        <f t="shared" si="14"/>
        <v>0.25369999999999998</v>
      </c>
      <c r="J182">
        <f t="shared" si="15"/>
        <v>4</v>
      </c>
      <c r="K182">
        <f t="shared" si="16"/>
        <v>26</v>
      </c>
    </row>
    <row r="183" spans="1:11" x14ac:dyDescent="0.3">
      <c r="A183" s="3">
        <v>182</v>
      </c>
      <c r="B183" s="4">
        <v>40551</v>
      </c>
      <c r="C183" s="3">
        <v>20</v>
      </c>
      <c r="D183" s="3">
        <v>6</v>
      </c>
      <c r="E183" s="3">
        <v>0.12</v>
      </c>
      <c r="F183" t="str">
        <f t="shared" si="17"/>
        <v>Sat</v>
      </c>
      <c r="G183">
        <f t="shared" si="12"/>
        <v>0.1212</v>
      </c>
      <c r="H183">
        <f t="shared" si="13"/>
        <v>0.36</v>
      </c>
      <c r="I183">
        <f t="shared" si="14"/>
        <v>0.25369999999999998</v>
      </c>
      <c r="J183">
        <f t="shared" si="15"/>
        <v>0</v>
      </c>
      <c r="K183">
        <f t="shared" si="16"/>
        <v>28</v>
      </c>
    </row>
    <row r="184" spans="1:11" x14ac:dyDescent="0.3">
      <c r="A184" s="3">
        <v>183</v>
      </c>
      <c r="B184" s="4">
        <v>40551</v>
      </c>
      <c r="C184" s="3">
        <v>21</v>
      </c>
      <c r="D184" s="3">
        <v>6</v>
      </c>
      <c r="E184" s="3">
        <v>0.12</v>
      </c>
      <c r="F184" t="str">
        <f t="shared" si="17"/>
        <v>Sat</v>
      </c>
      <c r="G184">
        <f t="shared" si="12"/>
        <v>0.1061</v>
      </c>
      <c r="H184">
        <f t="shared" si="13"/>
        <v>0.39</v>
      </c>
      <c r="I184">
        <f t="shared" si="14"/>
        <v>0.35820000000000002</v>
      </c>
      <c r="J184">
        <f t="shared" si="15"/>
        <v>2</v>
      </c>
      <c r="K184">
        <f t="shared" si="16"/>
        <v>35</v>
      </c>
    </row>
    <row r="185" spans="1:11" x14ac:dyDescent="0.3">
      <c r="A185" s="3">
        <v>184</v>
      </c>
      <c r="B185" s="4">
        <v>40551</v>
      </c>
      <c r="C185" s="3">
        <v>22</v>
      </c>
      <c r="D185" s="3">
        <v>6</v>
      </c>
      <c r="E185" s="3">
        <v>0.12</v>
      </c>
      <c r="F185" t="str">
        <f t="shared" si="17"/>
        <v>Sat</v>
      </c>
      <c r="G185">
        <f t="shared" si="12"/>
        <v>0.1061</v>
      </c>
      <c r="H185">
        <f t="shared" si="13"/>
        <v>0.36</v>
      </c>
      <c r="I185">
        <f t="shared" si="14"/>
        <v>0.3881</v>
      </c>
      <c r="J185">
        <f t="shared" si="15"/>
        <v>1</v>
      </c>
      <c r="K185">
        <f t="shared" si="16"/>
        <v>33</v>
      </c>
    </row>
    <row r="186" spans="1:11" x14ac:dyDescent="0.3">
      <c r="A186" s="3">
        <v>185</v>
      </c>
      <c r="B186" s="4">
        <v>40551</v>
      </c>
      <c r="C186" s="3">
        <v>23</v>
      </c>
      <c r="D186" s="3">
        <v>6</v>
      </c>
      <c r="E186" s="3">
        <v>0.1</v>
      </c>
      <c r="F186" t="str">
        <f t="shared" si="17"/>
        <v>Sat</v>
      </c>
      <c r="G186">
        <f t="shared" si="12"/>
        <v>6.0600000000000001E-2</v>
      </c>
      <c r="H186">
        <f t="shared" si="13"/>
        <v>0.39</v>
      </c>
      <c r="I186">
        <f t="shared" si="14"/>
        <v>0.44779999999999998</v>
      </c>
      <c r="J186">
        <f t="shared" si="15"/>
        <v>0</v>
      </c>
      <c r="K186">
        <f t="shared" si="16"/>
        <v>22</v>
      </c>
    </row>
    <row r="187" spans="1:11" x14ac:dyDescent="0.3">
      <c r="A187" s="3">
        <v>186</v>
      </c>
      <c r="B187" s="4">
        <v>40552</v>
      </c>
      <c r="C187" s="3">
        <v>0</v>
      </c>
      <c r="D187" s="3">
        <v>0</v>
      </c>
      <c r="E187" s="3">
        <v>0.1</v>
      </c>
      <c r="F187" t="str">
        <f t="shared" si="17"/>
        <v>Sun</v>
      </c>
      <c r="G187">
        <f t="shared" si="12"/>
        <v>7.5800000000000006E-2</v>
      </c>
      <c r="H187">
        <f t="shared" si="13"/>
        <v>0.42</v>
      </c>
      <c r="I187">
        <f t="shared" si="14"/>
        <v>0.3881</v>
      </c>
      <c r="J187">
        <f t="shared" si="15"/>
        <v>1</v>
      </c>
      <c r="K187">
        <f t="shared" si="16"/>
        <v>24</v>
      </c>
    </row>
    <row r="188" spans="1:11" x14ac:dyDescent="0.3">
      <c r="A188" s="3">
        <v>187</v>
      </c>
      <c r="B188" s="4">
        <v>40552</v>
      </c>
      <c r="C188" s="3">
        <v>1</v>
      </c>
      <c r="D188" s="3">
        <v>0</v>
      </c>
      <c r="E188" s="3">
        <v>0.1</v>
      </c>
      <c r="F188" t="str">
        <f t="shared" si="17"/>
        <v>Sun</v>
      </c>
      <c r="G188">
        <f t="shared" si="12"/>
        <v>6.0600000000000001E-2</v>
      </c>
      <c r="H188">
        <f t="shared" si="13"/>
        <v>0.42</v>
      </c>
      <c r="I188">
        <f t="shared" si="14"/>
        <v>0.4627</v>
      </c>
      <c r="J188">
        <f t="shared" si="15"/>
        <v>0</v>
      </c>
      <c r="K188">
        <f t="shared" si="16"/>
        <v>12</v>
      </c>
    </row>
    <row r="189" spans="1:11" x14ac:dyDescent="0.3">
      <c r="A189" s="3">
        <v>188</v>
      </c>
      <c r="B189" s="4">
        <v>40552</v>
      </c>
      <c r="C189" s="3">
        <v>2</v>
      </c>
      <c r="D189" s="3">
        <v>0</v>
      </c>
      <c r="E189" s="3">
        <v>0.1</v>
      </c>
      <c r="F189" t="str">
        <f t="shared" si="17"/>
        <v>Sun</v>
      </c>
      <c r="G189">
        <f t="shared" si="12"/>
        <v>6.0600000000000001E-2</v>
      </c>
      <c r="H189">
        <f t="shared" si="13"/>
        <v>0.46</v>
      </c>
      <c r="I189">
        <f t="shared" si="14"/>
        <v>0.4627</v>
      </c>
      <c r="J189">
        <f t="shared" si="15"/>
        <v>0</v>
      </c>
      <c r="K189">
        <f t="shared" si="16"/>
        <v>11</v>
      </c>
    </row>
    <row r="190" spans="1:11" x14ac:dyDescent="0.3">
      <c r="A190" s="3">
        <v>189</v>
      </c>
      <c r="B190" s="4">
        <v>40552</v>
      </c>
      <c r="C190" s="3">
        <v>3</v>
      </c>
      <c r="D190" s="3">
        <v>0</v>
      </c>
      <c r="E190" s="3">
        <v>0.1</v>
      </c>
      <c r="F190" t="str">
        <f t="shared" si="17"/>
        <v>Sun</v>
      </c>
      <c r="G190">
        <f t="shared" si="12"/>
        <v>7.5800000000000006E-2</v>
      </c>
      <c r="H190">
        <f t="shared" si="13"/>
        <v>0.46</v>
      </c>
      <c r="I190">
        <f t="shared" si="14"/>
        <v>0.41789999999999999</v>
      </c>
      <c r="J190">
        <f t="shared" si="15"/>
        <v>0</v>
      </c>
      <c r="K190">
        <f t="shared" si="16"/>
        <v>4</v>
      </c>
    </row>
    <row r="191" spans="1:11" x14ac:dyDescent="0.3">
      <c r="A191" s="3">
        <v>190</v>
      </c>
      <c r="B191" s="4">
        <v>40552</v>
      </c>
      <c r="C191" s="3">
        <v>4</v>
      </c>
      <c r="D191" s="3">
        <v>0</v>
      </c>
      <c r="E191" s="3">
        <v>0.08</v>
      </c>
      <c r="F191" t="str">
        <f t="shared" si="17"/>
        <v>Sun</v>
      </c>
      <c r="G191">
        <f t="shared" si="12"/>
        <v>9.0899999999999995E-2</v>
      </c>
      <c r="H191">
        <f t="shared" si="13"/>
        <v>0.53</v>
      </c>
      <c r="I191">
        <f t="shared" si="14"/>
        <v>0.19400000000000001</v>
      </c>
      <c r="J191">
        <f t="shared" si="15"/>
        <v>0</v>
      </c>
      <c r="K191">
        <f t="shared" si="16"/>
        <v>1</v>
      </c>
    </row>
    <row r="192" spans="1:11" x14ac:dyDescent="0.3">
      <c r="A192" s="3">
        <v>191</v>
      </c>
      <c r="B192" s="4">
        <v>40552</v>
      </c>
      <c r="C192" s="3">
        <v>5</v>
      </c>
      <c r="D192" s="3">
        <v>0</v>
      </c>
      <c r="E192" s="3">
        <v>0.08</v>
      </c>
      <c r="F192" t="str">
        <f t="shared" si="17"/>
        <v>Sun</v>
      </c>
      <c r="G192">
        <f t="shared" si="12"/>
        <v>9.0899999999999995E-2</v>
      </c>
      <c r="H192">
        <f t="shared" si="13"/>
        <v>0.53</v>
      </c>
      <c r="I192">
        <f t="shared" si="14"/>
        <v>0.19400000000000001</v>
      </c>
      <c r="J192">
        <f t="shared" si="15"/>
        <v>0</v>
      </c>
      <c r="K192">
        <f t="shared" si="16"/>
        <v>1</v>
      </c>
    </row>
    <row r="193" spans="1:11" x14ac:dyDescent="0.3">
      <c r="A193" s="3">
        <v>192</v>
      </c>
      <c r="B193" s="4">
        <v>40552</v>
      </c>
      <c r="C193" s="3">
        <v>6</v>
      </c>
      <c r="D193" s="3">
        <v>0</v>
      </c>
      <c r="E193" s="3">
        <v>0.1</v>
      </c>
      <c r="F193" t="str">
        <f t="shared" si="17"/>
        <v>Sun</v>
      </c>
      <c r="G193">
        <f t="shared" si="12"/>
        <v>9.0899999999999995E-2</v>
      </c>
      <c r="H193">
        <f t="shared" si="13"/>
        <v>0.49</v>
      </c>
      <c r="I193">
        <f t="shared" si="14"/>
        <v>0.28360000000000002</v>
      </c>
      <c r="J193">
        <f t="shared" si="15"/>
        <v>0</v>
      </c>
      <c r="K193">
        <f t="shared" si="16"/>
        <v>1</v>
      </c>
    </row>
    <row r="194" spans="1:11" x14ac:dyDescent="0.3">
      <c r="A194" s="3">
        <v>193</v>
      </c>
      <c r="B194" s="4">
        <v>40552</v>
      </c>
      <c r="C194" s="3">
        <v>7</v>
      </c>
      <c r="D194" s="3">
        <v>0</v>
      </c>
      <c r="E194" s="3">
        <v>0.08</v>
      </c>
      <c r="F194" t="str">
        <f t="shared" si="17"/>
        <v>Sun</v>
      </c>
      <c r="G194">
        <f t="shared" ref="G194:G257" si="18">VLOOKUP($A194,instantc,3,FALSE)</f>
        <v>9.0899999999999995E-2</v>
      </c>
      <c r="H194">
        <f t="shared" ref="H194:H257" si="19">VLOOKUP($A194,instantc,4,FALSE)</f>
        <v>0.53</v>
      </c>
      <c r="I194">
        <f t="shared" ref="I194:I257" si="20">VLOOKUP($A194,instantc,5,FALSE)</f>
        <v>0.19400000000000001</v>
      </c>
      <c r="J194">
        <f t="shared" ref="J194:J257" si="21">VLOOKUP($A194,instantc,6,FALSE)</f>
        <v>1</v>
      </c>
      <c r="K194">
        <f t="shared" ref="K194:K257" si="22">VLOOKUP($A194,instantc,7,FALSE)</f>
        <v>5</v>
      </c>
    </row>
    <row r="195" spans="1:11" x14ac:dyDescent="0.3">
      <c r="A195" s="3">
        <v>194</v>
      </c>
      <c r="B195" s="4">
        <v>40552</v>
      </c>
      <c r="C195" s="3">
        <v>8</v>
      </c>
      <c r="D195" s="3">
        <v>0</v>
      </c>
      <c r="E195" s="3">
        <v>0.1</v>
      </c>
      <c r="F195" t="str">
        <f t="shared" ref="F195:F258" si="23">TEXT(B195,"ddd")</f>
        <v>Sun</v>
      </c>
      <c r="G195">
        <f t="shared" si="18"/>
        <v>9.0899999999999995E-2</v>
      </c>
      <c r="H195">
        <f t="shared" si="19"/>
        <v>0.49</v>
      </c>
      <c r="I195">
        <f t="shared" si="20"/>
        <v>0.28360000000000002</v>
      </c>
      <c r="J195">
        <f t="shared" si="21"/>
        <v>0</v>
      </c>
      <c r="K195">
        <f t="shared" si="22"/>
        <v>10</v>
      </c>
    </row>
    <row r="196" spans="1:11" x14ac:dyDescent="0.3">
      <c r="A196" s="3">
        <v>195</v>
      </c>
      <c r="B196" s="4">
        <v>40552</v>
      </c>
      <c r="C196" s="3">
        <v>9</v>
      </c>
      <c r="D196" s="3">
        <v>0</v>
      </c>
      <c r="E196" s="3">
        <v>0.12</v>
      </c>
      <c r="F196" t="str">
        <f t="shared" si="23"/>
        <v>Sun</v>
      </c>
      <c r="G196">
        <f t="shared" si="18"/>
        <v>7.5800000000000006E-2</v>
      </c>
      <c r="H196">
        <f t="shared" si="19"/>
        <v>0.46</v>
      </c>
      <c r="I196">
        <f t="shared" si="20"/>
        <v>0.52239999999999998</v>
      </c>
      <c r="J196">
        <f t="shared" si="21"/>
        <v>0</v>
      </c>
      <c r="K196">
        <f t="shared" si="22"/>
        <v>19</v>
      </c>
    </row>
    <row r="197" spans="1:11" x14ac:dyDescent="0.3">
      <c r="A197" s="3">
        <v>196</v>
      </c>
      <c r="B197" s="4">
        <v>40552</v>
      </c>
      <c r="C197" s="3">
        <v>10</v>
      </c>
      <c r="D197" s="3">
        <v>0</v>
      </c>
      <c r="E197" s="3">
        <v>0.14000000000000001</v>
      </c>
      <c r="F197" t="str">
        <f t="shared" si="23"/>
        <v>Sun</v>
      </c>
      <c r="G197">
        <f t="shared" si="18"/>
        <v>0.1061</v>
      </c>
      <c r="H197">
        <f t="shared" si="19"/>
        <v>0.43</v>
      </c>
      <c r="I197">
        <f t="shared" si="20"/>
        <v>0.3881</v>
      </c>
      <c r="J197">
        <f t="shared" si="21"/>
        <v>0</v>
      </c>
      <c r="K197">
        <f t="shared" si="22"/>
        <v>49</v>
      </c>
    </row>
    <row r="198" spans="1:11" x14ac:dyDescent="0.3">
      <c r="A198" s="3">
        <v>197</v>
      </c>
      <c r="B198" s="4">
        <v>40552</v>
      </c>
      <c r="C198" s="3">
        <v>11</v>
      </c>
      <c r="D198" s="3">
        <v>0</v>
      </c>
      <c r="E198" s="3">
        <v>0.16</v>
      </c>
      <c r="F198" t="str">
        <f t="shared" si="23"/>
        <v>Sun</v>
      </c>
      <c r="G198">
        <f t="shared" si="18"/>
        <v>0.1212</v>
      </c>
      <c r="H198">
        <f t="shared" si="19"/>
        <v>0.4</v>
      </c>
      <c r="I198">
        <f t="shared" si="20"/>
        <v>0.52239999999999998</v>
      </c>
      <c r="J198">
        <f t="shared" si="21"/>
        <v>2</v>
      </c>
      <c r="K198">
        <f t="shared" si="22"/>
        <v>47</v>
      </c>
    </row>
    <row r="199" spans="1:11" x14ac:dyDescent="0.3">
      <c r="A199" s="3">
        <v>198</v>
      </c>
      <c r="B199" s="4">
        <v>40552</v>
      </c>
      <c r="C199" s="3">
        <v>12</v>
      </c>
      <c r="D199" s="3">
        <v>0</v>
      </c>
      <c r="E199" s="3">
        <v>0.18</v>
      </c>
      <c r="F199" t="str">
        <f t="shared" si="23"/>
        <v>Sun</v>
      </c>
      <c r="G199">
        <f t="shared" si="18"/>
        <v>0.13639999999999999</v>
      </c>
      <c r="H199">
        <f t="shared" si="19"/>
        <v>0.37</v>
      </c>
      <c r="I199">
        <f t="shared" si="20"/>
        <v>0.44779999999999998</v>
      </c>
      <c r="J199">
        <f t="shared" si="21"/>
        <v>4</v>
      </c>
      <c r="K199">
        <f t="shared" si="22"/>
        <v>79</v>
      </c>
    </row>
    <row r="200" spans="1:11" x14ac:dyDescent="0.3">
      <c r="A200" s="3">
        <v>199</v>
      </c>
      <c r="B200" s="4">
        <v>40552</v>
      </c>
      <c r="C200" s="3">
        <v>13</v>
      </c>
      <c r="D200" s="3">
        <v>0</v>
      </c>
      <c r="E200" s="3">
        <v>0.2</v>
      </c>
      <c r="F200" t="str">
        <f t="shared" si="23"/>
        <v>Sun</v>
      </c>
      <c r="G200">
        <f t="shared" si="18"/>
        <v>0.16669999999999999</v>
      </c>
      <c r="H200">
        <f t="shared" si="19"/>
        <v>0.34</v>
      </c>
      <c r="I200">
        <f t="shared" si="20"/>
        <v>0.44779999999999998</v>
      </c>
      <c r="J200">
        <f t="shared" si="21"/>
        <v>6</v>
      </c>
      <c r="K200">
        <f t="shared" si="22"/>
        <v>69</v>
      </c>
    </row>
    <row r="201" spans="1:11" x14ac:dyDescent="0.3">
      <c r="A201" s="3">
        <v>200</v>
      </c>
      <c r="B201" s="4">
        <v>40552</v>
      </c>
      <c r="C201" s="3">
        <v>14</v>
      </c>
      <c r="D201" s="3">
        <v>0</v>
      </c>
      <c r="E201" s="3">
        <v>0.22</v>
      </c>
      <c r="F201" t="str">
        <f t="shared" si="23"/>
        <v>Sun</v>
      </c>
      <c r="G201">
        <f t="shared" si="18"/>
        <v>0.18179999999999999</v>
      </c>
      <c r="H201">
        <f t="shared" si="19"/>
        <v>0.32</v>
      </c>
      <c r="I201">
        <f t="shared" si="20"/>
        <v>0.4627</v>
      </c>
      <c r="J201">
        <f t="shared" si="21"/>
        <v>8</v>
      </c>
      <c r="K201">
        <f t="shared" si="22"/>
        <v>64</v>
      </c>
    </row>
    <row r="202" spans="1:11" x14ac:dyDescent="0.3">
      <c r="A202" s="3">
        <v>201</v>
      </c>
      <c r="B202" s="4">
        <v>40552</v>
      </c>
      <c r="C202" s="3">
        <v>15</v>
      </c>
      <c r="D202" s="3">
        <v>0</v>
      </c>
      <c r="E202" s="3">
        <v>0.22</v>
      </c>
      <c r="F202" t="str">
        <f t="shared" si="23"/>
        <v>Sun</v>
      </c>
      <c r="G202">
        <f t="shared" si="18"/>
        <v>0.19700000000000001</v>
      </c>
      <c r="H202">
        <f t="shared" si="19"/>
        <v>0.35</v>
      </c>
      <c r="I202">
        <f t="shared" si="20"/>
        <v>0.35820000000000002</v>
      </c>
      <c r="J202">
        <f t="shared" si="21"/>
        <v>5</v>
      </c>
      <c r="K202">
        <f t="shared" si="22"/>
        <v>77</v>
      </c>
    </row>
    <row r="203" spans="1:11" x14ac:dyDescent="0.3">
      <c r="A203" s="3">
        <v>202</v>
      </c>
      <c r="B203" s="4">
        <v>40552</v>
      </c>
      <c r="C203" s="3">
        <v>16</v>
      </c>
      <c r="D203" s="3">
        <v>0</v>
      </c>
      <c r="E203" s="3">
        <v>0.2</v>
      </c>
      <c r="F203" t="str">
        <f t="shared" si="23"/>
        <v>Sun</v>
      </c>
      <c r="G203">
        <f t="shared" si="18"/>
        <v>0.16669999999999999</v>
      </c>
      <c r="H203">
        <f t="shared" si="19"/>
        <v>0.34</v>
      </c>
      <c r="I203">
        <f t="shared" si="20"/>
        <v>0.44779999999999998</v>
      </c>
      <c r="J203">
        <f t="shared" si="21"/>
        <v>13</v>
      </c>
      <c r="K203">
        <f t="shared" si="22"/>
        <v>79</v>
      </c>
    </row>
    <row r="204" spans="1:11" x14ac:dyDescent="0.3">
      <c r="A204" s="3">
        <v>203</v>
      </c>
      <c r="B204" s="4">
        <v>40552</v>
      </c>
      <c r="C204" s="3">
        <v>17</v>
      </c>
      <c r="D204" s="3">
        <v>0</v>
      </c>
      <c r="E204" s="3">
        <v>0.18</v>
      </c>
      <c r="F204" t="str">
        <f t="shared" si="23"/>
        <v>Sun</v>
      </c>
      <c r="G204">
        <f t="shared" si="18"/>
        <v>0.1515</v>
      </c>
      <c r="H204">
        <f t="shared" si="19"/>
        <v>0.37</v>
      </c>
      <c r="I204">
        <f t="shared" si="20"/>
        <v>0.3881</v>
      </c>
      <c r="J204">
        <f t="shared" si="21"/>
        <v>3</v>
      </c>
      <c r="K204">
        <f t="shared" si="22"/>
        <v>59</v>
      </c>
    </row>
    <row r="205" spans="1:11" x14ac:dyDescent="0.3">
      <c r="A205" s="3">
        <v>204</v>
      </c>
      <c r="B205" s="4">
        <v>40552</v>
      </c>
      <c r="C205" s="3">
        <v>18</v>
      </c>
      <c r="D205" s="3">
        <v>0</v>
      </c>
      <c r="E205" s="3">
        <v>0.16</v>
      </c>
      <c r="F205" t="str">
        <f t="shared" si="23"/>
        <v>Sun</v>
      </c>
      <c r="G205">
        <f t="shared" si="18"/>
        <v>0.13639999999999999</v>
      </c>
      <c r="H205">
        <f t="shared" si="19"/>
        <v>0.4</v>
      </c>
      <c r="I205">
        <f t="shared" si="20"/>
        <v>0.32840000000000003</v>
      </c>
      <c r="J205">
        <f t="shared" si="21"/>
        <v>4</v>
      </c>
      <c r="K205">
        <f t="shared" si="22"/>
        <v>44</v>
      </c>
    </row>
    <row r="206" spans="1:11" x14ac:dyDescent="0.3">
      <c r="A206" s="3">
        <v>205</v>
      </c>
      <c r="B206" s="4">
        <v>40552</v>
      </c>
      <c r="C206" s="3">
        <v>19</v>
      </c>
      <c r="D206" s="3">
        <v>0</v>
      </c>
      <c r="E206" s="3">
        <v>0.16</v>
      </c>
      <c r="F206" t="str">
        <f t="shared" si="23"/>
        <v>Sun</v>
      </c>
      <c r="G206">
        <f t="shared" si="18"/>
        <v>0.13639999999999999</v>
      </c>
      <c r="H206">
        <f t="shared" si="19"/>
        <v>0.43</v>
      </c>
      <c r="I206">
        <f t="shared" si="20"/>
        <v>0.32840000000000003</v>
      </c>
      <c r="J206">
        <f t="shared" si="21"/>
        <v>1</v>
      </c>
      <c r="K206">
        <f t="shared" si="22"/>
        <v>40</v>
      </c>
    </row>
    <row r="207" spans="1:11" x14ac:dyDescent="0.3">
      <c r="A207" s="3">
        <v>206</v>
      </c>
      <c r="B207" s="4">
        <v>40552</v>
      </c>
      <c r="C207" s="3">
        <v>20</v>
      </c>
      <c r="D207" s="3">
        <v>0</v>
      </c>
      <c r="E207" s="3">
        <v>0.14000000000000001</v>
      </c>
      <c r="F207" t="str">
        <f t="shared" si="23"/>
        <v>Sun</v>
      </c>
      <c r="G207">
        <f t="shared" si="18"/>
        <v>0.1212</v>
      </c>
      <c r="H207">
        <f t="shared" si="19"/>
        <v>0.46</v>
      </c>
      <c r="I207">
        <f t="shared" si="20"/>
        <v>0.25369999999999998</v>
      </c>
      <c r="J207">
        <f t="shared" si="21"/>
        <v>0</v>
      </c>
      <c r="K207">
        <f t="shared" si="22"/>
        <v>38</v>
      </c>
    </row>
    <row r="208" spans="1:11" x14ac:dyDescent="0.3">
      <c r="A208" s="3">
        <v>207</v>
      </c>
      <c r="B208" s="4">
        <v>40552</v>
      </c>
      <c r="C208" s="3">
        <v>21</v>
      </c>
      <c r="D208" s="3">
        <v>0</v>
      </c>
      <c r="E208" s="3">
        <v>0.14000000000000001</v>
      </c>
      <c r="F208" t="str">
        <f t="shared" si="23"/>
        <v>Sun</v>
      </c>
      <c r="G208">
        <f t="shared" si="18"/>
        <v>0.1061</v>
      </c>
      <c r="H208">
        <f t="shared" si="19"/>
        <v>0.46</v>
      </c>
      <c r="I208">
        <f t="shared" si="20"/>
        <v>0.41789999999999999</v>
      </c>
      <c r="J208">
        <f t="shared" si="21"/>
        <v>1</v>
      </c>
      <c r="K208">
        <f t="shared" si="22"/>
        <v>19</v>
      </c>
    </row>
    <row r="209" spans="1:11" x14ac:dyDescent="0.3">
      <c r="A209" s="3">
        <v>208</v>
      </c>
      <c r="B209" s="4">
        <v>40552</v>
      </c>
      <c r="C209" s="3">
        <v>22</v>
      </c>
      <c r="D209" s="3">
        <v>0</v>
      </c>
      <c r="E209" s="3">
        <v>0.14000000000000001</v>
      </c>
      <c r="F209" t="str">
        <f t="shared" si="23"/>
        <v>Sun</v>
      </c>
      <c r="G209">
        <f t="shared" si="18"/>
        <v>0.1212</v>
      </c>
      <c r="H209">
        <f t="shared" si="19"/>
        <v>0.46</v>
      </c>
      <c r="I209">
        <f t="shared" si="20"/>
        <v>0.29849999999999999</v>
      </c>
      <c r="J209">
        <f t="shared" si="21"/>
        <v>5</v>
      </c>
      <c r="K209">
        <f t="shared" si="22"/>
        <v>10</v>
      </c>
    </row>
    <row r="210" spans="1:11" x14ac:dyDescent="0.3">
      <c r="A210" s="3">
        <v>209</v>
      </c>
      <c r="B210" s="4">
        <v>40552</v>
      </c>
      <c r="C210" s="3">
        <v>23</v>
      </c>
      <c r="D210" s="3">
        <v>0</v>
      </c>
      <c r="E210" s="3">
        <v>0.12</v>
      </c>
      <c r="F210" t="str">
        <f t="shared" si="23"/>
        <v>Sun</v>
      </c>
      <c r="G210">
        <f t="shared" si="18"/>
        <v>0.13639999999999999</v>
      </c>
      <c r="H210">
        <f t="shared" si="19"/>
        <v>0.5</v>
      </c>
      <c r="I210">
        <f t="shared" si="20"/>
        <v>0.19400000000000001</v>
      </c>
      <c r="J210">
        <f t="shared" si="21"/>
        <v>0</v>
      </c>
      <c r="K210">
        <f t="shared" si="22"/>
        <v>6</v>
      </c>
    </row>
    <row r="211" spans="1:11" x14ac:dyDescent="0.3">
      <c r="A211" s="3">
        <v>210</v>
      </c>
      <c r="B211" s="4">
        <v>40553</v>
      </c>
      <c r="C211" s="3">
        <v>0</v>
      </c>
      <c r="D211" s="3">
        <v>1</v>
      </c>
      <c r="E211" s="3">
        <v>0.12</v>
      </c>
      <c r="F211" t="str">
        <f t="shared" si="23"/>
        <v>Mon</v>
      </c>
      <c r="G211">
        <f t="shared" si="18"/>
        <v>0.1212</v>
      </c>
      <c r="H211">
        <f t="shared" si="19"/>
        <v>0.5</v>
      </c>
      <c r="I211">
        <f t="shared" si="20"/>
        <v>0.28360000000000002</v>
      </c>
      <c r="J211">
        <f t="shared" si="21"/>
        <v>2</v>
      </c>
      <c r="K211">
        <f t="shared" si="22"/>
        <v>3</v>
      </c>
    </row>
    <row r="212" spans="1:11" x14ac:dyDescent="0.3">
      <c r="A212" s="3">
        <v>211</v>
      </c>
      <c r="B212" s="4">
        <v>40553</v>
      </c>
      <c r="C212" s="3">
        <v>1</v>
      </c>
      <c r="D212" s="3">
        <v>1</v>
      </c>
      <c r="E212" s="3">
        <v>0.12</v>
      </c>
      <c r="F212" t="str">
        <f t="shared" si="23"/>
        <v>Mon</v>
      </c>
      <c r="G212">
        <f t="shared" si="18"/>
        <v>0.1212</v>
      </c>
      <c r="H212">
        <f t="shared" si="19"/>
        <v>0.5</v>
      </c>
      <c r="I212">
        <f t="shared" si="20"/>
        <v>0.28360000000000002</v>
      </c>
      <c r="J212">
        <f t="shared" si="21"/>
        <v>1</v>
      </c>
      <c r="K212">
        <f t="shared" si="22"/>
        <v>0</v>
      </c>
    </row>
    <row r="213" spans="1:11" x14ac:dyDescent="0.3">
      <c r="A213" s="3">
        <v>212</v>
      </c>
      <c r="B213" s="4">
        <v>40553</v>
      </c>
      <c r="C213" s="3">
        <v>2</v>
      </c>
      <c r="D213" s="3">
        <v>1</v>
      </c>
      <c r="E213" s="3">
        <v>0.12</v>
      </c>
      <c r="F213" t="str">
        <f t="shared" si="23"/>
        <v>Mon</v>
      </c>
      <c r="G213">
        <f t="shared" si="18"/>
        <v>0.1212</v>
      </c>
      <c r="H213">
        <f t="shared" si="19"/>
        <v>0.5</v>
      </c>
      <c r="I213">
        <f t="shared" si="20"/>
        <v>0.22389999999999999</v>
      </c>
      <c r="J213">
        <f t="shared" si="21"/>
        <v>0</v>
      </c>
      <c r="K213">
        <f t="shared" si="22"/>
        <v>3</v>
      </c>
    </row>
    <row r="214" spans="1:11" x14ac:dyDescent="0.3">
      <c r="A214" s="3">
        <v>213</v>
      </c>
      <c r="B214" s="4">
        <v>40553</v>
      </c>
      <c r="C214" s="3">
        <v>3</v>
      </c>
      <c r="D214" s="3">
        <v>1</v>
      </c>
      <c r="E214" s="3">
        <v>0.12</v>
      </c>
      <c r="F214" t="str">
        <f t="shared" si="23"/>
        <v>Mon</v>
      </c>
      <c r="G214">
        <f t="shared" si="18"/>
        <v>0.1212</v>
      </c>
      <c r="H214">
        <f t="shared" si="19"/>
        <v>0.5</v>
      </c>
      <c r="I214">
        <f t="shared" si="20"/>
        <v>0.22389999999999999</v>
      </c>
      <c r="J214">
        <f t="shared" si="21"/>
        <v>0</v>
      </c>
      <c r="K214">
        <f t="shared" si="22"/>
        <v>1</v>
      </c>
    </row>
    <row r="215" spans="1:11" x14ac:dyDescent="0.3">
      <c r="A215" s="3">
        <v>214</v>
      </c>
      <c r="B215" s="4">
        <v>40553</v>
      </c>
      <c r="C215" s="3">
        <v>4</v>
      </c>
      <c r="D215" s="3">
        <v>1</v>
      </c>
      <c r="E215" s="3">
        <v>0.1</v>
      </c>
      <c r="F215" t="str">
        <f t="shared" si="23"/>
        <v>Mon</v>
      </c>
      <c r="G215">
        <f t="shared" si="18"/>
        <v>0.1212</v>
      </c>
      <c r="H215">
        <f t="shared" si="19"/>
        <v>0.54</v>
      </c>
      <c r="I215">
        <f t="shared" si="20"/>
        <v>0.1343</v>
      </c>
      <c r="J215">
        <f t="shared" si="21"/>
        <v>1</v>
      </c>
      <c r="K215">
        <f t="shared" si="22"/>
        <v>2</v>
      </c>
    </row>
    <row r="216" spans="1:11" x14ac:dyDescent="0.3">
      <c r="A216" s="3">
        <v>215</v>
      </c>
      <c r="B216" s="4">
        <v>40553</v>
      </c>
      <c r="C216" s="3">
        <v>5</v>
      </c>
      <c r="D216" s="3">
        <v>1</v>
      </c>
      <c r="E216" s="3">
        <v>0.1</v>
      </c>
      <c r="F216" t="str">
        <f t="shared" si="23"/>
        <v>Mon</v>
      </c>
      <c r="G216">
        <f t="shared" si="18"/>
        <v>0.1061</v>
      </c>
      <c r="H216">
        <f t="shared" si="19"/>
        <v>0.54</v>
      </c>
      <c r="I216">
        <f t="shared" si="20"/>
        <v>0.25369999999999998</v>
      </c>
      <c r="J216">
        <f t="shared" si="21"/>
        <v>0</v>
      </c>
      <c r="K216">
        <f t="shared" si="22"/>
        <v>3</v>
      </c>
    </row>
    <row r="217" spans="1:11" x14ac:dyDescent="0.3">
      <c r="A217" s="3">
        <v>216</v>
      </c>
      <c r="B217" s="4">
        <v>40553</v>
      </c>
      <c r="C217" s="3">
        <v>6</v>
      </c>
      <c r="D217" s="3">
        <v>1</v>
      </c>
      <c r="E217" s="3">
        <v>0.12</v>
      </c>
      <c r="F217" t="str">
        <f t="shared" si="23"/>
        <v>Mon</v>
      </c>
      <c r="G217">
        <f t="shared" si="18"/>
        <v>0.1212</v>
      </c>
      <c r="H217">
        <f t="shared" si="19"/>
        <v>0.5</v>
      </c>
      <c r="I217">
        <f t="shared" si="20"/>
        <v>0.28360000000000002</v>
      </c>
      <c r="J217">
        <f t="shared" si="21"/>
        <v>0</v>
      </c>
      <c r="K217">
        <f t="shared" si="22"/>
        <v>31</v>
      </c>
    </row>
    <row r="218" spans="1:11" x14ac:dyDescent="0.3">
      <c r="A218" s="3">
        <v>217</v>
      </c>
      <c r="B218" s="4">
        <v>40553</v>
      </c>
      <c r="C218" s="3">
        <v>7</v>
      </c>
      <c r="D218" s="3">
        <v>1</v>
      </c>
      <c r="E218" s="3">
        <v>0.12</v>
      </c>
      <c r="F218" t="str">
        <f t="shared" si="23"/>
        <v>Mon</v>
      </c>
      <c r="G218">
        <f t="shared" si="18"/>
        <v>0.1212</v>
      </c>
      <c r="H218">
        <f t="shared" si="19"/>
        <v>0.5</v>
      </c>
      <c r="I218">
        <f t="shared" si="20"/>
        <v>0.22389999999999999</v>
      </c>
      <c r="J218">
        <f t="shared" si="21"/>
        <v>2</v>
      </c>
      <c r="K218">
        <f t="shared" si="22"/>
        <v>75</v>
      </c>
    </row>
    <row r="219" spans="1:11" x14ac:dyDescent="0.3">
      <c r="A219" s="3">
        <v>218</v>
      </c>
      <c r="B219" s="4">
        <v>40553</v>
      </c>
      <c r="C219" s="3">
        <v>8</v>
      </c>
      <c r="D219" s="3">
        <v>1</v>
      </c>
      <c r="E219" s="3">
        <v>0.12</v>
      </c>
      <c r="F219" t="str">
        <f t="shared" si="23"/>
        <v>Mon</v>
      </c>
      <c r="G219">
        <f t="shared" si="18"/>
        <v>0.1212</v>
      </c>
      <c r="H219">
        <f t="shared" si="19"/>
        <v>0.5</v>
      </c>
      <c r="I219">
        <f t="shared" si="20"/>
        <v>0.28360000000000002</v>
      </c>
      <c r="J219">
        <f t="shared" si="21"/>
        <v>4</v>
      </c>
      <c r="K219">
        <f t="shared" si="22"/>
        <v>184</v>
      </c>
    </row>
    <row r="220" spans="1:11" x14ac:dyDescent="0.3">
      <c r="A220" s="3">
        <v>219</v>
      </c>
      <c r="B220" s="4">
        <v>40553</v>
      </c>
      <c r="C220" s="3">
        <v>9</v>
      </c>
      <c r="D220" s="3">
        <v>1</v>
      </c>
      <c r="E220" s="3">
        <v>0.14000000000000001</v>
      </c>
      <c r="F220" t="str">
        <f t="shared" si="23"/>
        <v>Mon</v>
      </c>
      <c r="G220">
        <f t="shared" si="18"/>
        <v>0.1212</v>
      </c>
      <c r="H220">
        <f t="shared" si="19"/>
        <v>0.5</v>
      </c>
      <c r="I220">
        <f t="shared" si="20"/>
        <v>0.25369999999999998</v>
      </c>
      <c r="J220">
        <f t="shared" si="21"/>
        <v>2</v>
      </c>
      <c r="K220">
        <f t="shared" si="22"/>
        <v>92</v>
      </c>
    </row>
    <row r="221" spans="1:11" x14ac:dyDescent="0.3">
      <c r="A221" s="3">
        <v>220</v>
      </c>
      <c r="B221" s="4">
        <v>40553</v>
      </c>
      <c r="C221" s="3">
        <v>10</v>
      </c>
      <c r="D221" s="3">
        <v>1</v>
      </c>
      <c r="E221" s="3">
        <v>0.14000000000000001</v>
      </c>
      <c r="F221" t="str">
        <f t="shared" si="23"/>
        <v>Mon</v>
      </c>
      <c r="G221">
        <f t="shared" si="18"/>
        <v>0.1212</v>
      </c>
      <c r="H221">
        <f t="shared" si="19"/>
        <v>0.5</v>
      </c>
      <c r="I221">
        <f t="shared" si="20"/>
        <v>0.29849999999999999</v>
      </c>
      <c r="J221">
        <f t="shared" si="21"/>
        <v>0</v>
      </c>
      <c r="K221">
        <f t="shared" si="22"/>
        <v>31</v>
      </c>
    </row>
    <row r="222" spans="1:11" x14ac:dyDescent="0.3">
      <c r="A222" s="3">
        <v>221</v>
      </c>
      <c r="B222" s="4">
        <v>40553</v>
      </c>
      <c r="C222" s="3">
        <v>11</v>
      </c>
      <c r="D222" s="3">
        <v>1</v>
      </c>
      <c r="E222" s="3">
        <v>0.16</v>
      </c>
      <c r="F222" t="str">
        <f t="shared" si="23"/>
        <v>Mon</v>
      </c>
      <c r="G222">
        <f t="shared" si="18"/>
        <v>0.13639999999999999</v>
      </c>
      <c r="H222">
        <f t="shared" si="19"/>
        <v>0.47</v>
      </c>
      <c r="I222">
        <f t="shared" si="20"/>
        <v>0.28360000000000002</v>
      </c>
      <c r="J222">
        <f t="shared" si="21"/>
        <v>2</v>
      </c>
      <c r="K222">
        <f t="shared" si="22"/>
        <v>28</v>
      </c>
    </row>
    <row r="223" spans="1:11" x14ac:dyDescent="0.3">
      <c r="A223" s="3">
        <v>222</v>
      </c>
      <c r="B223" s="4">
        <v>40553</v>
      </c>
      <c r="C223" s="3">
        <v>12</v>
      </c>
      <c r="D223" s="3">
        <v>1</v>
      </c>
      <c r="E223" s="3">
        <v>0.2</v>
      </c>
      <c r="F223" t="str">
        <f t="shared" si="23"/>
        <v>Mon</v>
      </c>
      <c r="G223">
        <f t="shared" si="18"/>
        <v>0.18179999999999999</v>
      </c>
      <c r="H223">
        <f t="shared" si="19"/>
        <v>0.4</v>
      </c>
      <c r="I223">
        <f t="shared" si="20"/>
        <v>0.28360000000000002</v>
      </c>
      <c r="J223">
        <f t="shared" si="21"/>
        <v>5</v>
      </c>
      <c r="K223">
        <f t="shared" si="22"/>
        <v>47</v>
      </c>
    </row>
    <row r="224" spans="1:11" x14ac:dyDescent="0.3">
      <c r="A224" s="3">
        <v>223</v>
      </c>
      <c r="B224" s="4">
        <v>40553</v>
      </c>
      <c r="C224" s="3">
        <v>13</v>
      </c>
      <c r="D224" s="3">
        <v>1</v>
      </c>
      <c r="E224" s="3">
        <v>0.2</v>
      </c>
      <c r="F224" t="str">
        <f t="shared" si="23"/>
        <v>Mon</v>
      </c>
      <c r="G224">
        <f t="shared" si="18"/>
        <v>0.18179999999999999</v>
      </c>
      <c r="H224">
        <f t="shared" si="19"/>
        <v>0.4</v>
      </c>
      <c r="I224">
        <f t="shared" si="20"/>
        <v>0.28360000000000002</v>
      </c>
      <c r="J224">
        <f t="shared" si="21"/>
        <v>4</v>
      </c>
      <c r="K224">
        <f t="shared" si="22"/>
        <v>50</v>
      </c>
    </row>
    <row r="225" spans="1:11" x14ac:dyDescent="0.3">
      <c r="A225" s="3">
        <v>224</v>
      </c>
      <c r="B225" s="4">
        <v>40553</v>
      </c>
      <c r="C225" s="3">
        <v>14</v>
      </c>
      <c r="D225" s="3">
        <v>1</v>
      </c>
      <c r="E225" s="3">
        <v>0.2</v>
      </c>
      <c r="F225" t="str">
        <f t="shared" si="23"/>
        <v>Mon</v>
      </c>
      <c r="G225">
        <f t="shared" si="18"/>
        <v>0.19700000000000001</v>
      </c>
      <c r="H225">
        <f t="shared" si="19"/>
        <v>0.4</v>
      </c>
      <c r="I225">
        <f t="shared" si="20"/>
        <v>0.22389999999999999</v>
      </c>
      <c r="J225">
        <f t="shared" si="21"/>
        <v>0</v>
      </c>
      <c r="K225">
        <f t="shared" si="22"/>
        <v>47</v>
      </c>
    </row>
    <row r="226" spans="1:11" x14ac:dyDescent="0.3">
      <c r="A226" s="3">
        <v>225</v>
      </c>
      <c r="B226" s="4">
        <v>40553</v>
      </c>
      <c r="C226" s="3">
        <v>15</v>
      </c>
      <c r="D226" s="3">
        <v>1</v>
      </c>
      <c r="E226" s="3">
        <v>0.2</v>
      </c>
      <c r="F226" t="str">
        <f t="shared" si="23"/>
        <v>Mon</v>
      </c>
      <c r="G226">
        <f t="shared" si="18"/>
        <v>0.19700000000000001</v>
      </c>
      <c r="H226">
        <f t="shared" si="19"/>
        <v>0.4</v>
      </c>
      <c r="I226">
        <f t="shared" si="20"/>
        <v>0.22389999999999999</v>
      </c>
      <c r="J226">
        <f t="shared" si="21"/>
        <v>2</v>
      </c>
      <c r="K226">
        <f t="shared" si="22"/>
        <v>43</v>
      </c>
    </row>
    <row r="227" spans="1:11" x14ac:dyDescent="0.3">
      <c r="A227" s="3">
        <v>226</v>
      </c>
      <c r="B227" s="4">
        <v>40553</v>
      </c>
      <c r="C227" s="3">
        <v>16</v>
      </c>
      <c r="D227" s="3">
        <v>1</v>
      </c>
      <c r="E227" s="3">
        <v>0.2</v>
      </c>
      <c r="F227" t="str">
        <f t="shared" si="23"/>
        <v>Mon</v>
      </c>
      <c r="G227">
        <f t="shared" si="18"/>
        <v>0.21210000000000001</v>
      </c>
      <c r="H227">
        <f t="shared" si="19"/>
        <v>0.4</v>
      </c>
      <c r="I227">
        <f t="shared" si="20"/>
        <v>0.1343</v>
      </c>
      <c r="J227">
        <f t="shared" si="21"/>
        <v>4</v>
      </c>
      <c r="K227">
        <f t="shared" si="22"/>
        <v>70</v>
      </c>
    </row>
    <row r="228" spans="1:11" x14ac:dyDescent="0.3">
      <c r="A228" s="3">
        <v>227</v>
      </c>
      <c r="B228" s="4">
        <v>40553</v>
      </c>
      <c r="C228" s="3">
        <v>17</v>
      </c>
      <c r="D228" s="3">
        <v>1</v>
      </c>
      <c r="E228" s="3">
        <v>0.2</v>
      </c>
      <c r="F228" t="str">
        <f t="shared" si="23"/>
        <v>Mon</v>
      </c>
      <c r="G228">
        <f t="shared" si="18"/>
        <v>0.2273</v>
      </c>
      <c r="H228">
        <f t="shared" si="19"/>
        <v>0.4</v>
      </c>
      <c r="I228">
        <f t="shared" si="20"/>
        <v>0.1045</v>
      </c>
      <c r="J228">
        <f t="shared" si="21"/>
        <v>4</v>
      </c>
      <c r="K228">
        <f t="shared" si="22"/>
        <v>174</v>
      </c>
    </row>
    <row r="229" spans="1:11" x14ac:dyDescent="0.3">
      <c r="A229" s="3">
        <v>228</v>
      </c>
      <c r="B229" s="4">
        <v>40553</v>
      </c>
      <c r="C229" s="3">
        <v>18</v>
      </c>
      <c r="D229" s="3">
        <v>1</v>
      </c>
      <c r="E229" s="3">
        <v>0.2</v>
      </c>
      <c r="F229" t="str">
        <f t="shared" si="23"/>
        <v>Mon</v>
      </c>
      <c r="G229">
        <f t="shared" si="18"/>
        <v>0.19700000000000001</v>
      </c>
      <c r="H229">
        <f t="shared" si="19"/>
        <v>0.4</v>
      </c>
      <c r="I229">
        <f t="shared" si="20"/>
        <v>0.22389999999999999</v>
      </c>
      <c r="J229">
        <f t="shared" si="21"/>
        <v>1</v>
      </c>
      <c r="K229">
        <f t="shared" si="22"/>
        <v>154</v>
      </c>
    </row>
    <row r="230" spans="1:11" x14ac:dyDescent="0.3">
      <c r="A230" s="3">
        <v>229</v>
      </c>
      <c r="B230" s="4">
        <v>40553</v>
      </c>
      <c r="C230" s="3">
        <v>19</v>
      </c>
      <c r="D230" s="3">
        <v>1</v>
      </c>
      <c r="E230" s="3">
        <v>0.16</v>
      </c>
      <c r="F230" t="str">
        <f t="shared" si="23"/>
        <v>Mon</v>
      </c>
      <c r="G230">
        <f t="shared" si="18"/>
        <v>0.16669999999999999</v>
      </c>
      <c r="H230">
        <f t="shared" si="19"/>
        <v>0.47</v>
      </c>
      <c r="I230">
        <f t="shared" si="20"/>
        <v>0.16420000000000001</v>
      </c>
      <c r="J230">
        <f t="shared" si="21"/>
        <v>3</v>
      </c>
      <c r="K230">
        <f t="shared" si="22"/>
        <v>92</v>
      </c>
    </row>
    <row r="231" spans="1:11" x14ac:dyDescent="0.3">
      <c r="A231" s="3">
        <v>230</v>
      </c>
      <c r="B231" s="4">
        <v>40553</v>
      </c>
      <c r="C231" s="3">
        <v>20</v>
      </c>
      <c r="D231" s="3">
        <v>1</v>
      </c>
      <c r="E231" s="3">
        <v>0.16</v>
      </c>
      <c r="F231" t="str">
        <f t="shared" si="23"/>
        <v>Mon</v>
      </c>
      <c r="G231">
        <f t="shared" si="18"/>
        <v>0.16669999999999999</v>
      </c>
      <c r="H231">
        <f t="shared" si="19"/>
        <v>0.5</v>
      </c>
      <c r="I231">
        <f t="shared" si="20"/>
        <v>0.16420000000000001</v>
      </c>
      <c r="J231">
        <f t="shared" si="21"/>
        <v>1</v>
      </c>
      <c r="K231">
        <f t="shared" si="22"/>
        <v>73</v>
      </c>
    </row>
    <row r="232" spans="1:11" x14ac:dyDescent="0.3">
      <c r="A232" s="3">
        <v>231</v>
      </c>
      <c r="B232" s="4">
        <v>40553</v>
      </c>
      <c r="C232" s="3">
        <v>21</v>
      </c>
      <c r="D232" s="3">
        <v>1</v>
      </c>
      <c r="E232" s="3">
        <v>0.14000000000000001</v>
      </c>
      <c r="F232" t="str">
        <f t="shared" si="23"/>
        <v>Mon</v>
      </c>
      <c r="G232">
        <f t="shared" si="18"/>
        <v>0.13639999999999999</v>
      </c>
      <c r="H232">
        <f t="shared" si="19"/>
        <v>0.59</v>
      </c>
      <c r="I232">
        <f t="shared" si="20"/>
        <v>0.19400000000000001</v>
      </c>
      <c r="J232">
        <f t="shared" si="21"/>
        <v>1</v>
      </c>
      <c r="K232">
        <f t="shared" si="22"/>
        <v>37</v>
      </c>
    </row>
    <row r="233" spans="1:11" x14ac:dyDescent="0.3">
      <c r="A233" s="3">
        <v>232</v>
      </c>
      <c r="B233" s="4">
        <v>40553</v>
      </c>
      <c r="C233" s="3">
        <v>22</v>
      </c>
      <c r="D233" s="3">
        <v>1</v>
      </c>
      <c r="E233" s="3">
        <v>0.14000000000000001</v>
      </c>
      <c r="F233" t="str">
        <f t="shared" si="23"/>
        <v>Mon</v>
      </c>
      <c r="G233">
        <f t="shared" si="18"/>
        <v>0.1515</v>
      </c>
      <c r="H233">
        <f t="shared" si="19"/>
        <v>0.59</v>
      </c>
      <c r="I233">
        <f t="shared" si="20"/>
        <v>0.16420000000000001</v>
      </c>
      <c r="J233">
        <f t="shared" si="21"/>
        <v>2</v>
      </c>
      <c r="K233">
        <f t="shared" si="22"/>
        <v>22</v>
      </c>
    </row>
    <row r="234" spans="1:11" x14ac:dyDescent="0.3">
      <c r="A234" s="3">
        <v>233</v>
      </c>
      <c r="B234" s="4">
        <v>40553</v>
      </c>
      <c r="C234" s="3">
        <v>23</v>
      </c>
      <c r="D234" s="3">
        <v>1</v>
      </c>
      <c r="E234" s="3">
        <v>0.14000000000000001</v>
      </c>
      <c r="F234" t="str">
        <f t="shared" si="23"/>
        <v>Mon</v>
      </c>
      <c r="G234">
        <f t="shared" si="18"/>
        <v>0.1515</v>
      </c>
      <c r="H234">
        <f t="shared" si="19"/>
        <v>0.59</v>
      </c>
      <c r="I234">
        <f t="shared" si="20"/>
        <v>0.16420000000000001</v>
      </c>
      <c r="J234">
        <f t="shared" si="21"/>
        <v>0</v>
      </c>
      <c r="K234">
        <f t="shared" si="22"/>
        <v>18</v>
      </c>
    </row>
    <row r="235" spans="1:11" x14ac:dyDescent="0.3">
      <c r="A235" s="3">
        <v>234</v>
      </c>
      <c r="B235" s="4">
        <v>40554</v>
      </c>
      <c r="C235" s="3">
        <v>0</v>
      </c>
      <c r="D235" s="3">
        <v>2</v>
      </c>
      <c r="E235" s="3">
        <v>0.14000000000000001</v>
      </c>
      <c r="F235" t="str">
        <f t="shared" si="23"/>
        <v>Tue</v>
      </c>
      <c r="G235">
        <f t="shared" si="18"/>
        <v>0.16669999999999999</v>
      </c>
      <c r="H235">
        <f t="shared" si="19"/>
        <v>0.59</v>
      </c>
      <c r="I235">
        <f t="shared" si="20"/>
        <v>0.1045</v>
      </c>
      <c r="J235">
        <f t="shared" si="21"/>
        <v>2</v>
      </c>
      <c r="K235">
        <f t="shared" si="22"/>
        <v>10</v>
      </c>
    </row>
    <row r="236" spans="1:11" x14ac:dyDescent="0.3">
      <c r="A236" s="3">
        <v>235</v>
      </c>
      <c r="B236" s="4">
        <v>40554</v>
      </c>
      <c r="C236" s="3">
        <v>1</v>
      </c>
      <c r="D236" s="3">
        <v>2</v>
      </c>
      <c r="E236" s="3">
        <v>0.14000000000000001</v>
      </c>
      <c r="F236" t="str">
        <f t="shared" si="23"/>
        <v>Tue</v>
      </c>
      <c r="G236">
        <f t="shared" si="18"/>
        <v>0.1515</v>
      </c>
      <c r="H236">
        <f t="shared" si="19"/>
        <v>0.59</v>
      </c>
      <c r="I236">
        <f t="shared" si="20"/>
        <v>0.16420000000000001</v>
      </c>
      <c r="J236">
        <f t="shared" si="21"/>
        <v>0</v>
      </c>
      <c r="K236">
        <f t="shared" si="22"/>
        <v>3</v>
      </c>
    </row>
    <row r="237" spans="1:11" x14ac:dyDescent="0.3">
      <c r="A237" s="3">
        <v>236</v>
      </c>
      <c r="B237" s="4">
        <v>40554</v>
      </c>
      <c r="C237" s="3">
        <v>2</v>
      </c>
      <c r="D237" s="3">
        <v>2</v>
      </c>
      <c r="E237" s="3">
        <v>0.16</v>
      </c>
      <c r="F237" t="str">
        <f t="shared" si="23"/>
        <v>Tue</v>
      </c>
      <c r="G237">
        <f t="shared" si="18"/>
        <v>0.1515</v>
      </c>
      <c r="H237">
        <f t="shared" si="19"/>
        <v>0.55000000000000004</v>
      </c>
      <c r="I237">
        <f t="shared" si="20"/>
        <v>0.19400000000000001</v>
      </c>
      <c r="J237">
        <f t="shared" si="21"/>
        <v>0</v>
      </c>
      <c r="K237">
        <f t="shared" si="22"/>
        <v>3</v>
      </c>
    </row>
    <row r="238" spans="1:11" x14ac:dyDescent="0.3">
      <c r="A238" s="3">
        <v>237</v>
      </c>
      <c r="B238" s="4">
        <v>40554</v>
      </c>
      <c r="C238" s="3">
        <v>5</v>
      </c>
      <c r="D238" s="3">
        <v>2</v>
      </c>
      <c r="E238" s="3">
        <v>0.16</v>
      </c>
      <c r="F238" t="str">
        <f t="shared" si="23"/>
        <v>Tue</v>
      </c>
      <c r="G238">
        <f t="shared" si="18"/>
        <v>0.18179999999999999</v>
      </c>
      <c r="H238">
        <f t="shared" si="19"/>
        <v>0.55000000000000004</v>
      </c>
      <c r="I238">
        <f t="shared" si="20"/>
        <v>0.1343</v>
      </c>
      <c r="J238">
        <f t="shared" si="21"/>
        <v>0</v>
      </c>
      <c r="K238">
        <f t="shared" si="22"/>
        <v>6</v>
      </c>
    </row>
    <row r="239" spans="1:11" x14ac:dyDescent="0.3">
      <c r="A239" s="3">
        <v>238</v>
      </c>
      <c r="B239" s="4">
        <v>40554</v>
      </c>
      <c r="C239" s="3">
        <v>6</v>
      </c>
      <c r="D239" s="3">
        <v>2</v>
      </c>
      <c r="E239" s="3">
        <v>0.16</v>
      </c>
      <c r="F239" t="str">
        <f t="shared" si="23"/>
        <v>Tue</v>
      </c>
      <c r="G239">
        <f t="shared" si="18"/>
        <v>0.18179999999999999</v>
      </c>
      <c r="H239">
        <f t="shared" si="19"/>
        <v>0.55000000000000004</v>
      </c>
      <c r="I239">
        <f t="shared" si="20"/>
        <v>0.1343</v>
      </c>
      <c r="J239">
        <f t="shared" si="21"/>
        <v>0</v>
      </c>
      <c r="K239">
        <f t="shared" si="22"/>
        <v>27</v>
      </c>
    </row>
    <row r="240" spans="1:11" x14ac:dyDescent="0.3">
      <c r="A240" s="3">
        <v>239</v>
      </c>
      <c r="B240" s="4">
        <v>40554</v>
      </c>
      <c r="C240" s="3">
        <v>7</v>
      </c>
      <c r="D240" s="3">
        <v>2</v>
      </c>
      <c r="E240" s="3">
        <v>0.16</v>
      </c>
      <c r="F240" t="str">
        <f t="shared" si="23"/>
        <v>Tue</v>
      </c>
      <c r="G240">
        <f t="shared" si="18"/>
        <v>0.2273</v>
      </c>
      <c r="H240">
        <f t="shared" si="19"/>
        <v>0.55000000000000004</v>
      </c>
      <c r="I240">
        <f t="shared" si="20"/>
        <v>0</v>
      </c>
      <c r="J240">
        <f t="shared" si="21"/>
        <v>2</v>
      </c>
      <c r="K240">
        <f t="shared" si="22"/>
        <v>97</v>
      </c>
    </row>
    <row r="241" spans="1:11" x14ac:dyDescent="0.3">
      <c r="A241" s="3">
        <v>240</v>
      </c>
      <c r="B241" s="4">
        <v>40554</v>
      </c>
      <c r="C241" s="3">
        <v>8</v>
      </c>
      <c r="D241" s="3">
        <v>2</v>
      </c>
      <c r="E241" s="3">
        <v>0.18</v>
      </c>
      <c r="F241" t="str">
        <f t="shared" si="23"/>
        <v>Tue</v>
      </c>
      <c r="G241">
        <f t="shared" si="18"/>
        <v>0.21210000000000001</v>
      </c>
      <c r="H241">
        <f t="shared" si="19"/>
        <v>0.51</v>
      </c>
      <c r="I241">
        <f t="shared" si="20"/>
        <v>8.9599999999999999E-2</v>
      </c>
      <c r="J241">
        <f t="shared" si="21"/>
        <v>3</v>
      </c>
      <c r="K241">
        <f t="shared" si="22"/>
        <v>214</v>
      </c>
    </row>
    <row r="242" spans="1:11" x14ac:dyDescent="0.3">
      <c r="A242" s="3">
        <v>241</v>
      </c>
      <c r="B242" s="4">
        <v>40554</v>
      </c>
      <c r="C242" s="3">
        <v>9</v>
      </c>
      <c r="D242" s="3">
        <v>2</v>
      </c>
      <c r="E242" s="3">
        <v>0.18</v>
      </c>
      <c r="F242" t="str">
        <f t="shared" si="23"/>
        <v>Tue</v>
      </c>
      <c r="G242">
        <f t="shared" si="18"/>
        <v>0.19700000000000001</v>
      </c>
      <c r="H242">
        <f t="shared" si="19"/>
        <v>0.51</v>
      </c>
      <c r="I242">
        <f t="shared" si="20"/>
        <v>0.16420000000000001</v>
      </c>
      <c r="J242">
        <f t="shared" si="21"/>
        <v>3</v>
      </c>
      <c r="K242">
        <f t="shared" si="22"/>
        <v>127</v>
      </c>
    </row>
    <row r="243" spans="1:11" x14ac:dyDescent="0.3">
      <c r="A243" s="3">
        <v>242</v>
      </c>
      <c r="B243" s="4">
        <v>40554</v>
      </c>
      <c r="C243" s="3">
        <v>10</v>
      </c>
      <c r="D243" s="3">
        <v>2</v>
      </c>
      <c r="E243" s="3">
        <v>0.2</v>
      </c>
      <c r="F243" t="str">
        <f t="shared" si="23"/>
        <v>Tue</v>
      </c>
      <c r="G243">
        <f t="shared" si="18"/>
        <v>0.21210000000000001</v>
      </c>
      <c r="H243">
        <f t="shared" si="19"/>
        <v>0.51</v>
      </c>
      <c r="I243">
        <f t="shared" si="20"/>
        <v>0.16420000000000001</v>
      </c>
      <c r="J243">
        <f t="shared" si="21"/>
        <v>3</v>
      </c>
      <c r="K243">
        <f t="shared" si="22"/>
        <v>51</v>
      </c>
    </row>
    <row r="244" spans="1:11" x14ac:dyDescent="0.3">
      <c r="A244" s="3">
        <v>243</v>
      </c>
      <c r="B244" s="4">
        <v>40554</v>
      </c>
      <c r="C244" s="3">
        <v>11</v>
      </c>
      <c r="D244" s="3">
        <v>2</v>
      </c>
      <c r="E244" s="3">
        <v>0.2</v>
      </c>
      <c r="F244" t="str">
        <f t="shared" si="23"/>
        <v>Tue</v>
      </c>
      <c r="G244">
        <f t="shared" si="18"/>
        <v>0.21210000000000001</v>
      </c>
      <c r="H244">
        <f t="shared" si="19"/>
        <v>0.47</v>
      </c>
      <c r="I244">
        <f t="shared" si="20"/>
        <v>0.1343</v>
      </c>
      <c r="J244">
        <f t="shared" si="21"/>
        <v>4</v>
      </c>
      <c r="K244">
        <f t="shared" si="22"/>
        <v>31</v>
      </c>
    </row>
    <row r="245" spans="1:11" x14ac:dyDescent="0.3">
      <c r="A245" s="3">
        <v>244</v>
      </c>
      <c r="B245" s="4">
        <v>40554</v>
      </c>
      <c r="C245" s="3">
        <v>12</v>
      </c>
      <c r="D245" s="3">
        <v>2</v>
      </c>
      <c r="E245" s="3">
        <v>0.2</v>
      </c>
      <c r="F245" t="str">
        <f t="shared" si="23"/>
        <v>Tue</v>
      </c>
      <c r="G245">
        <f t="shared" si="18"/>
        <v>0.2273</v>
      </c>
      <c r="H245">
        <f t="shared" si="19"/>
        <v>0.51</v>
      </c>
      <c r="I245">
        <f t="shared" si="20"/>
        <v>0.1045</v>
      </c>
      <c r="J245">
        <f t="shared" si="21"/>
        <v>2</v>
      </c>
      <c r="K245">
        <f t="shared" si="22"/>
        <v>55</v>
      </c>
    </row>
    <row r="246" spans="1:11" x14ac:dyDescent="0.3">
      <c r="A246" s="3">
        <v>245</v>
      </c>
      <c r="B246" s="4">
        <v>40554</v>
      </c>
      <c r="C246" s="3">
        <v>13</v>
      </c>
      <c r="D246" s="3">
        <v>2</v>
      </c>
      <c r="E246" s="3">
        <v>0.2</v>
      </c>
      <c r="F246" t="str">
        <f t="shared" si="23"/>
        <v>Tue</v>
      </c>
      <c r="G246">
        <f t="shared" si="18"/>
        <v>0.2273</v>
      </c>
      <c r="H246">
        <f t="shared" si="19"/>
        <v>0.59</v>
      </c>
      <c r="I246">
        <f t="shared" si="20"/>
        <v>8.9599999999999999E-2</v>
      </c>
      <c r="J246">
        <f t="shared" si="21"/>
        <v>6</v>
      </c>
      <c r="K246">
        <f t="shared" si="22"/>
        <v>46</v>
      </c>
    </row>
    <row r="247" spans="1:11" x14ac:dyDescent="0.3">
      <c r="A247" s="3">
        <v>246</v>
      </c>
      <c r="B247" s="4">
        <v>40554</v>
      </c>
      <c r="C247" s="3">
        <v>14</v>
      </c>
      <c r="D247" s="3">
        <v>2</v>
      </c>
      <c r="E247" s="3">
        <v>0.2</v>
      </c>
      <c r="F247" t="str">
        <f t="shared" si="23"/>
        <v>Tue</v>
      </c>
      <c r="G247">
        <f t="shared" si="18"/>
        <v>0.2273</v>
      </c>
      <c r="H247">
        <f t="shared" si="19"/>
        <v>0.59</v>
      </c>
      <c r="I247">
        <f t="shared" si="20"/>
        <v>8.9599999999999999E-2</v>
      </c>
      <c r="J247">
        <f t="shared" si="21"/>
        <v>3</v>
      </c>
      <c r="K247">
        <f t="shared" si="22"/>
        <v>60</v>
      </c>
    </row>
    <row r="248" spans="1:11" x14ac:dyDescent="0.3">
      <c r="A248" s="3">
        <v>247</v>
      </c>
      <c r="B248" s="4">
        <v>40554</v>
      </c>
      <c r="C248" s="3">
        <v>15</v>
      </c>
      <c r="D248" s="3">
        <v>2</v>
      </c>
      <c r="E248" s="3">
        <v>0.16</v>
      </c>
      <c r="F248" t="str">
        <f t="shared" si="23"/>
        <v>Tue</v>
      </c>
      <c r="G248">
        <f t="shared" si="18"/>
        <v>0.19700000000000001</v>
      </c>
      <c r="H248">
        <f t="shared" si="19"/>
        <v>0.8</v>
      </c>
      <c r="I248">
        <f t="shared" si="20"/>
        <v>8.9599999999999999E-2</v>
      </c>
      <c r="J248">
        <f t="shared" si="21"/>
        <v>2</v>
      </c>
      <c r="K248">
        <f t="shared" si="22"/>
        <v>45</v>
      </c>
    </row>
    <row r="249" spans="1:11" x14ac:dyDescent="0.3">
      <c r="A249" s="3">
        <v>248</v>
      </c>
      <c r="B249" s="4">
        <v>40554</v>
      </c>
      <c r="C249" s="3">
        <v>16</v>
      </c>
      <c r="D249" s="3">
        <v>2</v>
      </c>
      <c r="E249" s="3">
        <v>0.16</v>
      </c>
      <c r="F249" t="str">
        <f t="shared" si="23"/>
        <v>Tue</v>
      </c>
      <c r="G249">
        <f t="shared" si="18"/>
        <v>0.1515</v>
      </c>
      <c r="H249">
        <f t="shared" si="19"/>
        <v>0.86</v>
      </c>
      <c r="I249">
        <f t="shared" si="20"/>
        <v>0.22389999999999999</v>
      </c>
      <c r="J249">
        <f t="shared" si="21"/>
        <v>4</v>
      </c>
      <c r="K249">
        <f t="shared" si="22"/>
        <v>72</v>
      </c>
    </row>
    <row r="250" spans="1:11" x14ac:dyDescent="0.3">
      <c r="A250" s="3">
        <v>249</v>
      </c>
      <c r="B250" s="4">
        <v>40554</v>
      </c>
      <c r="C250" s="3">
        <v>17</v>
      </c>
      <c r="D250" s="3">
        <v>2</v>
      </c>
      <c r="E250" s="3">
        <v>0.16</v>
      </c>
      <c r="F250" t="str">
        <f t="shared" si="23"/>
        <v>Tue</v>
      </c>
      <c r="G250">
        <f t="shared" si="18"/>
        <v>0.1515</v>
      </c>
      <c r="H250">
        <f t="shared" si="19"/>
        <v>0.86</v>
      </c>
      <c r="I250">
        <f t="shared" si="20"/>
        <v>0.22389999999999999</v>
      </c>
      <c r="J250">
        <f t="shared" si="21"/>
        <v>6</v>
      </c>
      <c r="K250">
        <f t="shared" si="22"/>
        <v>130</v>
      </c>
    </row>
    <row r="251" spans="1:11" x14ac:dyDescent="0.3">
      <c r="A251" s="3">
        <v>250</v>
      </c>
      <c r="B251" s="4">
        <v>40554</v>
      </c>
      <c r="C251" s="3">
        <v>18</v>
      </c>
      <c r="D251" s="3">
        <v>2</v>
      </c>
      <c r="E251" s="3">
        <v>0.16</v>
      </c>
      <c r="F251" t="str">
        <f t="shared" si="23"/>
        <v>Tue</v>
      </c>
      <c r="G251">
        <f t="shared" si="18"/>
        <v>0.18179999999999999</v>
      </c>
      <c r="H251">
        <f t="shared" si="19"/>
        <v>0.93</v>
      </c>
      <c r="I251">
        <f t="shared" si="20"/>
        <v>0.1045</v>
      </c>
      <c r="J251">
        <f t="shared" si="21"/>
        <v>1</v>
      </c>
      <c r="K251">
        <f t="shared" si="22"/>
        <v>94</v>
      </c>
    </row>
    <row r="252" spans="1:11" x14ac:dyDescent="0.3">
      <c r="A252" s="3">
        <v>251</v>
      </c>
      <c r="B252" s="4">
        <v>40554</v>
      </c>
      <c r="C252" s="3">
        <v>19</v>
      </c>
      <c r="D252" s="3">
        <v>2</v>
      </c>
      <c r="E252" s="3">
        <v>0.16</v>
      </c>
      <c r="F252" t="str">
        <f t="shared" si="23"/>
        <v>Tue</v>
      </c>
      <c r="G252">
        <f t="shared" si="18"/>
        <v>0.2273</v>
      </c>
      <c r="H252">
        <f t="shared" si="19"/>
        <v>0.93</v>
      </c>
      <c r="I252">
        <f t="shared" si="20"/>
        <v>0</v>
      </c>
      <c r="J252">
        <f t="shared" si="21"/>
        <v>0</v>
      </c>
      <c r="K252">
        <f t="shared" si="22"/>
        <v>51</v>
      </c>
    </row>
    <row r="253" spans="1:11" x14ac:dyDescent="0.3">
      <c r="A253" s="3">
        <v>252</v>
      </c>
      <c r="B253" s="4">
        <v>40554</v>
      </c>
      <c r="C253" s="3">
        <v>20</v>
      </c>
      <c r="D253" s="3">
        <v>2</v>
      </c>
      <c r="E253" s="3">
        <v>0.16</v>
      </c>
      <c r="F253" t="str">
        <f t="shared" si="23"/>
        <v>Tue</v>
      </c>
      <c r="G253">
        <f t="shared" si="18"/>
        <v>0.1515</v>
      </c>
      <c r="H253">
        <f t="shared" si="19"/>
        <v>0.93</v>
      </c>
      <c r="I253">
        <f t="shared" si="20"/>
        <v>0.19400000000000001</v>
      </c>
      <c r="J253">
        <f t="shared" si="21"/>
        <v>0</v>
      </c>
      <c r="K253">
        <f t="shared" si="22"/>
        <v>32</v>
      </c>
    </row>
    <row r="254" spans="1:11" x14ac:dyDescent="0.3">
      <c r="A254" s="3">
        <v>253</v>
      </c>
      <c r="B254" s="4">
        <v>40554</v>
      </c>
      <c r="C254" s="3">
        <v>21</v>
      </c>
      <c r="D254" s="3">
        <v>2</v>
      </c>
      <c r="E254" s="3">
        <v>0.16</v>
      </c>
      <c r="F254" t="str">
        <f t="shared" si="23"/>
        <v>Tue</v>
      </c>
      <c r="G254">
        <f t="shared" si="18"/>
        <v>0.19700000000000001</v>
      </c>
      <c r="H254">
        <f t="shared" si="19"/>
        <v>0.86</v>
      </c>
      <c r="I254">
        <f t="shared" si="20"/>
        <v>8.9599999999999999E-2</v>
      </c>
      <c r="J254">
        <f t="shared" si="21"/>
        <v>0</v>
      </c>
      <c r="K254">
        <f t="shared" si="22"/>
        <v>20</v>
      </c>
    </row>
    <row r="255" spans="1:11" x14ac:dyDescent="0.3">
      <c r="A255" s="3">
        <v>254</v>
      </c>
      <c r="B255" s="4">
        <v>40554</v>
      </c>
      <c r="C255" s="3">
        <v>22</v>
      </c>
      <c r="D255" s="3">
        <v>2</v>
      </c>
      <c r="E255" s="3">
        <v>0.16</v>
      </c>
      <c r="F255" t="str">
        <f t="shared" si="23"/>
        <v>Tue</v>
      </c>
      <c r="G255">
        <f t="shared" si="18"/>
        <v>0.18179999999999999</v>
      </c>
      <c r="H255">
        <f t="shared" si="19"/>
        <v>0.93</v>
      </c>
      <c r="I255">
        <f t="shared" si="20"/>
        <v>0.1045</v>
      </c>
      <c r="J255">
        <f t="shared" si="21"/>
        <v>1</v>
      </c>
      <c r="K255">
        <f t="shared" si="22"/>
        <v>28</v>
      </c>
    </row>
    <row r="256" spans="1:11" x14ac:dyDescent="0.3">
      <c r="A256" s="3">
        <v>255</v>
      </c>
      <c r="B256" s="4">
        <v>40554</v>
      </c>
      <c r="C256" s="3">
        <v>23</v>
      </c>
      <c r="D256" s="3">
        <v>2</v>
      </c>
      <c r="E256" s="3">
        <v>0.16</v>
      </c>
      <c r="F256" t="str">
        <f t="shared" si="23"/>
        <v>Tue</v>
      </c>
      <c r="G256">
        <f t="shared" si="18"/>
        <v>0.19700000000000001</v>
      </c>
      <c r="H256">
        <f t="shared" si="19"/>
        <v>0.93</v>
      </c>
      <c r="I256">
        <f t="shared" si="20"/>
        <v>8.9599999999999999E-2</v>
      </c>
      <c r="J256">
        <f t="shared" si="21"/>
        <v>1</v>
      </c>
      <c r="K256">
        <f t="shared" si="22"/>
        <v>18</v>
      </c>
    </row>
    <row r="257" spans="1:11" x14ac:dyDescent="0.3">
      <c r="A257" s="3">
        <v>256</v>
      </c>
      <c r="B257" s="4">
        <v>40555</v>
      </c>
      <c r="C257" s="3">
        <v>0</v>
      </c>
      <c r="D257" s="3">
        <v>3</v>
      </c>
      <c r="E257" s="3">
        <v>0.16</v>
      </c>
      <c r="F257" t="str">
        <f t="shared" si="23"/>
        <v>Wed</v>
      </c>
      <c r="G257">
        <f t="shared" si="18"/>
        <v>0.19700000000000001</v>
      </c>
      <c r="H257">
        <f t="shared" si="19"/>
        <v>0.86</v>
      </c>
      <c r="I257">
        <f t="shared" si="20"/>
        <v>8.9599999999999999E-2</v>
      </c>
      <c r="J257">
        <f t="shared" si="21"/>
        <v>0</v>
      </c>
      <c r="K257">
        <f t="shared" si="22"/>
        <v>7</v>
      </c>
    </row>
    <row r="258" spans="1:11" x14ac:dyDescent="0.3">
      <c r="A258" s="3">
        <v>257</v>
      </c>
      <c r="B258" s="4">
        <v>40555</v>
      </c>
      <c r="C258" s="3">
        <v>1</v>
      </c>
      <c r="D258" s="3">
        <v>3</v>
      </c>
      <c r="E258" s="3">
        <v>0.16</v>
      </c>
      <c r="F258" t="str">
        <f t="shared" si="23"/>
        <v>Wed</v>
      </c>
      <c r="G258">
        <f t="shared" ref="G258:G321" si="24">VLOOKUP($A258,instantc,3,FALSE)</f>
        <v>0.18179999999999999</v>
      </c>
      <c r="H258">
        <f t="shared" ref="H258:H321" si="25">VLOOKUP($A258,instantc,4,FALSE)</f>
        <v>0.86</v>
      </c>
      <c r="I258">
        <f t="shared" ref="I258:I321" si="26">VLOOKUP($A258,instantc,5,FALSE)</f>
        <v>0.1045</v>
      </c>
      <c r="J258">
        <f t="shared" ref="J258:J321" si="27">VLOOKUP($A258,instantc,6,FALSE)</f>
        <v>0</v>
      </c>
      <c r="K258">
        <f t="shared" ref="K258:K321" si="28">VLOOKUP($A258,instantc,7,FALSE)</f>
        <v>6</v>
      </c>
    </row>
    <row r="259" spans="1:11" x14ac:dyDescent="0.3">
      <c r="A259" s="3">
        <v>258</v>
      </c>
      <c r="B259" s="4">
        <v>40555</v>
      </c>
      <c r="C259" s="3">
        <v>2</v>
      </c>
      <c r="D259" s="3">
        <v>3</v>
      </c>
      <c r="E259" s="3">
        <v>0.14000000000000001</v>
      </c>
      <c r="F259" t="str">
        <f t="shared" ref="F259:F322" si="29">TEXT(B259,"ddd")</f>
        <v>Wed</v>
      </c>
      <c r="G259">
        <f t="shared" si="24"/>
        <v>0.1515</v>
      </c>
      <c r="H259">
        <f t="shared" si="25"/>
        <v>0.86</v>
      </c>
      <c r="I259">
        <f t="shared" si="26"/>
        <v>0.1343</v>
      </c>
      <c r="J259">
        <f t="shared" si="27"/>
        <v>0</v>
      </c>
      <c r="K259">
        <f t="shared" si="28"/>
        <v>1</v>
      </c>
    </row>
    <row r="260" spans="1:11" x14ac:dyDescent="0.3">
      <c r="A260" s="3">
        <v>259</v>
      </c>
      <c r="B260" s="4">
        <v>40555</v>
      </c>
      <c r="C260" s="3">
        <v>5</v>
      </c>
      <c r="D260" s="3">
        <v>3</v>
      </c>
      <c r="E260" s="3">
        <v>0.14000000000000001</v>
      </c>
      <c r="F260" t="str">
        <f t="shared" si="29"/>
        <v>Wed</v>
      </c>
      <c r="G260">
        <f t="shared" si="24"/>
        <v>0.1515</v>
      </c>
      <c r="H260">
        <f t="shared" si="25"/>
        <v>0.86</v>
      </c>
      <c r="I260">
        <f t="shared" si="26"/>
        <v>0.16420000000000001</v>
      </c>
      <c r="J260">
        <f t="shared" si="27"/>
        <v>0</v>
      </c>
      <c r="K260">
        <f t="shared" si="28"/>
        <v>5</v>
      </c>
    </row>
    <row r="261" spans="1:11" x14ac:dyDescent="0.3">
      <c r="A261" s="3">
        <v>260</v>
      </c>
      <c r="B261" s="4">
        <v>40555</v>
      </c>
      <c r="C261" s="3">
        <v>6</v>
      </c>
      <c r="D261" s="3">
        <v>3</v>
      </c>
      <c r="E261" s="3">
        <v>0.12</v>
      </c>
      <c r="F261" t="str">
        <f t="shared" si="29"/>
        <v>Wed</v>
      </c>
      <c r="G261">
        <f t="shared" si="24"/>
        <v>0.1515</v>
      </c>
      <c r="H261">
        <f t="shared" si="25"/>
        <v>0.93</v>
      </c>
      <c r="I261">
        <f t="shared" si="26"/>
        <v>0.1343</v>
      </c>
      <c r="J261">
        <f t="shared" si="27"/>
        <v>0</v>
      </c>
      <c r="K261">
        <f t="shared" si="28"/>
        <v>16</v>
      </c>
    </row>
    <row r="262" spans="1:11" x14ac:dyDescent="0.3">
      <c r="A262" s="3">
        <v>261</v>
      </c>
      <c r="B262" s="4">
        <v>40555</v>
      </c>
      <c r="C262" s="3">
        <v>7</v>
      </c>
      <c r="D262" s="3">
        <v>3</v>
      </c>
      <c r="E262" s="3">
        <v>0.14000000000000001</v>
      </c>
      <c r="F262" t="str">
        <f t="shared" si="29"/>
        <v>Wed</v>
      </c>
      <c r="G262">
        <f t="shared" si="24"/>
        <v>0.1515</v>
      </c>
      <c r="H262">
        <f t="shared" si="25"/>
        <v>0.69</v>
      </c>
      <c r="I262">
        <f t="shared" si="26"/>
        <v>0.1343</v>
      </c>
      <c r="J262">
        <f t="shared" si="27"/>
        <v>0</v>
      </c>
      <c r="K262">
        <f t="shared" si="28"/>
        <v>54</v>
      </c>
    </row>
    <row r="263" spans="1:11" x14ac:dyDescent="0.3">
      <c r="A263" s="3">
        <v>262</v>
      </c>
      <c r="B263" s="4">
        <v>40555</v>
      </c>
      <c r="C263" s="3">
        <v>8</v>
      </c>
      <c r="D263" s="3">
        <v>3</v>
      </c>
      <c r="E263" s="3">
        <v>0.16</v>
      </c>
      <c r="F263" t="str">
        <f t="shared" si="29"/>
        <v>Wed</v>
      </c>
      <c r="G263">
        <f t="shared" si="24"/>
        <v>0.16669999999999999</v>
      </c>
      <c r="H263">
        <f t="shared" si="25"/>
        <v>0.59</v>
      </c>
      <c r="I263">
        <f t="shared" si="26"/>
        <v>0.16420000000000001</v>
      </c>
      <c r="J263">
        <f t="shared" si="27"/>
        <v>3</v>
      </c>
      <c r="K263">
        <f t="shared" si="28"/>
        <v>125</v>
      </c>
    </row>
    <row r="264" spans="1:11" x14ac:dyDescent="0.3">
      <c r="A264" s="3">
        <v>263</v>
      </c>
      <c r="B264" s="4">
        <v>40555</v>
      </c>
      <c r="C264" s="3">
        <v>9</v>
      </c>
      <c r="D264" s="3">
        <v>3</v>
      </c>
      <c r="E264" s="3">
        <v>0.16</v>
      </c>
      <c r="F264" t="str">
        <f t="shared" si="29"/>
        <v>Wed</v>
      </c>
      <c r="G264">
        <f t="shared" si="24"/>
        <v>0.13639999999999999</v>
      </c>
      <c r="H264">
        <f t="shared" si="25"/>
        <v>0.59</v>
      </c>
      <c r="I264">
        <f t="shared" si="26"/>
        <v>0.32840000000000003</v>
      </c>
      <c r="J264">
        <f t="shared" si="27"/>
        <v>3</v>
      </c>
      <c r="K264">
        <f t="shared" si="28"/>
        <v>78</v>
      </c>
    </row>
    <row r="265" spans="1:11" x14ac:dyDescent="0.3">
      <c r="A265" s="3">
        <v>264</v>
      </c>
      <c r="B265" s="4">
        <v>40555</v>
      </c>
      <c r="C265" s="3">
        <v>10</v>
      </c>
      <c r="D265" s="3">
        <v>3</v>
      </c>
      <c r="E265" s="3">
        <v>0.18</v>
      </c>
      <c r="F265" t="str">
        <f t="shared" si="29"/>
        <v>Wed</v>
      </c>
      <c r="G265">
        <f t="shared" si="24"/>
        <v>0.18179999999999999</v>
      </c>
      <c r="H265">
        <f t="shared" si="25"/>
        <v>0.55000000000000004</v>
      </c>
      <c r="I265">
        <f t="shared" si="26"/>
        <v>0.22389999999999999</v>
      </c>
      <c r="J265">
        <f t="shared" si="27"/>
        <v>0</v>
      </c>
      <c r="K265">
        <f t="shared" si="28"/>
        <v>39</v>
      </c>
    </row>
    <row r="266" spans="1:11" x14ac:dyDescent="0.3">
      <c r="A266" s="3">
        <v>265</v>
      </c>
      <c r="B266" s="4">
        <v>40555</v>
      </c>
      <c r="C266" s="3">
        <v>11</v>
      </c>
      <c r="D266" s="3">
        <v>3</v>
      </c>
      <c r="E266" s="3">
        <v>0.2</v>
      </c>
      <c r="F266" t="str">
        <f t="shared" si="29"/>
        <v>Wed</v>
      </c>
      <c r="G266">
        <f t="shared" si="24"/>
        <v>0.18179999999999999</v>
      </c>
      <c r="H266">
        <f t="shared" si="25"/>
        <v>0.51</v>
      </c>
      <c r="I266">
        <f t="shared" si="26"/>
        <v>0.3881</v>
      </c>
      <c r="J266">
        <f t="shared" si="27"/>
        <v>3</v>
      </c>
      <c r="K266">
        <f t="shared" si="28"/>
        <v>32</v>
      </c>
    </row>
    <row r="267" spans="1:11" x14ac:dyDescent="0.3">
      <c r="A267" s="3">
        <v>266</v>
      </c>
      <c r="B267" s="4">
        <v>40555</v>
      </c>
      <c r="C267" s="3">
        <v>12</v>
      </c>
      <c r="D267" s="3">
        <v>3</v>
      </c>
      <c r="E267" s="3">
        <v>0.2</v>
      </c>
      <c r="F267" t="str">
        <f t="shared" si="29"/>
        <v>Wed</v>
      </c>
      <c r="G267">
        <f t="shared" si="24"/>
        <v>0.1515</v>
      </c>
      <c r="H267">
        <f t="shared" si="25"/>
        <v>0.47</v>
      </c>
      <c r="I267">
        <f t="shared" si="26"/>
        <v>0.58209999999999995</v>
      </c>
      <c r="J267">
        <f t="shared" si="27"/>
        <v>3</v>
      </c>
      <c r="K267">
        <f t="shared" si="28"/>
        <v>52</v>
      </c>
    </row>
    <row r="268" spans="1:11" x14ac:dyDescent="0.3">
      <c r="A268" s="3">
        <v>267</v>
      </c>
      <c r="B268" s="4">
        <v>40555</v>
      </c>
      <c r="C268" s="3">
        <v>13</v>
      </c>
      <c r="D268" s="3">
        <v>3</v>
      </c>
      <c r="E268" s="3">
        <v>0.22</v>
      </c>
      <c r="F268" t="str">
        <f t="shared" si="29"/>
        <v>Wed</v>
      </c>
      <c r="G268">
        <f t="shared" si="24"/>
        <v>0.19700000000000001</v>
      </c>
      <c r="H268">
        <f t="shared" si="25"/>
        <v>0.44</v>
      </c>
      <c r="I268">
        <f t="shared" si="26"/>
        <v>0.35820000000000002</v>
      </c>
      <c r="J268">
        <f t="shared" si="27"/>
        <v>0</v>
      </c>
      <c r="K268">
        <f t="shared" si="28"/>
        <v>49</v>
      </c>
    </row>
    <row r="269" spans="1:11" x14ac:dyDescent="0.3">
      <c r="A269" s="3">
        <v>268</v>
      </c>
      <c r="B269" s="4">
        <v>40555</v>
      </c>
      <c r="C269" s="3">
        <v>14</v>
      </c>
      <c r="D269" s="3">
        <v>3</v>
      </c>
      <c r="E269" s="3">
        <v>0.2</v>
      </c>
      <c r="F269" t="str">
        <f t="shared" si="29"/>
        <v>Wed</v>
      </c>
      <c r="G269">
        <f t="shared" si="24"/>
        <v>0.18179999999999999</v>
      </c>
      <c r="H269">
        <f t="shared" si="25"/>
        <v>0.47</v>
      </c>
      <c r="I269">
        <f t="shared" si="26"/>
        <v>0.32840000000000003</v>
      </c>
      <c r="J269">
        <f t="shared" si="27"/>
        <v>0</v>
      </c>
      <c r="K269">
        <f t="shared" si="28"/>
        <v>44</v>
      </c>
    </row>
    <row r="270" spans="1:11" x14ac:dyDescent="0.3">
      <c r="A270" s="3">
        <v>269</v>
      </c>
      <c r="B270" s="4">
        <v>40555</v>
      </c>
      <c r="C270" s="3">
        <v>15</v>
      </c>
      <c r="D270" s="3">
        <v>3</v>
      </c>
      <c r="E270" s="3">
        <v>0.2</v>
      </c>
      <c r="F270" t="str">
        <f t="shared" si="29"/>
        <v>Wed</v>
      </c>
      <c r="G270">
        <f t="shared" si="24"/>
        <v>0.16669999999999999</v>
      </c>
      <c r="H270">
        <f t="shared" si="25"/>
        <v>0.47</v>
      </c>
      <c r="I270">
        <f t="shared" si="26"/>
        <v>0.41789999999999999</v>
      </c>
      <c r="J270">
        <f t="shared" si="27"/>
        <v>1</v>
      </c>
      <c r="K270">
        <f t="shared" si="28"/>
        <v>48</v>
      </c>
    </row>
    <row r="271" spans="1:11" x14ac:dyDescent="0.3">
      <c r="A271" s="3">
        <v>270</v>
      </c>
      <c r="B271" s="4">
        <v>40555</v>
      </c>
      <c r="C271" s="3">
        <v>16</v>
      </c>
      <c r="D271" s="3">
        <v>3</v>
      </c>
      <c r="E271" s="3">
        <v>0.22</v>
      </c>
      <c r="F271" t="str">
        <f t="shared" si="29"/>
        <v>Wed</v>
      </c>
      <c r="G271">
        <f t="shared" si="24"/>
        <v>0.19700000000000001</v>
      </c>
      <c r="H271">
        <f t="shared" si="25"/>
        <v>0.44</v>
      </c>
      <c r="I271">
        <f t="shared" si="26"/>
        <v>0.32840000000000003</v>
      </c>
      <c r="J271">
        <f t="shared" si="27"/>
        <v>5</v>
      </c>
      <c r="K271">
        <f t="shared" si="28"/>
        <v>63</v>
      </c>
    </row>
    <row r="272" spans="1:11" x14ac:dyDescent="0.3">
      <c r="A272" s="3">
        <v>271</v>
      </c>
      <c r="B272" s="4">
        <v>40555</v>
      </c>
      <c r="C272" s="3">
        <v>17</v>
      </c>
      <c r="D272" s="3">
        <v>3</v>
      </c>
      <c r="E272" s="3">
        <v>0.2</v>
      </c>
      <c r="F272" t="str">
        <f t="shared" si="29"/>
        <v>Wed</v>
      </c>
      <c r="G272">
        <f t="shared" si="24"/>
        <v>0.18179999999999999</v>
      </c>
      <c r="H272">
        <f t="shared" si="25"/>
        <v>0.47</v>
      </c>
      <c r="I272">
        <f t="shared" si="26"/>
        <v>0.35820000000000002</v>
      </c>
      <c r="J272">
        <f t="shared" si="27"/>
        <v>0</v>
      </c>
      <c r="K272">
        <f t="shared" si="28"/>
        <v>139</v>
      </c>
    </row>
    <row r="273" spans="1:11" x14ac:dyDescent="0.3">
      <c r="A273" s="3">
        <v>272</v>
      </c>
      <c r="B273" s="4">
        <v>40555</v>
      </c>
      <c r="C273" s="3">
        <v>18</v>
      </c>
      <c r="D273" s="3">
        <v>3</v>
      </c>
      <c r="E273" s="3">
        <v>0.2</v>
      </c>
      <c r="F273" t="str">
        <f t="shared" si="29"/>
        <v>Wed</v>
      </c>
      <c r="G273">
        <f t="shared" si="24"/>
        <v>0.1515</v>
      </c>
      <c r="H273">
        <f t="shared" si="25"/>
        <v>0.47</v>
      </c>
      <c r="I273">
        <f t="shared" si="26"/>
        <v>0.52239999999999998</v>
      </c>
      <c r="J273">
        <f t="shared" si="27"/>
        <v>2</v>
      </c>
      <c r="K273">
        <f t="shared" si="28"/>
        <v>135</v>
      </c>
    </row>
    <row r="274" spans="1:11" x14ac:dyDescent="0.3">
      <c r="A274" s="3">
        <v>273</v>
      </c>
      <c r="B274" s="4">
        <v>40555</v>
      </c>
      <c r="C274" s="3">
        <v>19</v>
      </c>
      <c r="D274" s="3">
        <v>3</v>
      </c>
      <c r="E274" s="3">
        <v>0.18</v>
      </c>
      <c r="F274" t="str">
        <f t="shared" si="29"/>
        <v>Wed</v>
      </c>
      <c r="G274">
        <f t="shared" si="24"/>
        <v>0.1515</v>
      </c>
      <c r="H274">
        <f t="shared" si="25"/>
        <v>0.47</v>
      </c>
      <c r="I274">
        <f t="shared" si="26"/>
        <v>0.41789999999999999</v>
      </c>
      <c r="J274">
        <f t="shared" si="27"/>
        <v>1</v>
      </c>
      <c r="K274">
        <f t="shared" si="28"/>
        <v>82</v>
      </c>
    </row>
    <row r="275" spans="1:11" x14ac:dyDescent="0.3">
      <c r="A275" s="3">
        <v>274</v>
      </c>
      <c r="B275" s="4">
        <v>40555</v>
      </c>
      <c r="C275" s="3">
        <v>20</v>
      </c>
      <c r="D275" s="3">
        <v>3</v>
      </c>
      <c r="E275" s="3">
        <v>0.16</v>
      </c>
      <c r="F275" t="str">
        <f t="shared" si="29"/>
        <v>Wed</v>
      </c>
      <c r="G275">
        <f t="shared" si="24"/>
        <v>0.13639999999999999</v>
      </c>
      <c r="H275">
        <f t="shared" si="25"/>
        <v>0.5</v>
      </c>
      <c r="I275">
        <f t="shared" si="26"/>
        <v>0.32840000000000003</v>
      </c>
      <c r="J275">
        <f t="shared" si="27"/>
        <v>2</v>
      </c>
      <c r="K275">
        <f t="shared" si="28"/>
        <v>54</v>
      </c>
    </row>
    <row r="276" spans="1:11" x14ac:dyDescent="0.3">
      <c r="A276" s="3">
        <v>275</v>
      </c>
      <c r="B276" s="4">
        <v>40555</v>
      </c>
      <c r="C276" s="3">
        <v>21</v>
      </c>
      <c r="D276" s="3">
        <v>3</v>
      </c>
      <c r="E276" s="3">
        <v>0.16</v>
      </c>
      <c r="F276" t="str">
        <f t="shared" si="29"/>
        <v>Wed</v>
      </c>
      <c r="G276">
        <f t="shared" si="24"/>
        <v>0.13639999999999999</v>
      </c>
      <c r="H276">
        <f t="shared" si="25"/>
        <v>0.55000000000000004</v>
      </c>
      <c r="I276">
        <f t="shared" si="26"/>
        <v>0.32840000000000003</v>
      </c>
      <c r="J276">
        <f t="shared" si="27"/>
        <v>0</v>
      </c>
      <c r="K276">
        <f t="shared" si="28"/>
        <v>57</v>
      </c>
    </row>
    <row r="277" spans="1:11" x14ac:dyDescent="0.3">
      <c r="A277" s="3">
        <v>276</v>
      </c>
      <c r="B277" s="4">
        <v>40555</v>
      </c>
      <c r="C277" s="3">
        <v>22</v>
      </c>
      <c r="D277" s="3">
        <v>3</v>
      </c>
      <c r="E277" s="3">
        <v>0.16</v>
      </c>
      <c r="F277" t="str">
        <f t="shared" si="29"/>
        <v>Wed</v>
      </c>
      <c r="G277">
        <f t="shared" si="24"/>
        <v>0.1212</v>
      </c>
      <c r="H277">
        <f t="shared" si="25"/>
        <v>0.55000000000000004</v>
      </c>
      <c r="I277">
        <f t="shared" si="26"/>
        <v>0.44779999999999998</v>
      </c>
      <c r="J277">
        <f t="shared" si="27"/>
        <v>1</v>
      </c>
      <c r="K277">
        <f t="shared" si="28"/>
        <v>32</v>
      </c>
    </row>
    <row r="278" spans="1:11" x14ac:dyDescent="0.3">
      <c r="A278" s="3">
        <v>277</v>
      </c>
      <c r="B278" s="4">
        <v>40555</v>
      </c>
      <c r="C278" s="3">
        <v>23</v>
      </c>
      <c r="D278" s="3">
        <v>3</v>
      </c>
      <c r="E278" s="3">
        <v>0.14000000000000001</v>
      </c>
      <c r="F278" t="str">
        <f t="shared" si="29"/>
        <v>Wed</v>
      </c>
      <c r="G278">
        <f t="shared" si="24"/>
        <v>0.1061</v>
      </c>
      <c r="H278">
        <f t="shared" si="25"/>
        <v>0.59</v>
      </c>
      <c r="I278">
        <f t="shared" si="26"/>
        <v>0.41789999999999999</v>
      </c>
      <c r="J278">
        <f t="shared" si="27"/>
        <v>1</v>
      </c>
      <c r="K278">
        <f t="shared" si="28"/>
        <v>19</v>
      </c>
    </row>
    <row r="279" spans="1:11" x14ac:dyDescent="0.3">
      <c r="A279" s="3">
        <v>278</v>
      </c>
      <c r="B279" s="4">
        <v>40556</v>
      </c>
      <c r="C279" s="3">
        <v>0</v>
      </c>
      <c r="D279" s="3">
        <v>4</v>
      </c>
      <c r="E279" s="3">
        <v>0.14000000000000001</v>
      </c>
      <c r="F279" t="str">
        <f t="shared" si="29"/>
        <v>Thu</v>
      </c>
      <c r="G279">
        <f t="shared" si="24"/>
        <v>0.1212</v>
      </c>
      <c r="H279">
        <f t="shared" si="25"/>
        <v>0.59</v>
      </c>
      <c r="I279">
        <f t="shared" si="26"/>
        <v>0.28360000000000002</v>
      </c>
      <c r="J279">
        <f t="shared" si="27"/>
        <v>1</v>
      </c>
      <c r="K279">
        <f t="shared" si="28"/>
        <v>6</v>
      </c>
    </row>
    <row r="280" spans="1:11" x14ac:dyDescent="0.3">
      <c r="A280" s="3">
        <v>279</v>
      </c>
      <c r="B280" s="4">
        <v>40556</v>
      </c>
      <c r="C280" s="3">
        <v>1</v>
      </c>
      <c r="D280" s="3">
        <v>4</v>
      </c>
      <c r="E280" s="3">
        <v>0.14000000000000001</v>
      </c>
      <c r="F280" t="str">
        <f t="shared" si="29"/>
        <v>Thu</v>
      </c>
      <c r="G280">
        <f t="shared" si="24"/>
        <v>0.1212</v>
      </c>
      <c r="H280">
        <f t="shared" si="25"/>
        <v>0.5</v>
      </c>
      <c r="I280">
        <f t="shared" si="26"/>
        <v>0.28360000000000002</v>
      </c>
      <c r="J280">
        <f t="shared" si="27"/>
        <v>0</v>
      </c>
      <c r="K280">
        <f t="shared" si="28"/>
        <v>2</v>
      </c>
    </row>
    <row r="281" spans="1:11" x14ac:dyDescent="0.3">
      <c r="A281" s="3">
        <v>280</v>
      </c>
      <c r="B281" s="4">
        <v>40556</v>
      </c>
      <c r="C281" s="3">
        <v>2</v>
      </c>
      <c r="D281" s="3">
        <v>4</v>
      </c>
      <c r="E281" s="3">
        <v>0.14000000000000001</v>
      </c>
      <c r="F281" t="str">
        <f t="shared" si="29"/>
        <v>Thu</v>
      </c>
      <c r="G281">
        <f t="shared" si="24"/>
        <v>0.1212</v>
      </c>
      <c r="H281">
        <f t="shared" si="25"/>
        <v>0.5</v>
      </c>
      <c r="I281">
        <f t="shared" si="26"/>
        <v>0.35820000000000002</v>
      </c>
      <c r="J281">
        <f t="shared" si="27"/>
        <v>0</v>
      </c>
      <c r="K281">
        <f t="shared" si="28"/>
        <v>2</v>
      </c>
    </row>
    <row r="282" spans="1:11" x14ac:dyDescent="0.3">
      <c r="A282" s="3">
        <v>281</v>
      </c>
      <c r="B282" s="4">
        <v>40556</v>
      </c>
      <c r="C282" s="3">
        <v>3</v>
      </c>
      <c r="D282" s="3">
        <v>4</v>
      </c>
      <c r="E282" s="3">
        <v>0.14000000000000001</v>
      </c>
      <c r="F282" t="str">
        <f t="shared" si="29"/>
        <v>Thu</v>
      </c>
      <c r="G282">
        <f t="shared" si="24"/>
        <v>0.1212</v>
      </c>
      <c r="H282">
        <f t="shared" si="25"/>
        <v>0.5</v>
      </c>
      <c r="I282">
        <f t="shared" si="26"/>
        <v>0.32840000000000003</v>
      </c>
      <c r="J282">
        <f t="shared" si="27"/>
        <v>0</v>
      </c>
      <c r="K282">
        <f t="shared" si="28"/>
        <v>3</v>
      </c>
    </row>
    <row r="283" spans="1:11" x14ac:dyDescent="0.3">
      <c r="A283" s="3">
        <v>282</v>
      </c>
      <c r="B283" s="4">
        <v>40556</v>
      </c>
      <c r="C283" s="3">
        <v>4</v>
      </c>
      <c r="D283" s="3">
        <v>4</v>
      </c>
      <c r="E283" s="3">
        <v>0.14000000000000001</v>
      </c>
      <c r="F283" t="str">
        <f t="shared" si="29"/>
        <v>Thu</v>
      </c>
      <c r="G283">
        <f t="shared" si="24"/>
        <v>0.1212</v>
      </c>
      <c r="H283">
        <f t="shared" si="25"/>
        <v>0.5</v>
      </c>
      <c r="I283">
        <f t="shared" si="26"/>
        <v>0.25369999999999998</v>
      </c>
      <c r="J283">
        <f t="shared" si="27"/>
        <v>0</v>
      </c>
      <c r="K283">
        <f t="shared" si="28"/>
        <v>4</v>
      </c>
    </row>
    <row r="284" spans="1:11" x14ac:dyDescent="0.3">
      <c r="A284" s="3">
        <v>283</v>
      </c>
      <c r="B284" s="4">
        <v>40556</v>
      </c>
      <c r="C284" s="3">
        <v>5</v>
      </c>
      <c r="D284" s="3">
        <v>4</v>
      </c>
      <c r="E284" s="3">
        <v>0.14000000000000001</v>
      </c>
      <c r="F284" t="str">
        <f t="shared" si="29"/>
        <v>Thu</v>
      </c>
      <c r="G284">
        <f t="shared" si="24"/>
        <v>0.1212</v>
      </c>
      <c r="H284">
        <f t="shared" si="25"/>
        <v>0.5</v>
      </c>
      <c r="I284">
        <f t="shared" si="26"/>
        <v>0.29849999999999999</v>
      </c>
      <c r="J284">
        <f t="shared" si="27"/>
        <v>0</v>
      </c>
      <c r="K284">
        <f t="shared" si="28"/>
        <v>3</v>
      </c>
    </row>
    <row r="285" spans="1:11" x14ac:dyDescent="0.3">
      <c r="A285" s="3">
        <v>284</v>
      </c>
      <c r="B285" s="4">
        <v>40556</v>
      </c>
      <c r="C285" s="3">
        <v>6</v>
      </c>
      <c r="D285" s="3">
        <v>4</v>
      </c>
      <c r="E285" s="3">
        <v>0.12</v>
      </c>
      <c r="F285" t="str">
        <f t="shared" si="29"/>
        <v>Thu</v>
      </c>
      <c r="G285">
        <f t="shared" si="24"/>
        <v>0.1515</v>
      </c>
      <c r="H285">
        <f t="shared" si="25"/>
        <v>0.54</v>
      </c>
      <c r="I285">
        <f t="shared" si="26"/>
        <v>0.1343</v>
      </c>
      <c r="J285">
        <f t="shared" si="27"/>
        <v>0</v>
      </c>
      <c r="K285">
        <f t="shared" si="28"/>
        <v>28</v>
      </c>
    </row>
    <row r="286" spans="1:11" x14ac:dyDescent="0.3">
      <c r="A286" s="3">
        <v>285</v>
      </c>
      <c r="B286" s="4">
        <v>40556</v>
      </c>
      <c r="C286" s="3">
        <v>7</v>
      </c>
      <c r="D286" s="3">
        <v>4</v>
      </c>
      <c r="E286" s="3">
        <v>0.12</v>
      </c>
      <c r="F286" t="str">
        <f t="shared" si="29"/>
        <v>Thu</v>
      </c>
      <c r="G286">
        <f t="shared" si="24"/>
        <v>0.1515</v>
      </c>
      <c r="H286">
        <f t="shared" si="25"/>
        <v>0.54</v>
      </c>
      <c r="I286">
        <f t="shared" si="26"/>
        <v>0.1343</v>
      </c>
      <c r="J286">
        <f t="shared" si="27"/>
        <v>0</v>
      </c>
      <c r="K286">
        <f t="shared" si="28"/>
        <v>72</v>
      </c>
    </row>
    <row r="287" spans="1:11" x14ac:dyDescent="0.3">
      <c r="A287" s="3">
        <v>286</v>
      </c>
      <c r="B287" s="4">
        <v>40556</v>
      </c>
      <c r="C287" s="3">
        <v>8</v>
      </c>
      <c r="D287" s="3">
        <v>4</v>
      </c>
      <c r="E287" s="3">
        <v>0.14000000000000001</v>
      </c>
      <c r="F287" t="str">
        <f t="shared" si="29"/>
        <v>Thu</v>
      </c>
      <c r="G287">
        <f t="shared" si="24"/>
        <v>0.13639999999999999</v>
      </c>
      <c r="H287">
        <f t="shared" si="25"/>
        <v>0.5</v>
      </c>
      <c r="I287">
        <f t="shared" si="26"/>
        <v>0.19400000000000001</v>
      </c>
      <c r="J287">
        <f t="shared" si="27"/>
        <v>5</v>
      </c>
      <c r="K287">
        <f t="shared" si="28"/>
        <v>197</v>
      </c>
    </row>
    <row r="288" spans="1:11" x14ac:dyDescent="0.3">
      <c r="A288" s="3">
        <v>287</v>
      </c>
      <c r="B288" s="4">
        <v>40556</v>
      </c>
      <c r="C288" s="3">
        <v>9</v>
      </c>
      <c r="D288" s="3">
        <v>4</v>
      </c>
      <c r="E288" s="3">
        <v>0.14000000000000001</v>
      </c>
      <c r="F288" t="str">
        <f t="shared" si="29"/>
        <v>Thu</v>
      </c>
      <c r="G288">
        <f t="shared" si="24"/>
        <v>0.1212</v>
      </c>
      <c r="H288">
        <f t="shared" si="25"/>
        <v>0.5</v>
      </c>
      <c r="I288">
        <f t="shared" si="26"/>
        <v>0.32840000000000003</v>
      </c>
      <c r="J288">
        <f t="shared" si="27"/>
        <v>2</v>
      </c>
      <c r="K288">
        <f t="shared" si="28"/>
        <v>137</v>
      </c>
    </row>
    <row r="289" spans="1:11" x14ac:dyDescent="0.3">
      <c r="A289" s="3">
        <v>288</v>
      </c>
      <c r="B289" s="4">
        <v>40556</v>
      </c>
      <c r="C289" s="3">
        <v>10</v>
      </c>
      <c r="D289" s="3">
        <v>4</v>
      </c>
      <c r="E289" s="3">
        <v>0.16</v>
      </c>
      <c r="F289" t="str">
        <f t="shared" si="29"/>
        <v>Thu</v>
      </c>
      <c r="G289">
        <f t="shared" si="24"/>
        <v>0.13639999999999999</v>
      </c>
      <c r="H289">
        <f t="shared" si="25"/>
        <v>0.5</v>
      </c>
      <c r="I289">
        <f t="shared" si="26"/>
        <v>0.35820000000000002</v>
      </c>
      <c r="J289">
        <f t="shared" si="27"/>
        <v>2</v>
      </c>
      <c r="K289">
        <f t="shared" si="28"/>
        <v>36</v>
      </c>
    </row>
    <row r="290" spans="1:11" x14ac:dyDescent="0.3">
      <c r="A290" s="3">
        <v>289</v>
      </c>
      <c r="B290" s="4">
        <v>40556</v>
      </c>
      <c r="C290" s="3">
        <v>11</v>
      </c>
      <c r="D290" s="3">
        <v>4</v>
      </c>
      <c r="E290" s="3">
        <v>0.2</v>
      </c>
      <c r="F290" t="str">
        <f t="shared" si="29"/>
        <v>Thu</v>
      </c>
      <c r="G290">
        <f t="shared" si="24"/>
        <v>0.16669999999999999</v>
      </c>
      <c r="H290">
        <f t="shared" si="25"/>
        <v>0.44</v>
      </c>
      <c r="I290">
        <f t="shared" si="26"/>
        <v>0.44779999999999998</v>
      </c>
      <c r="J290">
        <f t="shared" si="27"/>
        <v>4</v>
      </c>
      <c r="K290">
        <f t="shared" si="28"/>
        <v>33</v>
      </c>
    </row>
    <row r="291" spans="1:11" x14ac:dyDescent="0.3">
      <c r="A291" s="3">
        <v>290</v>
      </c>
      <c r="B291" s="4">
        <v>40556</v>
      </c>
      <c r="C291" s="3">
        <v>12</v>
      </c>
      <c r="D291" s="3">
        <v>4</v>
      </c>
      <c r="E291" s="3">
        <v>0.2</v>
      </c>
      <c r="F291" t="str">
        <f t="shared" si="29"/>
        <v>Thu</v>
      </c>
      <c r="G291">
        <f t="shared" si="24"/>
        <v>0.16669999999999999</v>
      </c>
      <c r="H291">
        <f t="shared" si="25"/>
        <v>0.44</v>
      </c>
      <c r="I291">
        <f t="shared" si="26"/>
        <v>0.41789999999999999</v>
      </c>
      <c r="J291">
        <f t="shared" si="27"/>
        <v>3</v>
      </c>
      <c r="K291">
        <f t="shared" si="28"/>
        <v>49</v>
      </c>
    </row>
    <row r="292" spans="1:11" x14ac:dyDescent="0.3">
      <c r="A292" s="3">
        <v>291</v>
      </c>
      <c r="B292" s="4">
        <v>40556</v>
      </c>
      <c r="C292" s="3">
        <v>13</v>
      </c>
      <c r="D292" s="3">
        <v>4</v>
      </c>
      <c r="E292" s="3">
        <v>0.22</v>
      </c>
      <c r="F292" t="str">
        <f t="shared" si="29"/>
        <v>Thu</v>
      </c>
      <c r="G292">
        <f t="shared" si="24"/>
        <v>0.19700000000000001</v>
      </c>
      <c r="H292">
        <f t="shared" si="25"/>
        <v>0.41</v>
      </c>
      <c r="I292">
        <f t="shared" si="26"/>
        <v>0.44779999999999998</v>
      </c>
      <c r="J292">
        <f t="shared" si="27"/>
        <v>2</v>
      </c>
      <c r="K292">
        <f t="shared" si="28"/>
        <v>81</v>
      </c>
    </row>
    <row r="293" spans="1:11" x14ac:dyDescent="0.3">
      <c r="A293" s="3">
        <v>292</v>
      </c>
      <c r="B293" s="4">
        <v>40556</v>
      </c>
      <c r="C293" s="3">
        <v>14</v>
      </c>
      <c r="D293" s="3">
        <v>4</v>
      </c>
      <c r="E293" s="3">
        <v>0.22</v>
      </c>
      <c r="F293" t="str">
        <f t="shared" si="29"/>
        <v>Thu</v>
      </c>
      <c r="G293">
        <f t="shared" si="24"/>
        <v>0.19700000000000001</v>
      </c>
      <c r="H293">
        <f t="shared" si="25"/>
        <v>0.41</v>
      </c>
      <c r="I293">
        <f t="shared" si="26"/>
        <v>0.3881</v>
      </c>
      <c r="J293">
        <f t="shared" si="27"/>
        <v>3</v>
      </c>
      <c r="K293">
        <f t="shared" si="28"/>
        <v>39</v>
      </c>
    </row>
    <row r="294" spans="1:11" x14ac:dyDescent="0.3">
      <c r="A294" s="3">
        <v>293</v>
      </c>
      <c r="B294" s="4">
        <v>40556</v>
      </c>
      <c r="C294" s="3">
        <v>15</v>
      </c>
      <c r="D294" s="3">
        <v>4</v>
      </c>
      <c r="E294" s="3">
        <v>0.24</v>
      </c>
      <c r="F294" t="str">
        <f t="shared" si="29"/>
        <v>Thu</v>
      </c>
      <c r="G294">
        <f t="shared" si="24"/>
        <v>0.21210000000000001</v>
      </c>
      <c r="H294">
        <f t="shared" si="25"/>
        <v>0.38</v>
      </c>
      <c r="I294">
        <f t="shared" si="26"/>
        <v>0.29849999999999999</v>
      </c>
      <c r="J294">
        <f t="shared" si="27"/>
        <v>5</v>
      </c>
      <c r="K294">
        <f t="shared" si="28"/>
        <v>55</v>
      </c>
    </row>
    <row r="295" spans="1:11" x14ac:dyDescent="0.3">
      <c r="A295" s="3">
        <v>294</v>
      </c>
      <c r="B295" s="4">
        <v>40556</v>
      </c>
      <c r="C295" s="3">
        <v>16</v>
      </c>
      <c r="D295" s="3">
        <v>4</v>
      </c>
      <c r="E295" s="3">
        <v>0.24</v>
      </c>
      <c r="F295" t="str">
        <f t="shared" si="29"/>
        <v>Thu</v>
      </c>
      <c r="G295">
        <f t="shared" si="24"/>
        <v>0.21210000000000001</v>
      </c>
      <c r="H295">
        <f t="shared" si="25"/>
        <v>0.38</v>
      </c>
      <c r="I295">
        <f t="shared" si="26"/>
        <v>0.35820000000000002</v>
      </c>
      <c r="J295">
        <f t="shared" si="27"/>
        <v>2</v>
      </c>
      <c r="K295">
        <f t="shared" si="28"/>
        <v>76</v>
      </c>
    </row>
    <row r="296" spans="1:11" x14ac:dyDescent="0.3">
      <c r="A296" s="3">
        <v>295</v>
      </c>
      <c r="B296" s="4">
        <v>40556</v>
      </c>
      <c r="C296" s="3">
        <v>17</v>
      </c>
      <c r="D296" s="3">
        <v>4</v>
      </c>
      <c r="E296" s="3">
        <v>0.2</v>
      </c>
      <c r="F296" t="str">
        <f t="shared" si="29"/>
        <v>Thu</v>
      </c>
      <c r="G296">
        <f t="shared" si="24"/>
        <v>0.18179999999999999</v>
      </c>
      <c r="H296">
        <f t="shared" si="25"/>
        <v>0.4</v>
      </c>
      <c r="I296">
        <f t="shared" si="26"/>
        <v>0.28360000000000002</v>
      </c>
      <c r="J296">
        <f t="shared" si="27"/>
        <v>4</v>
      </c>
      <c r="K296">
        <f t="shared" si="28"/>
        <v>158</v>
      </c>
    </row>
    <row r="297" spans="1:11" x14ac:dyDescent="0.3">
      <c r="A297" s="3">
        <v>296</v>
      </c>
      <c r="B297" s="4">
        <v>40556</v>
      </c>
      <c r="C297" s="3">
        <v>18</v>
      </c>
      <c r="D297" s="3">
        <v>4</v>
      </c>
      <c r="E297" s="3">
        <v>0.2</v>
      </c>
      <c r="F297" t="str">
        <f t="shared" si="29"/>
        <v>Thu</v>
      </c>
      <c r="G297">
        <f t="shared" si="24"/>
        <v>0.18179999999999999</v>
      </c>
      <c r="H297">
        <f t="shared" si="25"/>
        <v>0.4</v>
      </c>
      <c r="I297">
        <f t="shared" si="26"/>
        <v>0.32840000000000003</v>
      </c>
      <c r="J297">
        <f t="shared" si="27"/>
        <v>3</v>
      </c>
      <c r="K297">
        <f t="shared" si="28"/>
        <v>141</v>
      </c>
    </row>
    <row r="298" spans="1:11" x14ac:dyDescent="0.3">
      <c r="A298" s="3">
        <v>297</v>
      </c>
      <c r="B298" s="4">
        <v>40556</v>
      </c>
      <c r="C298" s="3">
        <v>19</v>
      </c>
      <c r="D298" s="3">
        <v>4</v>
      </c>
      <c r="E298" s="3">
        <v>0.16</v>
      </c>
      <c r="F298" t="str">
        <f t="shared" si="29"/>
        <v>Thu</v>
      </c>
      <c r="G298">
        <f t="shared" si="24"/>
        <v>0.1515</v>
      </c>
      <c r="H298">
        <f t="shared" si="25"/>
        <v>0.47</v>
      </c>
      <c r="I298">
        <f t="shared" si="26"/>
        <v>0.25369999999999998</v>
      </c>
      <c r="J298">
        <f t="shared" si="27"/>
        <v>1</v>
      </c>
      <c r="K298">
        <f t="shared" si="28"/>
        <v>98</v>
      </c>
    </row>
    <row r="299" spans="1:11" x14ac:dyDescent="0.3">
      <c r="A299" s="3">
        <v>298</v>
      </c>
      <c r="B299" s="4">
        <v>40556</v>
      </c>
      <c r="C299" s="3">
        <v>20</v>
      </c>
      <c r="D299" s="3">
        <v>4</v>
      </c>
      <c r="E299" s="3">
        <v>0.16</v>
      </c>
      <c r="F299" t="str">
        <f t="shared" si="29"/>
        <v>Thu</v>
      </c>
      <c r="G299">
        <f t="shared" si="24"/>
        <v>0.1515</v>
      </c>
      <c r="H299">
        <f t="shared" si="25"/>
        <v>0.47</v>
      </c>
      <c r="I299">
        <f t="shared" si="26"/>
        <v>0.22389999999999999</v>
      </c>
      <c r="J299">
        <f t="shared" si="27"/>
        <v>0</v>
      </c>
      <c r="K299">
        <f t="shared" si="28"/>
        <v>64</v>
      </c>
    </row>
    <row r="300" spans="1:11" x14ac:dyDescent="0.3">
      <c r="A300" s="3">
        <v>299</v>
      </c>
      <c r="B300" s="4">
        <v>40556</v>
      </c>
      <c r="C300" s="3">
        <v>21</v>
      </c>
      <c r="D300" s="3">
        <v>4</v>
      </c>
      <c r="E300" s="3">
        <v>0.14000000000000001</v>
      </c>
      <c r="F300" t="str">
        <f t="shared" si="29"/>
        <v>Thu</v>
      </c>
      <c r="G300">
        <f t="shared" si="24"/>
        <v>0.1212</v>
      </c>
      <c r="H300">
        <f t="shared" si="25"/>
        <v>0.46</v>
      </c>
      <c r="I300">
        <f t="shared" si="26"/>
        <v>0.29849999999999999</v>
      </c>
      <c r="J300">
        <f t="shared" si="27"/>
        <v>0</v>
      </c>
      <c r="K300">
        <f t="shared" si="28"/>
        <v>40</v>
      </c>
    </row>
    <row r="301" spans="1:11" x14ac:dyDescent="0.3">
      <c r="A301" s="3">
        <v>300</v>
      </c>
      <c r="B301" s="4">
        <v>40556</v>
      </c>
      <c r="C301" s="3">
        <v>22</v>
      </c>
      <c r="D301" s="3">
        <v>4</v>
      </c>
      <c r="E301" s="3">
        <v>0.14000000000000001</v>
      </c>
      <c r="F301" t="str">
        <f t="shared" si="29"/>
        <v>Thu</v>
      </c>
      <c r="G301">
        <f t="shared" si="24"/>
        <v>0.1212</v>
      </c>
      <c r="H301">
        <f t="shared" si="25"/>
        <v>0.46</v>
      </c>
      <c r="I301">
        <f t="shared" si="26"/>
        <v>0.32840000000000003</v>
      </c>
      <c r="J301">
        <f t="shared" si="27"/>
        <v>0</v>
      </c>
      <c r="K301">
        <f t="shared" si="28"/>
        <v>30</v>
      </c>
    </row>
    <row r="302" spans="1:11" x14ac:dyDescent="0.3">
      <c r="A302" s="3">
        <v>301</v>
      </c>
      <c r="B302" s="4">
        <v>40556</v>
      </c>
      <c r="C302" s="3">
        <v>23</v>
      </c>
      <c r="D302" s="3">
        <v>4</v>
      </c>
      <c r="E302" s="3">
        <v>0.12</v>
      </c>
      <c r="F302" t="str">
        <f t="shared" si="29"/>
        <v>Thu</v>
      </c>
      <c r="G302">
        <f t="shared" si="24"/>
        <v>0.13639999999999999</v>
      </c>
      <c r="H302">
        <f t="shared" si="25"/>
        <v>0.5</v>
      </c>
      <c r="I302">
        <f t="shared" si="26"/>
        <v>0.19400000000000001</v>
      </c>
      <c r="J302">
        <f t="shared" si="27"/>
        <v>1</v>
      </c>
      <c r="K302">
        <f t="shared" si="28"/>
        <v>14</v>
      </c>
    </row>
    <row r="303" spans="1:11" x14ac:dyDescent="0.3">
      <c r="A303" s="3">
        <v>302</v>
      </c>
      <c r="B303" s="4">
        <v>40557</v>
      </c>
      <c r="C303" s="3">
        <v>0</v>
      </c>
      <c r="D303" s="3">
        <v>5</v>
      </c>
      <c r="E303" s="3">
        <v>0.12</v>
      </c>
      <c r="F303" t="str">
        <f t="shared" si="29"/>
        <v>Fri</v>
      </c>
      <c r="G303">
        <f t="shared" si="24"/>
        <v>0.13639999999999999</v>
      </c>
      <c r="H303">
        <f t="shared" si="25"/>
        <v>0.5</v>
      </c>
      <c r="I303">
        <f t="shared" si="26"/>
        <v>0.19400000000000001</v>
      </c>
      <c r="J303">
        <f t="shared" si="27"/>
        <v>0</v>
      </c>
      <c r="K303">
        <f t="shared" si="28"/>
        <v>14</v>
      </c>
    </row>
    <row r="304" spans="1:11" x14ac:dyDescent="0.3">
      <c r="A304" s="3">
        <v>303</v>
      </c>
      <c r="B304" s="4">
        <v>40557</v>
      </c>
      <c r="C304" s="3">
        <v>1</v>
      </c>
      <c r="D304" s="3">
        <v>5</v>
      </c>
      <c r="E304" s="3">
        <v>0.1</v>
      </c>
      <c r="F304" t="str">
        <f t="shared" si="29"/>
        <v>Fri</v>
      </c>
      <c r="G304">
        <f t="shared" si="24"/>
        <v>0.1212</v>
      </c>
      <c r="H304">
        <f t="shared" si="25"/>
        <v>0.54</v>
      </c>
      <c r="I304">
        <f t="shared" si="26"/>
        <v>0.16420000000000001</v>
      </c>
      <c r="J304">
        <f t="shared" si="27"/>
        <v>0</v>
      </c>
      <c r="K304">
        <f t="shared" si="28"/>
        <v>5</v>
      </c>
    </row>
    <row r="305" spans="1:11" x14ac:dyDescent="0.3">
      <c r="A305" s="3">
        <v>304</v>
      </c>
      <c r="B305" s="4">
        <v>40557</v>
      </c>
      <c r="C305" s="3">
        <v>2</v>
      </c>
      <c r="D305" s="3">
        <v>5</v>
      </c>
      <c r="E305" s="3">
        <v>0.1</v>
      </c>
      <c r="F305" t="str">
        <f t="shared" si="29"/>
        <v>Fri</v>
      </c>
      <c r="G305">
        <f t="shared" si="24"/>
        <v>0.1212</v>
      </c>
      <c r="H305">
        <f t="shared" si="25"/>
        <v>0.54</v>
      </c>
      <c r="I305">
        <f t="shared" si="26"/>
        <v>0.1343</v>
      </c>
      <c r="J305">
        <f t="shared" si="27"/>
        <v>0</v>
      </c>
      <c r="K305">
        <f t="shared" si="28"/>
        <v>1</v>
      </c>
    </row>
    <row r="306" spans="1:11" x14ac:dyDescent="0.3">
      <c r="A306" s="3">
        <v>305</v>
      </c>
      <c r="B306" s="4">
        <v>40557</v>
      </c>
      <c r="C306" s="3">
        <v>3</v>
      </c>
      <c r="D306" s="3">
        <v>5</v>
      </c>
      <c r="E306" s="3">
        <v>0.1</v>
      </c>
      <c r="F306" t="str">
        <f t="shared" si="29"/>
        <v>Fri</v>
      </c>
      <c r="G306">
        <f t="shared" si="24"/>
        <v>0.13639999999999999</v>
      </c>
      <c r="H306">
        <f t="shared" si="25"/>
        <v>0.54</v>
      </c>
      <c r="I306">
        <f t="shared" si="26"/>
        <v>0.1045</v>
      </c>
      <c r="J306">
        <f t="shared" si="27"/>
        <v>0</v>
      </c>
      <c r="K306">
        <f t="shared" si="28"/>
        <v>1</v>
      </c>
    </row>
    <row r="307" spans="1:11" x14ac:dyDescent="0.3">
      <c r="A307" s="3">
        <v>306</v>
      </c>
      <c r="B307" s="4">
        <v>40557</v>
      </c>
      <c r="C307" s="3">
        <v>5</v>
      </c>
      <c r="D307" s="3">
        <v>5</v>
      </c>
      <c r="E307" s="3">
        <v>0.1</v>
      </c>
      <c r="F307" t="str">
        <f t="shared" si="29"/>
        <v>Fri</v>
      </c>
      <c r="G307">
        <f t="shared" si="24"/>
        <v>0.13639999999999999</v>
      </c>
      <c r="H307">
        <f t="shared" si="25"/>
        <v>0.54</v>
      </c>
      <c r="I307">
        <f t="shared" si="26"/>
        <v>8.9599999999999999E-2</v>
      </c>
      <c r="J307">
        <f t="shared" si="27"/>
        <v>0</v>
      </c>
      <c r="K307">
        <f t="shared" si="28"/>
        <v>8</v>
      </c>
    </row>
    <row r="308" spans="1:11" x14ac:dyDescent="0.3">
      <c r="A308" s="3">
        <v>307</v>
      </c>
      <c r="B308" s="4">
        <v>40557</v>
      </c>
      <c r="C308" s="3">
        <v>6</v>
      </c>
      <c r="D308" s="3">
        <v>5</v>
      </c>
      <c r="E308" s="3">
        <v>0.1</v>
      </c>
      <c r="F308" t="str">
        <f t="shared" si="29"/>
        <v>Fri</v>
      </c>
      <c r="G308">
        <f t="shared" si="24"/>
        <v>0.18179999999999999</v>
      </c>
      <c r="H308">
        <f t="shared" si="25"/>
        <v>0.54</v>
      </c>
      <c r="I308">
        <f t="shared" si="26"/>
        <v>0</v>
      </c>
      <c r="J308">
        <f t="shared" si="27"/>
        <v>0</v>
      </c>
      <c r="K308">
        <f t="shared" si="28"/>
        <v>17</v>
      </c>
    </row>
    <row r="309" spans="1:11" x14ac:dyDescent="0.3">
      <c r="A309" s="3">
        <v>308</v>
      </c>
      <c r="B309" s="4">
        <v>40557</v>
      </c>
      <c r="C309" s="3">
        <v>7</v>
      </c>
      <c r="D309" s="3">
        <v>5</v>
      </c>
      <c r="E309" s="3">
        <v>0.1</v>
      </c>
      <c r="F309" t="str">
        <f t="shared" si="29"/>
        <v>Fri</v>
      </c>
      <c r="G309">
        <f t="shared" si="24"/>
        <v>0.1212</v>
      </c>
      <c r="H309">
        <f t="shared" si="25"/>
        <v>0.74</v>
      </c>
      <c r="I309">
        <f t="shared" si="26"/>
        <v>0.16420000000000001</v>
      </c>
      <c r="J309">
        <f t="shared" si="27"/>
        <v>0</v>
      </c>
      <c r="K309">
        <f t="shared" si="28"/>
        <v>70</v>
      </c>
    </row>
    <row r="310" spans="1:11" x14ac:dyDescent="0.3">
      <c r="A310" s="3">
        <v>309</v>
      </c>
      <c r="B310" s="4">
        <v>40557</v>
      </c>
      <c r="C310" s="3">
        <v>8</v>
      </c>
      <c r="D310" s="3">
        <v>5</v>
      </c>
      <c r="E310" s="3">
        <v>0.12</v>
      </c>
      <c r="F310" t="str">
        <f t="shared" si="29"/>
        <v>Fri</v>
      </c>
      <c r="G310">
        <f t="shared" si="24"/>
        <v>0.16669999999999999</v>
      </c>
      <c r="H310">
        <f t="shared" si="25"/>
        <v>0.68</v>
      </c>
      <c r="I310">
        <f t="shared" si="26"/>
        <v>0</v>
      </c>
      <c r="J310">
        <f t="shared" si="27"/>
        <v>2</v>
      </c>
      <c r="K310">
        <f t="shared" si="28"/>
        <v>156</v>
      </c>
    </row>
    <row r="311" spans="1:11" x14ac:dyDescent="0.3">
      <c r="A311" s="3">
        <v>310</v>
      </c>
      <c r="B311" s="4">
        <v>40557</v>
      </c>
      <c r="C311" s="3">
        <v>9</v>
      </c>
      <c r="D311" s="3">
        <v>5</v>
      </c>
      <c r="E311" s="3">
        <v>0.14000000000000001</v>
      </c>
      <c r="F311" t="str">
        <f t="shared" si="29"/>
        <v>Fri</v>
      </c>
      <c r="G311">
        <f t="shared" si="24"/>
        <v>0.1515</v>
      </c>
      <c r="H311">
        <f t="shared" si="25"/>
        <v>0.69</v>
      </c>
      <c r="I311">
        <f t="shared" si="26"/>
        <v>0.1343</v>
      </c>
      <c r="J311">
        <f t="shared" si="27"/>
        <v>0</v>
      </c>
      <c r="K311">
        <f t="shared" si="28"/>
        <v>117</v>
      </c>
    </row>
    <row r="312" spans="1:11" x14ac:dyDescent="0.3">
      <c r="A312" s="3">
        <v>311</v>
      </c>
      <c r="B312" s="4">
        <v>40557</v>
      </c>
      <c r="C312" s="3">
        <v>10</v>
      </c>
      <c r="D312" s="3">
        <v>5</v>
      </c>
      <c r="E312" s="3">
        <v>0.18</v>
      </c>
      <c r="F312" t="str">
        <f t="shared" si="29"/>
        <v>Fri</v>
      </c>
      <c r="G312">
        <f t="shared" si="24"/>
        <v>0.18179999999999999</v>
      </c>
      <c r="H312">
        <f t="shared" si="25"/>
        <v>0.55000000000000004</v>
      </c>
      <c r="I312">
        <f t="shared" si="26"/>
        <v>0.19400000000000001</v>
      </c>
      <c r="J312">
        <f t="shared" si="27"/>
        <v>4</v>
      </c>
      <c r="K312">
        <f t="shared" si="28"/>
        <v>40</v>
      </c>
    </row>
    <row r="313" spans="1:11" x14ac:dyDescent="0.3">
      <c r="A313" s="3">
        <v>312</v>
      </c>
      <c r="B313" s="4">
        <v>40557</v>
      </c>
      <c r="C313" s="3">
        <v>11</v>
      </c>
      <c r="D313" s="3">
        <v>5</v>
      </c>
      <c r="E313" s="3">
        <v>0.18</v>
      </c>
      <c r="F313" t="str">
        <f t="shared" si="29"/>
        <v>Fri</v>
      </c>
      <c r="G313">
        <f t="shared" si="24"/>
        <v>0.16669999999999999</v>
      </c>
      <c r="H313">
        <f t="shared" si="25"/>
        <v>0.51</v>
      </c>
      <c r="I313">
        <f t="shared" si="26"/>
        <v>0.28360000000000002</v>
      </c>
      <c r="J313">
        <f t="shared" si="27"/>
        <v>6</v>
      </c>
      <c r="K313">
        <f t="shared" si="28"/>
        <v>47</v>
      </c>
    </row>
    <row r="314" spans="1:11" x14ac:dyDescent="0.3">
      <c r="A314" s="3">
        <v>313</v>
      </c>
      <c r="B314" s="4">
        <v>40557</v>
      </c>
      <c r="C314" s="3">
        <v>12</v>
      </c>
      <c r="D314" s="3">
        <v>5</v>
      </c>
      <c r="E314" s="3">
        <v>0.2</v>
      </c>
      <c r="F314" t="str">
        <f t="shared" si="29"/>
        <v>Fri</v>
      </c>
      <c r="G314">
        <f t="shared" si="24"/>
        <v>0.19700000000000001</v>
      </c>
      <c r="H314">
        <f t="shared" si="25"/>
        <v>0.44</v>
      </c>
      <c r="I314">
        <f t="shared" si="26"/>
        <v>0.25369999999999998</v>
      </c>
      <c r="J314">
        <f t="shared" si="27"/>
        <v>2</v>
      </c>
      <c r="K314">
        <f t="shared" si="28"/>
        <v>59</v>
      </c>
    </row>
    <row r="315" spans="1:11" x14ac:dyDescent="0.3">
      <c r="A315" s="3">
        <v>314</v>
      </c>
      <c r="B315" s="4">
        <v>40557</v>
      </c>
      <c r="C315" s="3">
        <v>13</v>
      </c>
      <c r="D315" s="3">
        <v>5</v>
      </c>
      <c r="E315" s="3">
        <v>0.22</v>
      </c>
      <c r="F315" t="str">
        <f t="shared" si="29"/>
        <v>Fri</v>
      </c>
      <c r="G315">
        <f t="shared" si="24"/>
        <v>0.19700000000000001</v>
      </c>
      <c r="H315">
        <f t="shared" si="25"/>
        <v>0.37</v>
      </c>
      <c r="I315">
        <f t="shared" si="26"/>
        <v>0.3881</v>
      </c>
      <c r="J315">
        <f t="shared" si="27"/>
        <v>4</v>
      </c>
      <c r="K315">
        <f t="shared" si="28"/>
        <v>73</v>
      </c>
    </row>
    <row r="316" spans="1:11" x14ac:dyDescent="0.3">
      <c r="A316" s="3">
        <v>315</v>
      </c>
      <c r="B316" s="4">
        <v>40557</v>
      </c>
      <c r="C316" s="3">
        <v>14</v>
      </c>
      <c r="D316" s="3">
        <v>5</v>
      </c>
      <c r="E316" s="3">
        <v>0.22</v>
      </c>
      <c r="F316" t="str">
        <f t="shared" si="29"/>
        <v>Fri</v>
      </c>
      <c r="G316">
        <f t="shared" si="24"/>
        <v>0.21210000000000001</v>
      </c>
      <c r="H316">
        <f t="shared" si="25"/>
        <v>0.41</v>
      </c>
      <c r="I316">
        <f t="shared" si="26"/>
        <v>0.28360000000000002</v>
      </c>
      <c r="J316">
        <f t="shared" si="27"/>
        <v>5</v>
      </c>
      <c r="K316">
        <f t="shared" si="28"/>
        <v>59</v>
      </c>
    </row>
    <row r="317" spans="1:11" x14ac:dyDescent="0.3">
      <c r="A317" s="3">
        <v>316</v>
      </c>
      <c r="B317" s="4">
        <v>40557</v>
      </c>
      <c r="C317" s="3">
        <v>15</v>
      </c>
      <c r="D317" s="3">
        <v>5</v>
      </c>
      <c r="E317" s="3">
        <v>0.24</v>
      </c>
      <c r="F317" t="str">
        <f t="shared" si="29"/>
        <v>Fri</v>
      </c>
      <c r="G317">
        <f t="shared" si="24"/>
        <v>0.2424</v>
      </c>
      <c r="H317">
        <f t="shared" si="25"/>
        <v>0.38</v>
      </c>
      <c r="I317">
        <f t="shared" si="26"/>
        <v>0.16420000000000001</v>
      </c>
      <c r="J317">
        <f t="shared" si="27"/>
        <v>9</v>
      </c>
      <c r="K317">
        <f t="shared" si="28"/>
        <v>59</v>
      </c>
    </row>
    <row r="318" spans="1:11" x14ac:dyDescent="0.3">
      <c r="A318" s="3">
        <v>317</v>
      </c>
      <c r="B318" s="4">
        <v>40557</v>
      </c>
      <c r="C318" s="3">
        <v>16</v>
      </c>
      <c r="D318" s="3">
        <v>5</v>
      </c>
      <c r="E318" s="3">
        <v>0.22</v>
      </c>
      <c r="F318" t="str">
        <f t="shared" si="29"/>
        <v>Fri</v>
      </c>
      <c r="G318">
        <f t="shared" si="24"/>
        <v>0.2424</v>
      </c>
      <c r="H318">
        <f t="shared" si="25"/>
        <v>0.41</v>
      </c>
      <c r="I318">
        <f t="shared" si="26"/>
        <v>0.1045</v>
      </c>
      <c r="J318">
        <f t="shared" si="27"/>
        <v>3</v>
      </c>
      <c r="K318">
        <f t="shared" si="28"/>
        <v>87</v>
      </c>
    </row>
    <row r="319" spans="1:11" x14ac:dyDescent="0.3">
      <c r="A319" s="3">
        <v>318</v>
      </c>
      <c r="B319" s="4">
        <v>40557</v>
      </c>
      <c r="C319" s="3">
        <v>17</v>
      </c>
      <c r="D319" s="3">
        <v>5</v>
      </c>
      <c r="E319" s="3">
        <v>0.22</v>
      </c>
      <c r="F319" t="str">
        <f t="shared" si="29"/>
        <v>Fri</v>
      </c>
      <c r="G319">
        <f t="shared" si="24"/>
        <v>0.2273</v>
      </c>
      <c r="H319">
        <f t="shared" si="25"/>
        <v>0.41</v>
      </c>
      <c r="I319">
        <f t="shared" si="26"/>
        <v>0.16420000000000001</v>
      </c>
      <c r="J319">
        <f t="shared" si="27"/>
        <v>4</v>
      </c>
      <c r="K319">
        <f t="shared" si="28"/>
        <v>155</v>
      </c>
    </row>
    <row r="320" spans="1:11" x14ac:dyDescent="0.3">
      <c r="A320" s="3">
        <v>319</v>
      </c>
      <c r="B320" s="4">
        <v>40557</v>
      </c>
      <c r="C320" s="3">
        <v>18</v>
      </c>
      <c r="D320" s="3">
        <v>5</v>
      </c>
      <c r="E320" s="3">
        <v>0.2</v>
      </c>
      <c r="F320" t="str">
        <f t="shared" si="29"/>
        <v>Fri</v>
      </c>
      <c r="G320">
        <f t="shared" si="24"/>
        <v>0.2576</v>
      </c>
      <c r="H320">
        <f t="shared" si="25"/>
        <v>0.47</v>
      </c>
      <c r="I320">
        <f t="shared" si="26"/>
        <v>0</v>
      </c>
      <c r="J320">
        <f t="shared" si="27"/>
        <v>5</v>
      </c>
      <c r="K320">
        <f t="shared" si="28"/>
        <v>134</v>
      </c>
    </row>
    <row r="321" spans="1:11" x14ac:dyDescent="0.3">
      <c r="A321" s="3">
        <v>320</v>
      </c>
      <c r="B321" s="4">
        <v>40557</v>
      </c>
      <c r="C321" s="3">
        <v>19</v>
      </c>
      <c r="D321" s="3">
        <v>5</v>
      </c>
      <c r="E321" s="3">
        <v>0.16</v>
      </c>
      <c r="F321" t="str">
        <f t="shared" si="29"/>
        <v>Fri</v>
      </c>
      <c r="G321">
        <f t="shared" si="24"/>
        <v>0.19700000000000001</v>
      </c>
      <c r="H321">
        <f t="shared" si="25"/>
        <v>0.59</v>
      </c>
      <c r="I321">
        <f t="shared" si="26"/>
        <v>8.9599999999999999E-2</v>
      </c>
      <c r="J321">
        <f t="shared" si="27"/>
        <v>3</v>
      </c>
      <c r="K321">
        <f t="shared" si="28"/>
        <v>89</v>
      </c>
    </row>
    <row r="322" spans="1:11" x14ac:dyDescent="0.3">
      <c r="A322" s="3">
        <v>321</v>
      </c>
      <c r="B322" s="4">
        <v>40557</v>
      </c>
      <c r="C322" s="3">
        <v>20</v>
      </c>
      <c r="D322" s="3">
        <v>5</v>
      </c>
      <c r="E322" s="3">
        <v>0.18</v>
      </c>
      <c r="F322" t="str">
        <f t="shared" si="29"/>
        <v>Fri</v>
      </c>
      <c r="G322">
        <f t="shared" ref="G322:G385" si="30">VLOOKUP($A322,instantc,3,FALSE)</f>
        <v>0.2424</v>
      </c>
      <c r="H322">
        <f t="shared" ref="H322:H385" si="31">VLOOKUP($A322,instantc,4,FALSE)</f>
        <v>0.59</v>
      </c>
      <c r="I322">
        <f t="shared" ref="I322:I385" si="32">VLOOKUP($A322,instantc,5,FALSE)</f>
        <v>0</v>
      </c>
      <c r="J322">
        <f t="shared" ref="J322:J385" si="33">VLOOKUP($A322,instantc,6,FALSE)</f>
        <v>0</v>
      </c>
      <c r="K322">
        <f t="shared" ref="K322:K385" si="34">VLOOKUP($A322,instantc,7,FALSE)</f>
        <v>68</v>
      </c>
    </row>
    <row r="323" spans="1:11" x14ac:dyDescent="0.3">
      <c r="A323" s="3">
        <v>322</v>
      </c>
      <c r="B323" s="4">
        <v>40557</v>
      </c>
      <c r="C323" s="3">
        <v>21</v>
      </c>
      <c r="D323" s="3">
        <v>5</v>
      </c>
      <c r="E323" s="3">
        <v>0.16</v>
      </c>
      <c r="F323" t="str">
        <f t="shared" ref="F323:F386" si="35">TEXT(B323,"ddd")</f>
        <v>Fri</v>
      </c>
      <c r="G323">
        <f t="shared" si="30"/>
        <v>0.2273</v>
      </c>
      <c r="H323">
        <f t="shared" si="31"/>
        <v>0.69</v>
      </c>
      <c r="I323">
        <f t="shared" si="32"/>
        <v>0</v>
      </c>
      <c r="J323">
        <f t="shared" si="33"/>
        <v>4</v>
      </c>
      <c r="K323">
        <f t="shared" si="34"/>
        <v>48</v>
      </c>
    </row>
    <row r="324" spans="1:11" x14ac:dyDescent="0.3">
      <c r="A324" s="3">
        <v>323</v>
      </c>
      <c r="B324" s="4">
        <v>40557</v>
      </c>
      <c r="C324" s="3">
        <v>22</v>
      </c>
      <c r="D324" s="3">
        <v>5</v>
      </c>
      <c r="E324" s="3">
        <v>0.16</v>
      </c>
      <c r="F324" t="str">
        <f t="shared" si="35"/>
        <v>Fri</v>
      </c>
      <c r="G324">
        <f t="shared" si="30"/>
        <v>0.2273</v>
      </c>
      <c r="H324">
        <f t="shared" si="31"/>
        <v>0.69</v>
      </c>
      <c r="I324">
        <f t="shared" si="32"/>
        <v>0</v>
      </c>
      <c r="J324">
        <f t="shared" si="33"/>
        <v>2</v>
      </c>
      <c r="K324">
        <f t="shared" si="34"/>
        <v>34</v>
      </c>
    </row>
    <row r="325" spans="1:11" x14ac:dyDescent="0.3">
      <c r="A325" s="3">
        <v>324</v>
      </c>
      <c r="B325" s="4">
        <v>40557</v>
      </c>
      <c r="C325" s="3">
        <v>23</v>
      </c>
      <c r="D325" s="3">
        <v>5</v>
      </c>
      <c r="E325" s="3">
        <v>0.18</v>
      </c>
      <c r="F325" t="str">
        <f t="shared" si="35"/>
        <v>Fri</v>
      </c>
      <c r="G325">
        <f t="shared" si="30"/>
        <v>0.2424</v>
      </c>
      <c r="H325">
        <f t="shared" si="31"/>
        <v>0.55000000000000004</v>
      </c>
      <c r="I325">
        <f t="shared" si="32"/>
        <v>0</v>
      </c>
      <c r="J325">
        <f t="shared" si="33"/>
        <v>1</v>
      </c>
      <c r="K325">
        <f t="shared" si="34"/>
        <v>26</v>
      </c>
    </row>
    <row r="326" spans="1:11" x14ac:dyDescent="0.3">
      <c r="A326" s="3">
        <v>325</v>
      </c>
      <c r="B326" s="4">
        <v>40558</v>
      </c>
      <c r="C326" s="3">
        <v>0</v>
      </c>
      <c r="D326" s="3">
        <v>6</v>
      </c>
      <c r="E326" s="3">
        <v>0.18</v>
      </c>
      <c r="F326" t="str">
        <f t="shared" si="35"/>
        <v>Sat</v>
      </c>
      <c r="G326">
        <f t="shared" si="30"/>
        <v>0.2424</v>
      </c>
      <c r="H326">
        <f t="shared" si="31"/>
        <v>0.55000000000000004</v>
      </c>
      <c r="I326">
        <f t="shared" si="32"/>
        <v>0</v>
      </c>
      <c r="J326">
        <f t="shared" si="33"/>
        <v>3</v>
      </c>
      <c r="K326">
        <f t="shared" si="34"/>
        <v>25</v>
      </c>
    </row>
    <row r="327" spans="1:11" x14ac:dyDescent="0.3">
      <c r="A327" s="3">
        <v>326</v>
      </c>
      <c r="B327" s="4">
        <v>40558</v>
      </c>
      <c r="C327" s="3">
        <v>1</v>
      </c>
      <c r="D327" s="3">
        <v>6</v>
      </c>
      <c r="E327" s="3">
        <v>0.16</v>
      </c>
      <c r="F327" t="str">
        <f t="shared" si="35"/>
        <v>Sat</v>
      </c>
      <c r="G327">
        <f t="shared" si="30"/>
        <v>0.19700000000000001</v>
      </c>
      <c r="H327">
        <f t="shared" si="31"/>
        <v>0.59</v>
      </c>
      <c r="I327">
        <f t="shared" si="32"/>
        <v>8.9599999999999999E-2</v>
      </c>
      <c r="J327">
        <f t="shared" si="33"/>
        <v>2</v>
      </c>
      <c r="K327">
        <f t="shared" si="34"/>
        <v>18</v>
      </c>
    </row>
    <row r="328" spans="1:11" x14ac:dyDescent="0.3">
      <c r="A328" s="3">
        <v>327</v>
      </c>
      <c r="B328" s="4">
        <v>40558</v>
      </c>
      <c r="C328" s="3">
        <v>2</v>
      </c>
      <c r="D328" s="3">
        <v>6</v>
      </c>
      <c r="E328" s="3">
        <v>0.16</v>
      </c>
      <c r="F328" t="str">
        <f t="shared" si="35"/>
        <v>Sat</v>
      </c>
      <c r="G328">
        <f t="shared" si="30"/>
        <v>0.19700000000000001</v>
      </c>
      <c r="H328">
        <f t="shared" si="31"/>
        <v>0.59</v>
      </c>
      <c r="I328">
        <f t="shared" si="32"/>
        <v>8.9599999999999999E-2</v>
      </c>
      <c r="J328">
        <f t="shared" si="33"/>
        <v>0</v>
      </c>
      <c r="K328">
        <f t="shared" si="34"/>
        <v>12</v>
      </c>
    </row>
    <row r="329" spans="1:11" x14ac:dyDescent="0.3">
      <c r="A329" s="3">
        <v>328</v>
      </c>
      <c r="B329" s="4">
        <v>40558</v>
      </c>
      <c r="C329" s="3">
        <v>3</v>
      </c>
      <c r="D329" s="3">
        <v>6</v>
      </c>
      <c r="E329" s="3">
        <v>0.16</v>
      </c>
      <c r="F329" t="str">
        <f t="shared" si="35"/>
        <v>Sat</v>
      </c>
      <c r="G329">
        <f t="shared" si="30"/>
        <v>0.2273</v>
      </c>
      <c r="H329">
        <f t="shared" si="31"/>
        <v>0.59</v>
      </c>
      <c r="I329">
        <f t="shared" si="32"/>
        <v>0</v>
      </c>
      <c r="J329">
        <f t="shared" si="33"/>
        <v>1</v>
      </c>
      <c r="K329">
        <f t="shared" si="34"/>
        <v>7</v>
      </c>
    </row>
    <row r="330" spans="1:11" x14ac:dyDescent="0.3">
      <c r="A330" s="3">
        <v>329</v>
      </c>
      <c r="B330" s="4">
        <v>40558</v>
      </c>
      <c r="C330" s="3">
        <v>4</v>
      </c>
      <c r="D330" s="3">
        <v>6</v>
      </c>
      <c r="E330" s="3">
        <v>0.16</v>
      </c>
      <c r="F330" t="str">
        <f t="shared" si="35"/>
        <v>Sat</v>
      </c>
      <c r="G330">
        <f t="shared" si="30"/>
        <v>0.2273</v>
      </c>
      <c r="H330">
        <f t="shared" si="31"/>
        <v>0.59</v>
      </c>
      <c r="I330">
        <f t="shared" si="32"/>
        <v>0</v>
      </c>
      <c r="J330">
        <f t="shared" si="33"/>
        <v>0</v>
      </c>
      <c r="K330">
        <f t="shared" si="34"/>
        <v>5</v>
      </c>
    </row>
    <row r="331" spans="1:11" x14ac:dyDescent="0.3">
      <c r="A331" s="3">
        <v>330</v>
      </c>
      <c r="B331" s="4">
        <v>40558</v>
      </c>
      <c r="C331" s="3">
        <v>5</v>
      </c>
      <c r="D331" s="3">
        <v>6</v>
      </c>
      <c r="E331" s="3">
        <v>0.16</v>
      </c>
      <c r="F331" t="str">
        <f t="shared" si="35"/>
        <v>Sat</v>
      </c>
      <c r="G331">
        <f t="shared" si="30"/>
        <v>0.2273</v>
      </c>
      <c r="H331">
        <f t="shared" si="31"/>
        <v>0.59</v>
      </c>
      <c r="I331">
        <f t="shared" si="32"/>
        <v>0</v>
      </c>
      <c r="J331">
        <f t="shared" si="33"/>
        <v>0</v>
      </c>
      <c r="K331">
        <f t="shared" si="34"/>
        <v>1</v>
      </c>
    </row>
    <row r="332" spans="1:11" x14ac:dyDescent="0.3">
      <c r="A332" s="3">
        <v>331</v>
      </c>
      <c r="B332" s="4">
        <v>40558</v>
      </c>
      <c r="C332" s="3">
        <v>6</v>
      </c>
      <c r="D332" s="3">
        <v>6</v>
      </c>
      <c r="E332" s="3">
        <v>0.14000000000000001</v>
      </c>
      <c r="F332" t="str">
        <f t="shared" si="35"/>
        <v>Sat</v>
      </c>
      <c r="G332">
        <f t="shared" si="30"/>
        <v>0.16669999999999999</v>
      </c>
      <c r="H332">
        <f t="shared" si="31"/>
        <v>0.63</v>
      </c>
      <c r="I332">
        <f t="shared" si="32"/>
        <v>0.1045</v>
      </c>
      <c r="J332">
        <f t="shared" si="33"/>
        <v>1</v>
      </c>
      <c r="K332">
        <f t="shared" si="34"/>
        <v>2</v>
      </c>
    </row>
    <row r="333" spans="1:11" x14ac:dyDescent="0.3">
      <c r="A333" s="3">
        <v>332</v>
      </c>
      <c r="B333" s="4">
        <v>40558</v>
      </c>
      <c r="C333" s="3">
        <v>7</v>
      </c>
      <c r="D333" s="3">
        <v>6</v>
      </c>
      <c r="E333" s="3">
        <v>0.14000000000000001</v>
      </c>
      <c r="F333" t="str">
        <f t="shared" si="35"/>
        <v>Sat</v>
      </c>
      <c r="G333">
        <f t="shared" si="30"/>
        <v>0.21210000000000001</v>
      </c>
      <c r="H333">
        <f t="shared" si="31"/>
        <v>0.63</v>
      </c>
      <c r="I333">
        <f t="shared" si="32"/>
        <v>0</v>
      </c>
      <c r="J333">
        <f t="shared" si="33"/>
        <v>1</v>
      </c>
      <c r="K333">
        <f t="shared" si="34"/>
        <v>9</v>
      </c>
    </row>
    <row r="334" spans="1:11" x14ac:dyDescent="0.3">
      <c r="A334" s="3">
        <v>333</v>
      </c>
      <c r="B334" s="4">
        <v>40558</v>
      </c>
      <c r="C334" s="3">
        <v>8</v>
      </c>
      <c r="D334" s="3">
        <v>6</v>
      </c>
      <c r="E334" s="3">
        <v>0.14000000000000001</v>
      </c>
      <c r="F334" t="str">
        <f t="shared" si="35"/>
        <v>Sat</v>
      </c>
      <c r="G334">
        <f t="shared" si="30"/>
        <v>0.1515</v>
      </c>
      <c r="H334">
        <f t="shared" si="31"/>
        <v>0.63</v>
      </c>
      <c r="I334">
        <f t="shared" si="32"/>
        <v>0.1343</v>
      </c>
      <c r="J334">
        <f t="shared" si="33"/>
        <v>1</v>
      </c>
      <c r="K334">
        <f t="shared" si="34"/>
        <v>22</v>
      </c>
    </row>
    <row r="335" spans="1:11" x14ac:dyDescent="0.3">
      <c r="A335" s="3">
        <v>334</v>
      </c>
      <c r="B335" s="4">
        <v>40558</v>
      </c>
      <c r="C335" s="3">
        <v>9</v>
      </c>
      <c r="D335" s="3">
        <v>6</v>
      </c>
      <c r="E335" s="3">
        <v>0.16</v>
      </c>
      <c r="F335" t="str">
        <f t="shared" si="35"/>
        <v>Sat</v>
      </c>
      <c r="G335">
        <f t="shared" si="30"/>
        <v>0.18179999999999999</v>
      </c>
      <c r="H335">
        <f t="shared" si="31"/>
        <v>0.64</v>
      </c>
      <c r="I335">
        <f t="shared" si="32"/>
        <v>0.1343</v>
      </c>
      <c r="J335">
        <f t="shared" si="33"/>
        <v>2</v>
      </c>
      <c r="K335">
        <f t="shared" si="34"/>
        <v>31</v>
      </c>
    </row>
    <row r="336" spans="1:11" x14ac:dyDescent="0.3">
      <c r="A336" s="3">
        <v>335</v>
      </c>
      <c r="B336" s="4">
        <v>40558</v>
      </c>
      <c r="C336" s="3">
        <v>10</v>
      </c>
      <c r="D336" s="3">
        <v>6</v>
      </c>
      <c r="E336" s="3">
        <v>0.18</v>
      </c>
      <c r="F336" t="str">
        <f t="shared" si="35"/>
        <v>Sat</v>
      </c>
      <c r="G336">
        <f t="shared" si="30"/>
        <v>0.19700000000000001</v>
      </c>
      <c r="H336">
        <f t="shared" si="31"/>
        <v>0.59</v>
      </c>
      <c r="I336">
        <f t="shared" si="32"/>
        <v>0.16420000000000001</v>
      </c>
      <c r="J336">
        <f t="shared" si="33"/>
        <v>2</v>
      </c>
      <c r="K336">
        <f t="shared" si="34"/>
        <v>57</v>
      </c>
    </row>
    <row r="337" spans="1:11" x14ac:dyDescent="0.3">
      <c r="A337" s="3">
        <v>336</v>
      </c>
      <c r="B337" s="4">
        <v>40558</v>
      </c>
      <c r="C337" s="3">
        <v>11</v>
      </c>
      <c r="D337" s="3">
        <v>6</v>
      </c>
      <c r="E337" s="3">
        <v>0.2</v>
      </c>
      <c r="F337" t="str">
        <f t="shared" si="35"/>
        <v>Sat</v>
      </c>
      <c r="G337">
        <f t="shared" si="30"/>
        <v>0.19700000000000001</v>
      </c>
      <c r="H337">
        <f t="shared" si="31"/>
        <v>0.55000000000000004</v>
      </c>
      <c r="I337">
        <f t="shared" si="32"/>
        <v>0.22389999999999999</v>
      </c>
      <c r="J337">
        <f t="shared" si="33"/>
        <v>18</v>
      </c>
      <c r="K337">
        <f t="shared" si="34"/>
        <v>54</v>
      </c>
    </row>
    <row r="338" spans="1:11" x14ac:dyDescent="0.3">
      <c r="A338" s="3">
        <v>337</v>
      </c>
      <c r="B338" s="4">
        <v>40558</v>
      </c>
      <c r="C338" s="3">
        <v>12</v>
      </c>
      <c r="D338" s="3">
        <v>6</v>
      </c>
      <c r="E338" s="3">
        <v>0.24</v>
      </c>
      <c r="F338" t="str">
        <f t="shared" si="35"/>
        <v>Sat</v>
      </c>
      <c r="G338">
        <f t="shared" si="30"/>
        <v>0.2273</v>
      </c>
      <c r="H338">
        <f t="shared" si="31"/>
        <v>0.48</v>
      </c>
      <c r="I338">
        <f t="shared" si="32"/>
        <v>0.22389999999999999</v>
      </c>
      <c r="J338">
        <f t="shared" si="33"/>
        <v>15</v>
      </c>
      <c r="K338">
        <f t="shared" si="34"/>
        <v>74</v>
      </c>
    </row>
    <row r="339" spans="1:11" x14ac:dyDescent="0.3">
      <c r="A339" s="3">
        <v>338</v>
      </c>
      <c r="B339" s="4">
        <v>40558</v>
      </c>
      <c r="C339" s="3">
        <v>13</v>
      </c>
      <c r="D339" s="3">
        <v>6</v>
      </c>
      <c r="E339" s="3">
        <v>0.28000000000000003</v>
      </c>
      <c r="F339" t="str">
        <f t="shared" si="35"/>
        <v>Sat</v>
      </c>
      <c r="G339">
        <f t="shared" si="30"/>
        <v>0.2576</v>
      </c>
      <c r="H339">
        <f t="shared" si="31"/>
        <v>0.38</v>
      </c>
      <c r="I339">
        <f t="shared" si="32"/>
        <v>0.29849999999999999</v>
      </c>
      <c r="J339">
        <f t="shared" si="33"/>
        <v>21</v>
      </c>
      <c r="K339">
        <f t="shared" si="34"/>
        <v>80</v>
      </c>
    </row>
    <row r="340" spans="1:11" x14ac:dyDescent="0.3">
      <c r="A340" s="3">
        <v>339</v>
      </c>
      <c r="B340" s="4">
        <v>40558</v>
      </c>
      <c r="C340" s="3">
        <v>14</v>
      </c>
      <c r="D340" s="3">
        <v>6</v>
      </c>
      <c r="E340" s="3">
        <v>0.3</v>
      </c>
      <c r="F340" t="str">
        <f t="shared" si="35"/>
        <v>Sat</v>
      </c>
      <c r="G340">
        <f t="shared" si="30"/>
        <v>0.28789999999999999</v>
      </c>
      <c r="H340">
        <f t="shared" si="31"/>
        <v>0.39</v>
      </c>
      <c r="I340">
        <f t="shared" si="32"/>
        <v>0.28360000000000002</v>
      </c>
      <c r="J340">
        <f t="shared" si="33"/>
        <v>26</v>
      </c>
      <c r="K340">
        <f t="shared" si="34"/>
        <v>92</v>
      </c>
    </row>
    <row r="341" spans="1:11" x14ac:dyDescent="0.3">
      <c r="A341" s="3">
        <v>340</v>
      </c>
      <c r="B341" s="4">
        <v>40558</v>
      </c>
      <c r="C341" s="3">
        <v>15</v>
      </c>
      <c r="D341" s="3">
        <v>6</v>
      </c>
      <c r="E341" s="3">
        <v>0.32</v>
      </c>
      <c r="F341" t="str">
        <f t="shared" si="35"/>
        <v>Sat</v>
      </c>
      <c r="G341">
        <f t="shared" si="30"/>
        <v>0.31819999999999998</v>
      </c>
      <c r="H341">
        <f t="shared" si="31"/>
        <v>0.36</v>
      </c>
      <c r="I341">
        <f t="shared" si="32"/>
        <v>0.19400000000000001</v>
      </c>
      <c r="J341">
        <f t="shared" si="33"/>
        <v>21</v>
      </c>
      <c r="K341">
        <f t="shared" si="34"/>
        <v>108</v>
      </c>
    </row>
    <row r="342" spans="1:11" x14ac:dyDescent="0.3">
      <c r="A342" s="3">
        <v>341</v>
      </c>
      <c r="B342" s="4">
        <v>40558</v>
      </c>
      <c r="C342" s="3">
        <v>16</v>
      </c>
      <c r="D342" s="3">
        <v>6</v>
      </c>
      <c r="E342" s="3">
        <v>0.34</v>
      </c>
      <c r="F342" t="str">
        <f t="shared" si="35"/>
        <v>Sat</v>
      </c>
      <c r="G342">
        <f t="shared" si="30"/>
        <v>0.33329999999999999</v>
      </c>
      <c r="H342">
        <f t="shared" si="31"/>
        <v>0.34</v>
      </c>
      <c r="I342">
        <f t="shared" si="32"/>
        <v>0.19400000000000001</v>
      </c>
      <c r="J342">
        <f t="shared" si="33"/>
        <v>33</v>
      </c>
      <c r="K342">
        <f t="shared" si="34"/>
        <v>95</v>
      </c>
    </row>
    <row r="343" spans="1:11" x14ac:dyDescent="0.3">
      <c r="A343" s="3">
        <v>342</v>
      </c>
      <c r="B343" s="4">
        <v>40558</v>
      </c>
      <c r="C343" s="3">
        <v>17</v>
      </c>
      <c r="D343" s="3">
        <v>6</v>
      </c>
      <c r="E343" s="3">
        <v>0.32</v>
      </c>
      <c r="F343" t="str">
        <f t="shared" si="35"/>
        <v>Sat</v>
      </c>
      <c r="G343">
        <f t="shared" si="30"/>
        <v>0.30299999999999999</v>
      </c>
      <c r="H343">
        <f t="shared" si="31"/>
        <v>0.36</v>
      </c>
      <c r="I343">
        <f t="shared" si="32"/>
        <v>0.28360000000000002</v>
      </c>
      <c r="J343">
        <f t="shared" si="33"/>
        <v>29</v>
      </c>
      <c r="K343">
        <f t="shared" si="34"/>
        <v>54</v>
      </c>
    </row>
    <row r="344" spans="1:11" x14ac:dyDescent="0.3">
      <c r="A344" s="3">
        <v>343</v>
      </c>
      <c r="B344" s="4">
        <v>40558</v>
      </c>
      <c r="C344" s="3">
        <v>18</v>
      </c>
      <c r="D344" s="3">
        <v>6</v>
      </c>
      <c r="E344" s="3">
        <v>0.3</v>
      </c>
      <c r="F344" t="str">
        <f t="shared" si="35"/>
        <v>Sat</v>
      </c>
      <c r="G344">
        <f t="shared" si="30"/>
        <v>0.28789999999999999</v>
      </c>
      <c r="H344">
        <f t="shared" si="31"/>
        <v>0.45</v>
      </c>
      <c r="I344">
        <f t="shared" si="32"/>
        <v>0.25369999999999998</v>
      </c>
      <c r="J344">
        <f t="shared" si="33"/>
        <v>15</v>
      </c>
      <c r="K344">
        <f t="shared" si="34"/>
        <v>69</v>
      </c>
    </row>
    <row r="345" spans="1:11" x14ac:dyDescent="0.3">
      <c r="A345" s="3">
        <v>344</v>
      </c>
      <c r="B345" s="4">
        <v>40558</v>
      </c>
      <c r="C345" s="3">
        <v>19</v>
      </c>
      <c r="D345" s="3">
        <v>6</v>
      </c>
      <c r="E345" s="3">
        <v>0.32</v>
      </c>
      <c r="F345" t="str">
        <f t="shared" si="35"/>
        <v>Sat</v>
      </c>
      <c r="G345">
        <f t="shared" si="30"/>
        <v>0.30299999999999999</v>
      </c>
      <c r="H345">
        <f t="shared" si="31"/>
        <v>0.39</v>
      </c>
      <c r="I345">
        <f t="shared" si="32"/>
        <v>0.25369999999999998</v>
      </c>
      <c r="J345">
        <f t="shared" si="33"/>
        <v>14</v>
      </c>
      <c r="K345">
        <f t="shared" si="34"/>
        <v>60</v>
      </c>
    </row>
    <row r="346" spans="1:11" x14ac:dyDescent="0.3">
      <c r="A346" s="3">
        <v>345</v>
      </c>
      <c r="B346" s="4">
        <v>40558</v>
      </c>
      <c r="C346" s="3">
        <v>20</v>
      </c>
      <c r="D346" s="3">
        <v>6</v>
      </c>
      <c r="E346" s="3">
        <v>0.32</v>
      </c>
      <c r="F346" t="str">
        <f t="shared" si="35"/>
        <v>Sat</v>
      </c>
      <c r="G346">
        <f t="shared" si="30"/>
        <v>0.30299999999999999</v>
      </c>
      <c r="H346">
        <f t="shared" si="31"/>
        <v>0.39</v>
      </c>
      <c r="I346">
        <f t="shared" si="32"/>
        <v>0.25369999999999998</v>
      </c>
      <c r="J346">
        <f t="shared" si="33"/>
        <v>6</v>
      </c>
      <c r="K346">
        <f t="shared" si="34"/>
        <v>35</v>
      </c>
    </row>
    <row r="347" spans="1:11" x14ac:dyDescent="0.3">
      <c r="A347" s="3">
        <v>346</v>
      </c>
      <c r="B347" s="4">
        <v>40558</v>
      </c>
      <c r="C347" s="3">
        <v>21</v>
      </c>
      <c r="D347" s="3">
        <v>6</v>
      </c>
      <c r="E347" s="3">
        <v>0.32</v>
      </c>
      <c r="F347" t="str">
        <f t="shared" si="35"/>
        <v>Sat</v>
      </c>
      <c r="G347">
        <f t="shared" si="30"/>
        <v>0.30299999999999999</v>
      </c>
      <c r="H347">
        <f t="shared" si="31"/>
        <v>0.39</v>
      </c>
      <c r="I347">
        <f t="shared" si="32"/>
        <v>0.22389999999999999</v>
      </c>
      <c r="J347">
        <f t="shared" si="33"/>
        <v>6</v>
      </c>
      <c r="K347">
        <f t="shared" si="34"/>
        <v>51</v>
      </c>
    </row>
    <row r="348" spans="1:11" x14ac:dyDescent="0.3">
      <c r="A348" s="3">
        <v>347</v>
      </c>
      <c r="B348" s="4">
        <v>40558</v>
      </c>
      <c r="C348" s="3">
        <v>22</v>
      </c>
      <c r="D348" s="3">
        <v>6</v>
      </c>
      <c r="E348" s="3">
        <v>0.3</v>
      </c>
      <c r="F348" t="str">
        <f t="shared" si="35"/>
        <v>Sat</v>
      </c>
      <c r="G348">
        <f t="shared" si="30"/>
        <v>0.31819999999999998</v>
      </c>
      <c r="H348">
        <f t="shared" si="31"/>
        <v>0.42</v>
      </c>
      <c r="I348">
        <f t="shared" si="32"/>
        <v>0.1045</v>
      </c>
      <c r="J348">
        <f t="shared" si="33"/>
        <v>0</v>
      </c>
      <c r="K348">
        <f t="shared" si="34"/>
        <v>26</v>
      </c>
    </row>
    <row r="349" spans="1:11" x14ac:dyDescent="0.3">
      <c r="A349" s="3">
        <v>348</v>
      </c>
      <c r="B349" s="4">
        <v>40558</v>
      </c>
      <c r="C349" s="3">
        <v>23</v>
      </c>
      <c r="D349" s="3">
        <v>6</v>
      </c>
      <c r="E349" s="3">
        <v>0.3</v>
      </c>
      <c r="F349" t="str">
        <f t="shared" si="35"/>
        <v>Sat</v>
      </c>
      <c r="G349">
        <f t="shared" si="30"/>
        <v>0.28789999999999999</v>
      </c>
      <c r="H349">
        <f t="shared" si="31"/>
        <v>0.45</v>
      </c>
      <c r="I349">
        <f t="shared" si="32"/>
        <v>0.28360000000000002</v>
      </c>
      <c r="J349">
        <f t="shared" si="33"/>
        <v>5</v>
      </c>
      <c r="K349">
        <f t="shared" si="34"/>
        <v>39</v>
      </c>
    </row>
    <row r="350" spans="1:11" x14ac:dyDescent="0.3">
      <c r="A350" s="3">
        <v>349</v>
      </c>
      <c r="B350" s="4">
        <v>40559</v>
      </c>
      <c r="C350" s="3">
        <v>0</v>
      </c>
      <c r="D350" s="3">
        <v>0</v>
      </c>
      <c r="E350" s="3">
        <v>0.26</v>
      </c>
      <c r="F350" t="str">
        <f t="shared" si="35"/>
        <v>Sun</v>
      </c>
      <c r="G350">
        <f t="shared" si="30"/>
        <v>0.30299999999999999</v>
      </c>
      <c r="H350">
        <f t="shared" si="31"/>
        <v>0.56000000000000005</v>
      </c>
      <c r="I350">
        <f t="shared" si="32"/>
        <v>0</v>
      </c>
      <c r="J350">
        <f t="shared" si="33"/>
        <v>6</v>
      </c>
      <c r="K350">
        <f t="shared" si="34"/>
        <v>33</v>
      </c>
    </row>
    <row r="351" spans="1:11" x14ac:dyDescent="0.3">
      <c r="A351" s="3">
        <v>350</v>
      </c>
      <c r="B351" s="4">
        <v>40559</v>
      </c>
      <c r="C351" s="3">
        <v>1</v>
      </c>
      <c r="D351" s="3">
        <v>0</v>
      </c>
      <c r="E351" s="3">
        <v>0.26</v>
      </c>
      <c r="F351" t="str">
        <f t="shared" si="35"/>
        <v>Sun</v>
      </c>
      <c r="G351">
        <f t="shared" si="30"/>
        <v>0.2727</v>
      </c>
      <c r="H351">
        <f t="shared" si="31"/>
        <v>0.56000000000000005</v>
      </c>
      <c r="I351">
        <f t="shared" si="32"/>
        <v>0.1343</v>
      </c>
      <c r="J351">
        <f t="shared" si="33"/>
        <v>4</v>
      </c>
      <c r="K351">
        <f t="shared" si="34"/>
        <v>19</v>
      </c>
    </row>
    <row r="352" spans="1:11" x14ac:dyDescent="0.3">
      <c r="A352" s="3">
        <v>351</v>
      </c>
      <c r="B352" s="4">
        <v>40559</v>
      </c>
      <c r="C352" s="3">
        <v>2</v>
      </c>
      <c r="D352" s="3">
        <v>0</v>
      </c>
      <c r="E352" s="3">
        <v>0.26</v>
      </c>
      <c r="F352" t="str">
        <f t="shared" si="35"/>
        <v>Sun</v>
      </c>
      <c r="G352">
        <f t="shared" si="30"/>
        <v>0.28789999999999999</v>
      </c>
      <c r="H352">
        <f t="shared" si="31"/>
        <v>0.56000000000000005</v>
      </c>
      <c r="I352">
        <f t="shared" si="32"/>
        <v>8.9599999999999999E-2</v>
      </c>
      <c r="J352">
        <f t="shared" si="33"/>
        <v>3</v>
      </c>
      <c r="K352">
        <f t="shared" si="34"/>
        <v>13</v>
      </c>
    </row>
    <row r="353" spans="1:11" x14ac:dyDescent="0.3">
      <c r="A353" s="3">
        <v>352</v>
      </c>
      <c r="B353" s="4">
        <v>40559</v>
      </c>
      <c r="C353" s="3">
        <v>3</v>
      </c>
      <c r="D353" s="3">
        <v>0</v>
      </c>
      <c r="E353" s="3">
        <v>0.22</v>
      </c>
      <c r="F353" t="str">
        <f t="shared" si="35"/>
        <v>Sun</v>
      </c>
      <c r="G353">
        <f t="shared" si="30"/>
        <v>0.2727</v>
      </c>
      <c r="H353">
        <f t="shared" si="31"/>
        <v>0.69</v>
      </c>
      <c r="I353">
        <f t="shared" si="32"/>
        <v>0</v>
      </c>
      <c r="J353">
        <f t="shared" si="33"/>
        <v>9</v>
      </c>
      <c r="K353">
        <f t="shared" si="34"/>
        <v>6</v>
      </c>
    </row>
    <row r="354" spans="1:11" x14ac:dyDescent="0.3">
      <c r="A354" s="3">
        <v>353</v>
      </c>
      <c r="B354" s="4">
        <v>40559</v>
      </c>
      <c r="C354" s="3">
        <v>4</v>
      </c>
      <c r="D354" s="3">
        <v>0</v>
      </c>
      <c r="E354" s="3">
        <v>0.26</v>
      </c>
      <c r="F354" t="str">
        <f t="shared" si="35"/>
        <v>Sun</v>
      </c>
      <c r="G354">
        <f t="shared" si="30"/>
        <v>0.2576</v>
      </c>
      <c r="H354">
        <f t="shared" si="31"/>
        <v>0.56000000000000005</v>
      </c>
      <c r="I354">
        <f t="shared" si="32"/>
        <v>0.16420000000000001</v>
      </c>
      <c r="J354">
        <f t="shared" si="33"/>
        <v>0</v>
      </c>
      <c r="K354">
        <f t="shared" si="34"/>
        <v>1</v>
      </c>
    </row>
    <row r="355" spans="1:11" x14ac:dyDescent="0.3">
      <c r="A355" s="3">
        <v>354</v>
      </c>
      <c r="B355" s="4">
        <v>40559</v>
      </c>
      <c r="C355" s="3">
        <v>5</v>
      </c>
      <c r="D355" s="3">
        <v>0</v>
      </c>
      <c r="E355" s="3">
        <v>0.26</v>
      </c>
      <c r="F355" t="str">
        <f t="shared" si="35"/>
        <v>Sun</v>
      </c>
      <c r="G355">
        <f t="shared" si="30"/>
        <v>0.2576</v>
      </c>
      <c r="H355">
        <f t="shared" si="31"/>
        <v>0.56000000000000005</v>
      </c>
      <c r="I355">
        <f t="shared" si="32"/>
        <v>0.16420000000000001</v>
      </c>
      <c r="J355">
        <f t="shared" si="33"/>
        <v>1</v>
      </c>
      <c r="K355">
        <f t="shared" si="34"/>
        <v>1</v>
      </c>
    </row>
    <row r="356" spans="1:11" x14ac:dyDescent="0.3">
      <c r="A356" s="3">
        <v>355</v>
      </c>
      <c r="B356" s="4">
        <v>40559</v>
      </c>
      <c r="C356" s="3">
        <v>6</v>
      </c>
      <c r="D356" s="3">
        <v>0</v>
      </c>
      <c r="E356" s="3">
        <v>0.26</v>
      </c>
      <c r="F356" t="str">
        <f t="shared" si="35"/>
        <v>Sun</v>
      </c>
      <c r="G356">
        <f t="shared" si="30"/>
        <v>0.2576</v>
      </c>
      <c r="H356">
        <f t="shared" si="31"/>
        <v>0.56000000000000005</v>
      </c>
      <c r="I356">
        <f t="shared" si="32"/>
        <v>0.16420000000000001</v>
      </c>
      <c r="J356">
        <f t="shared" si="33"/>
        <v>0</v>
      </c>
      <c r="K356">
        <f t="shared" si="34"/>
        <v>1</v>
      </c>
    </row>
    <row r="357" spans="1:11" x14ac:dyDescent="0.3">
      <c r="A357" s="3">
        <v>356</v>
      </c>
      <c r="B357" s="4">
        <v>40559</v>
      </c>
      <c r="C357" s="3">
        <v>7</v>
      </c>
      <c r="D357" s="3">
        <v>0</v>
      </c>
      <c r="E357" s="3">
        <v>0.24</v>
      </c>
      <c r="F357" t="str">
        <f t="shared" si="35"/>
        <v>Sun</v>
      </c>
      <c r="G357">
        <f t="shared" si="30"/>
        <v>0.21210000000000001</v>
      </c>
      <c r="H357">
        <f t="shared" si="31"/>
        <v>0.56000000000000005</v>
      </c>
      <c r="I357">
        <f t="shared" si="32"/>
        <v>0.29849999999999999</v>
      </c>
      <c r="J357">
        <f t="shared" si="33"/>
        <v>0</v>
      </c>
      <c r="K357">
        <f t="shared" si="34"/>
        <v>3</v>
      </c>
    </row>
    <row r="358" spans="1:11" x14ac:dyDescent="0.3">
      <c r="A358" s="3">
        <v>357</v>
      </c>
      <c r="B358" s="4">
        <v>40559</v>
      </c>
      <c r="C358" s="3">
        <v>8</v>
      </c>
      <c r="D358" s="3">
        <v>0</v>
      </c>
      <c r="E358" s="3">
        <v>0.22</v>
      </c>
      <c r="F358" t="str">
        <f t="shared" si="35"/>
        <v>Sun</v>
      </c>
      <c r="G358">
        <f t="shared" si="30"/>
        <v>0.21210000000000001</v>
      </c>
      <c r="H358">
        <f t="shared" si="31"/>
        <v>0.55000000000000004</v>
      </c>
      <c r="I358">
        <f t="shared" si="32"/>
        <v>0.28360000000000002</v>
      </c>
      <c r="J358">
        <f t="shared" si="33"/>
        <v>0</v>
      </c>
      <c r="K358">
        <f t="shared" si="34"/>
        <v>18</v>
      </c>
    </row>
    <row r="359" spans="1:11" x14ac:dyDescent="0.3">
      <c r="A359" s="3">
        <v>358</v>
      </c>
      <c r="B359" s="4">
        <v>40559</v>
      </c>
      <c r="C359" s="3">
        <v>9</v>
      </c>
      <c r="D359" s="3">
        <v>0</v>
      </c>
      <c r="E359" s="3">
        <v>0.22</v>
      </c>
      <c r="F359" t="str">
        <f t="shared" si="35"/>
        <v>Sun</v>
      </c>
      <c r="G359">
        <f t="shared" si="30"/>
        <v>0.21210000000000001</v>
      </c>
      <c r="H359">
        <f t="shared" si="31"/>
        <v>0.51</v>
      </c>
      <c r="I359">
        <f t="shared" si="32"/>
        <v>0.25369999999999998</v>
      </c>
      <c r="J359">
        <f t="shared" si="33"/>
        <v>3</v>
      </c>
      <c r="K359">
        <f t="shared" si="34"/>
        <v>29</v>
      </c>
    </row>
    <row r="360" spans="1:11" x14ac:dyDescent="0.3">
      <c r="A360" s="3">
        <v>359</v>
      </c>
      <c r="B360" s="4">
        <v>40559</v>
      </c>
      <c r="C360" s="3">
        <v>10</v>
      </c>
      <c r="D360" s="3">
        <v>0</v>
      </c>
      <c r="E360" s="3">
        <v>0.22</v>
      </c>
      <c r="F360" t="str">
        <f t="shared" si="35"/>
        <v>Sun</v>
      </c>
      <c r="G360">
        <f t="shared" si="30"/>
        <v>0.21210000000000001</v>
      </c>
      <c r="H360">
        <f t="shared" si="31"/>
        <v>0.51</v>
      </c>
      <c r="I360">
        <f t="shared" si="32"/>
        <v>0.28360000000000002</v>
      </c>
      <c r="J360">
        <f t="shared" si="33"/>
        <v>8</v>
      </c>
      <c r="K360">
        <f t="shared" si="34"/>
        <v>71</v>
      </c>
    </row>
    <row r="361" spans="1:11" x14ac:dyDescent="0.3">
      <c r="A361" s="3">
        <v>360</v>
      </c>
      <c r="B361" s="4">
        <v>40559</v>
      </c>
      <c r="C361" s="3">
        <v>11</v>
      </c>
      <c r="D361" s="3">
        <v>0</v>
      </c>
      <c r="E361" s="3">
        <v>0.24</v>
      </c>
      <c r="F361" t="str">
        <f t="shared" si="35"/>
        <v>Sun</v>
      </c>
      <c r="G361">
        <f t="shared" si="30"/>
        <v>0.2273</v>
      </c>
      <c r="H361">
        <f t="shared" si="31"/>
        <v>0.44</v>
      </c>
      <c r="I361">
        <f t="shared" si="32"/>
        <v>0.25369999999999998</v>
      </c>
      <c r="J361">
        <f t="shared" si="33"/>
        <v>23</v>
      </c>
      <c r="K361">
        <f t="shared" si="34"/>
        <v>70</v>
      </c>
    </row>
    <row r="362" spans="1:11" x14ac:dyDescent="0.3">
      <c r="A362" s="3">
        <v>361</v>
      </c>
      <c r="B362" s="4">
        <v>40559</v>
      </c>
      <c r="C362" s="3">
        <v>12</v>
      </c>
      <c r="D362" s="3">
        <v>0</v>
      </c>
      <c r="E362" s="3">
        <v>0.24</v>
      </c>
      <c r="F362" t="str">
        <f t="shared" si="35"/>
        <v>Sun</v>
      </c>
      <c r="G362">
        <f t="shared" si="30"/>
        <v>0.21210000000000001</v>
      </c>
      <c r="H362">
        <f t="shared" si="31"/>
        <v>0.41</v>
      </c>
      <c r="I362">
        <f t="shared" si="32"/>
        <v>0.28360000000000002</v>
      </c>
      <c r="J362">
        <f t="shared" si="33"/>
        <v>29</v>
      </c>
      <c r="K362">
        <f t="shared" si="34"/>
        <v>75</v>
      </c>
    </row>
    <row r="363" spans="1:11" x14ac:dyDescent="0.3">
      <c r="A363" s="3">
        <v>362</v>
      </c>
      <c r="B363" s="4">
        <v>40559</v>
      </c>
      <c r="C363" s="3">
        <v>13</v>
      </c>
      <c r="D363" s="3">
        <v>0</v>
      </c>
      <c r="E363" s="3">
        <v>0.26</v>
      </c>
      <c r="F363" t="str">
        <f t="shared" si="35"/>
        <v>Sun</v>
      </c>
      <c r="G363">
        <f t="shared" si="30"/>
        <v>0.2273</v>
      </c>
      <c r="H363">
        <f t="shared" si="31"/>
        <v>0.35</v>
      </c>
      <c r="I363">
        <f t="shared" si="32"/>
        <v>0.29849999999999999</v>
      </c>
      <c r="J363">
        <f t="shared" si="33"/>
        <v>23</v>
      </c>
      <c r="K363">
        <f t="shared" si="34"/>
        <v>95</v>
      </c>
    </row>
    <row r="364" spans="1:11" x14ac:dyDescent="0.3">
      <c r="A364" s="3">
        <v>363</v>
      </c>
      <c r="B364" s="4">
        <v>40559</v>
      </c>
      <c r="C364" s="3">
        <v>14</v>
      </c>
      <c r="D364" s="3">
        <v>0</v>
      </c>
      <c r="E364" s="3">
        <v>0.28000000000000003</v>
      </c>
      <c r="F364" t="str">
        <f t="shared" si="35"/>
        <v>Sun</v>
      </c>
      <c r="G364">
        <f t="shared" si="30"/>
        <v>0.2727</v>
      </c>
      <c r="H364">
        <f t="shared" si="31"/>
        <v>0.36</v>
      </c>
      <c r="I364">
        <f t="shared" si="32"/>
        <v>0.25369999999999998</v>
      </c>
      <c r="J364">
        <f t="shared" si="33"/>
        <v>22</v>
      </c>
      <c r="K364">
        <f t="shared" si="34"/>
        <v>69</v>
      </c>
    </row>
    <row r="365" spans="1:11" x14ac:dyDescent="0.3">
      <c r="A365" s="3">
        <v>364</v>
      </c>
      <c r="B365" s="4">
        <v>40559</v>
      </c>
      <c r="C365" s="3">
        <v>15</v>
      </c>
      <c r="D365" s="3">
        <v>0</v>
      </c>
      <c r="E365" s="3">
        <v>0.26</v>
      </c>
      <c r="F365" t="str">
        <f t="shared" si="35"/>
        <v>Sun</v>
      </c>
      <c r="G365">
        <f t="shared" si="30"/>
        <v>0.2424</v>
      </c>
      <c r="H365">
        <f t="shared" si="31"/>
        <v>0.38</v>
      </c>
      <c r="I365">
        <f t="shared" si="32"/>
        <v>0.25369999999999998</v>
      </c>
      <c r="J365">
        <f t="shared" si="33"/>
        <v>35</v>
      </c>
      <c r="K365">
        <f t="shared" si="34"/>
        <v>78</v>
      </c>
    </row>
    <row r="366" spans="1:11" x14ac:dyDescent="0.3">
      <c r="A366" s="3">
        <v>365</v>
      </c>
      <c r="B366" s="4">
        <v>40559</v>
      </c>
      <c r="C366" s="3">
        <v>16</v>
      </c>
      <c r="D366" s="3">
        <v>0</v>
      </c>
      <c r="E366" s="3">
        <v>0.24</v>
      </c>
      <c r="F366" t="str">
        <f t="shared" si="35"/>
        <v>Sun</v>
      </c>
      <c r="G366">
        <f t="shared" si="30"/>
        <v>0.2273</v>
      </c>
      <c r="H366">
        <f t="shared" si="31"/>
        <v>0.38</v>
      </c>
      <c r="I366">
        <f t="shared" si="32"/>
        <v>0.22389999999999999</v>
      </c>
      <c r="J366">
        <f t="shared" si="33"/>
        <v>22</v>
      </c>
      <c r="K366">
        <f t="shared" si="34"/>
        <v>77</v>
      </c>
    </row>
    <row r="367" spans="1:11" x14ac:dyDescent="0.3">
      <c r="A367" s="3">
        <v>366</v>
      </c>
      <c r="B367" s="4">
        <v>40559</v>
      </c>
      <c r="C367" s="3">
        <v>17</v>
      </c>
      <c r="D367" s="3">
        <v>0</v>
      </c>
      <c r="E367" s="3">
        <v>0.22</v>
      </c>
      <c r="F367" t="str">
        <f t="shared" si="35"/>
        <v>Sun</v>
      </c>
      <c r="G367">
        <f t="shared" si="30"/>
        <v>0.21210000000000001</v>
      </c>
      <c r="H367">
        <f t="shared" si="31"/>
        <v>0.37</v>
      </c>
      <c r="I367">
        <f t="shared" si="32"/>
        <v>0.25369999999999998</v>
      </c>
      <c r="J367">
        <f t="shared" si="33"/>
        <v>23</v>
      </c>
      <c r="K367">
        <f t="shared" si="34"/>
        <v>82</v>
      </c>
    </row>
    <row r="368" spans="1:11" x14ac:dyDescent="0.3">
      <c r="A368" s="3">
        <v>367</v>
      </c>
      <c r="B368" s="4">
        <v>40559</v>
      </c>
      <c r="C368" s="3">
        <v>18</v>
      </c>
      <c r="D368" s="3">
        <v>0</v>
      </c>
      <c r="E368" s="3">
        <v>0.2</v>
      </c>
      <c r="F368" t="str">
        <f t="shared" si="35"/>
        <v>Sun</v>
      </c>
      <c r="G368">
        <f t="shared" si="30"/>
        <v>0.21210000000000001</v>
      </c>
      <c r="H368">
        <f t="shared" si="31"/>
        <v>0.4</v>
      </c>
      <c r="I368">
        <f t="shared" si="32"/>
        <v>0.16420000000000001</v>
      </c>
      <c r="J368">
        <f t="shared" si="33"/>
        <v>11</v>
      </c>
      <c r="K368">
        <f t="shared" si="34"/>
        <v>56</v>
      </c>
    </row>
    <row r="369" spans="1:11" x14ac:dyDescent="0.3">
      <c r="A369" s="3">
        <v>368</v>
      </c>
      <c r="B369" s="4">
        <v>40559</v>
      </c>
      <c r="C369" s="3">
        <v>19</v>
      </c>
      <c r="D369" s="3">
        <v>0</v>
      </c>
      <c r="E369" s="3">
        <v>0.18</v>
      </c>
      <c r="F369" t="str">
        <f t="shared" si="35"/>
        <v>Sun</v>
      </c>
      <c r="G369">
        <f t="shared" si="30"/>
        <v>0.19700000000000001</v>
      </c>
      <c r="H369">
        <f t="shared" si="31"/>
        <v>0.47</v>
      </c>
      <c r="I369">
        <f t="shared" si="32"/>
        <v>0.1343</v>
      </c>
      <c r="J369">
        <f t="shared" si="33"/>
        <v>14</v>
      </c>
      <c r="K369">
        <f t="shared" si="34"/>
        <v>47</v>
      </c>
    </row>
    <row r="370" spans="1:11" x14ac:dyDescent="0.3">
      <c r="A370" s="3">
        <v>369</v>
      </c>
      <c r="B370" s="4">
        <v>40559</v>
      </c>
      <c r="C370" s="3">
        <v>20</v>
      </c>
      <c r="D370" s="3">
        <v>0</v>
      </c>
      <c r="E370" s="3">
        <v>0.18</v>
      </c>
      <c r="F370" t="str">
        <f t="shared" si="35"/>
        <v>Sun</v>
      </c>
      <c r="G370">
        <f t="shared" si="30"/>
        <v>0.19700000000000001</v>
      </c>
      <c r="H370">
        <f t="shared" si="31"/>
        <v>0.47</v>
      </c>
      <c r="I370">
        <f t="shared" si="32"/>
        <v>0.16420000000000001</v>
      </c>
      <c r="J370">
        <f t="shared" si="33"/>
        <v>7</v>
      </c>
      <c r="K370">
        <f t="shared" si="34"/>
        <v>50</v>
      </c>
    </row>
    <row r="371" spans="1:11" x14ac:dyDescent="0.3">
      <c r="A371" s="3">
        <v>370</v>
      </c>
      <c r="B371" s="4">
        <v>40559</v>
      </c>
      <c r="C371" s="3">
        <v>21</v>
      </c>
      <c r="D371" s="3">
        <v>0</v>
      </c>
      <c r="E371" s="3">
        <v>0.18</v>
      </c>
      <c r="F371" t="str">
        <f t="shared" si="35"/>
        <v>Sun</v>
      </c>
      <c r="G371">
        <f t="shared" si="30"/>
        <v>0.19700000000000001</v>
      </c>
      <c r="H371">
        <f t="shared" si="31"/>
        <v>0.51</v>
      </c>
      <c r="I371">
        <f t="shared" si="32"/>
        <v>0.16420000000000001</v>
      </c>
      <c r="J371">
        <f t="shared" si="33"/>
        <v>6</v>
      </c>
      <c r="K371">
        <f t="shared" si="34"/>
        <v>22</v>
      </c>
    </row>
    <row r="372" spans="1:11" x14ac:dyDescent="0.3">
      <c r="A372" s="3">
        <v>371</v>
      </c>
      <c r="B372" s="4">
        <v>40559</v>
      </c>
      <c r="C372" s="3">
        <v>22</v>
      </c>
      <c r="D372" s="3">
        <v>0</v>
      </c>
      <c r="E372" s="3">
        <v>0.2</v>
      </c>
      <c r="F372" t="str">
        <f t="shared" si="35"/>
        <v>Sun</v>
      </c>
      <c r="G372">
        <f t="shared" si="30"/>
        <v>0.21210000000000001</v>
      </c>
      <c r="H372">
        <f t="shared" si="31"/>
        <v>0.49</v>
      </c>
      <c r="I372">
        <f t="shared" si="32"/>
        <v>0.1343</v>
      </c>
      <c r="J372">
        <f t="shared" si="33"/>
        <v>2</v>
      </c>
      <c r="K372">
        <f t="shared" si="34"/>
        <v>19</v>
      </c>
    </row>
    <row r="373" spans="1:11" x14ac:dyDescent="0.3">
      <c r="A373" s="3">
        <v>372</v>
      </c>
      <c r="B373" s="4">
        <v>40559</v>
      </c>
      <c r="C373" s="3">
        <v>23</v>
      </c>
      <c r="D373" s="3">
        <v>0</v>
      </c>
      <c r="E373" s="3">
        <v>0.2</v>
      </c>
      <c r="F373" t="str">
        <f t="shared" si="35"/>
        <v>Sun</v>
      </c>
      <c r="G373">
        <f t="shared" si="30"/>
        <v>0.2273</v>
      </c>
      <c r="H373">
        <f t="shared" si="31"/>
        <v>0.4</v>
      </c>
      <c r="I373">
        <f t="shared" si="32"/>
        <v>0.1045</v>
      </c>
      <c r="J373">
        <f t="shared" si="33"/>
        <v>0</v>
      </c>
      <c r="K373">
        <f t="shared" si="34"/>
        <v>18</v>
      </c>
    </row>
    <row r="374" spans="1:11" x14ac:dyDescent="0.3">
      <c r="A374" s="3">
        <v>373</v>
      </c>
      <c r="B374" s="4">
        <v>40560</v>
      </c>
      <c r="C374" s="3">
        <v>0</v>
      </c>
      <c r="D374" s="3">
        <v>1</v>
      </c>
      <c r="E374" s="3">
        <v>0.2</v>
      </c>
      <c r="F374" t="str">
        <f t="shared" si="35"/>
        <v>Mon</v>
      </c>
      <c r="G374">
        <f t="shared" si="30"/>
        <v>0.19700000000000001</v>
      </c>
      <c r="H374">
        <f t="shared" si="31"/>
        <v>0.47</v>
      </c>
      <c r="I374">
        <f t="shared" si="32"/>
        <v>0.22389999999999999</v>
      </c>
      <c r="J374">
        <f t="shared" si="33"/>
        <v>1</v>
      </c>
      <c r="K374">
        <f t="shared" si="34"/>
        <v>16</v>
      </c>
    </row>
    <row r="375" spans="1:11" x14ac:dyDescent="0.3">
      <c r="A375" s="3">
        <v>374</v>
      </c>
      <c r="B375" s="4">
        <v>40560</v>
      </c>
      <c r="C375" s="3">
        <v>1</v>
      </c>
      <c r="D375" s="3">
        <v>1</v>
      </c>
      <c r="E375" s="3">
        <v>0.2</v>
      </c>
      <c r="F375" t="str">
        <f t="shared" si="35"/>
        <v>Mon</v>
      </c>
      <c r="G375">
        <f t="shared" si="30"/>
        <v>0.19700000000000001</v>
      </c>
      <c r="H375">
        <f t="shared" si="31"/>
        <v>0.44</v>
      </c>
      <c r="I375">
        <f t="shared" si="32"/>
        <v>0.19400000000000001</v>
      </c>
      <c r="J375">
        <f t="shared" si="33"/>
        <v>1</v>
      </c>
      <c r="K375">
        <f t="shared" si="34"/>
        <v>15</v>
      </c>
    </row>
    <row r="376" spans="1:11" x14ac:dyDescent="0.3">
      <c r="A376" s="3">
        <v>375</v>
      </c>
      <c r="B376" s="4">
        <v>40560</v>
      </c>
      <c r="C376" s="3">
        <v>2</v>
      </c>
      <c r="D376" s="3">
        <v>1</v>
      </c>
      <c r="E376" s="3">
        <v>0.18</v>
      </c>
      <c r="F376" t="str">
        <f t="shared" si="35"/>
        <v>Mon</v>
      </c>
      <c r="G376">
        <f t="shared" si="30"/>
        <v>0.16669999999999999</v>
      </c>
      <c r="H376">
        <f t="shared" si="31"/>
        <v>0.43</v>
      </c>
      <c r="I376">
        <f t="shared" si="32"/>
        <v>0.25369999999999998</v>
      </c>
      <c r="J376">
        <f t="shared" si="33"/>
        <v>0</v>
      </c>
      <c r="K376">
        <f t="shared" si="34"/>
        <v>8</v>
      </c>
    </row>
    <row r="377" spans="1:11" x14ac:dyDescent="0.3">
      <c r="A377" s="3">
        <v>376</v>
      </c>
      <c r="B377" s="4">
        <v>40560</v>
      </c>
      <c r="C377" s="3">
        <v>3</v>
      </c>
      <c r="D377" s="3">
        <v>1</v>
      </c>
      <c r="E377" s="3">
        <v>0.18</v>
      </c>
      <c r="F377" t="str">
        <f t="shared" si="35"/>
        <v>Mon</v>
      </c>
      <c r="G377">
        <f t="shared" si="30"/>
        <v>0.18179999999999999</v>
      </c>
      <c r="H377">
        <f t="shared" si="31"/>
        <v>0.43</v>
      </c>
      <c r="I377">
        <f t="shared" si="32"/>
        <v>0.19400000000000001</v>
      </c>
      <c r="J377">
        <f t="shared" si="33"/>
        <v>0</v>
      </c>
      <c r="K377">
        <f t="shared" si="34"/>
        <v>2</v>
      </c>
    </row>
    <row r="378" spans="1:11" x14ac:dyDescent="0.3">
      <c r="A378" s="3">
        <v>377</v>
      </c>
      <c r="B378" s="4">
        <v>40560</v>
      </c>
      <c r="C378" s="3">
        <v>4</v>
      </c>
      <c r="D378" s="3">
        <v>1</v>
      </c>
      <c r="E378" s="3">
        <v>0.18</v>
      </c>
      <c r="F378" t="str">
        <f t="shared" si="35"/>
        <v>Mon</v>
      </c>
      <c r="G378">
        <f t="shared" si="30"/>
        <v>0.19700000000000001</v>
      </c>
      <c r="H378">
        <f t="shared" si="31"/>
        <v>0.43</v>
      </c>
      <c r="I378">
        <f t="shared" si="32"/>
        <v>0.1343</v>
      </c>
      <c r="J378">
        <f t="shared" si="33"/>
        <v>1</v>
      </c>
      <c r="K378">
        <f t="shared" si="34"/>
        <v>2</v>
      </c>
    </row>
    <row r="379" spans="1:11" x14ac:dyDescent="0.3">
      <c r="A379" s="3">
        <v>378</v>
      </c>
      <c r="B379" s="4">
        <v>40560</v>
      </c>
      <c r="C379" s="3">
        <v>5</v>
      </c>
      <c r="D379" s="3">
        <v>1</v>
      </c>
      <c r="E379" s="3">
        <v>0.18</v>
      </c>
      <c r="F379" t="str">
        <f t="shared" si="35"/>
        <v>Mon</v>
      </c>
      <c r="G379">
        <f t="shared" si="30"/>
        <v>0.19700000000000001</v>
      </c>
      <c r="H379">
        <f t="shared" si="31"/>
        <v>0.43</v>
      </c>
      <c r="I379">
        <f t="shared" si="32"/>
        <v>0.16420000000000001</v>
      </c>
      <c r="J379">
        <f t="shared" si="33"/>
        <v>0</v>
      </c>
      <c r="K379">
        <f t="shared" si="34"/>
        <v>1</v>
      </c>
    </row>
    <row r="380" spans="1:11" x14ac:dyDescent="0.3">
      <c r="A380" s="3">
        <v>379</v>
      </c>
      <c r="B380" s="4">
        <v>40560</v>
      </c>
      <c r="C380" s="3">
        <v>6</v>
      </c>
      <c r="D380" s="3">
        <v>1</v>
      </c>
      <c r="E380" s="3">
        <v>0.18</v>
      </c>
      <c r="F380" t="str">
        <f t="shared" si="35"/>
        <v>Mon</v>
      </c>
      <c r="G380">
        <f t="shared" si="30"/>
        <v>0.18179999999999999</v>
      </c>
      <c r="H380">
        <f t="shared" si="31"/>
        <v>0.43</v>
      </c>
      <c r="I380">
        <f t="shared" si="32"/>
        <v>0.19400000000000001</v>
      </c>
      <c r="J380">
        <f t="shared" si="33"/>
        <v>0</v>
      </c>
      <c r="K380">
        <f t="shared" si="34"/>
        <v>5</v>
      </c>
    </row>
    <row r="381" spans="1:11" x14ac:dyDescent="0.3">
      <c r="A381" s="3">
        <v>380</v>
      </c>
      <c r="B381" s="4">
        <v>40560</v>
      </c>
      <c r="C381" s="3">
        <v>7</v>
      </c>
      <c r="D381" s="3">
        <v>1</v>
      </c>
      <c r="E381" s="3">
        <v>0.16</v>
      </c>
      <c r="F381" t="str">
        <f t="shared" si="35"/>
        <v>Mon</v>
      </c>
      <c r="G381">
        <f t="shared" si="30"/>
        <v>0.18179999999999999</v>
      </c>
      <c r="H381">
        <f t="shared" si="31"/>
        <v>0.5</v>
      </c>
      <c r="I381">
        <f t="shared" si="32"/>
        <v>0.1343</v>
      </c>
      <c r="J381">
        <f t="shared" si="33"/>
        <v>4</v>
      </c>
      <c r="K381">
        <f t="shared" si="34"/>
        <v>9</v>
      </c>
    </row>
    <row r="382" spans="1:11" x14ac:dyDescent="0.3">
      <c r="A382" s="3">
        <v>381</v>
      </c>
      <c r="B382" s="4">
        <v>40560</v>
      </c>
      <c r="C382" s="3">
        <v>8</v>
      </c>
      <c r="D382" s="3">
        <v>1</v>
      </c>
      <c r="E382" s="3">
        <v>0.16</v>
      </c>
      <c r="F382" t="str">
        <f t="shared" si="35"/>
        <v>Mon</v>
      </c>
      <c r="G382">
        <f t="shared" si="30"/>
        <v>0.1515</v>
      </c>
      <c r="H382">
        <f t="shared" si="31"/>
        <v>0.47</v>
      </c>
      <c r="I382">
        <f t="shared" si="32"/>
        <v>0.22389999999999999</v>
      </c>
      <c r="J382">
        <f t="shared" si="33"/>
        <v>3</v>
      </c>
      <c r="K382">
        <f t="shared" si="34"/>
        <v>30</v>
      </c>
    </row>
    <row r="383" spans="1:11" x14ac:dyDescent="0.3">
      <c r="A383" s="3">
        <v>382</v>
      </c>
      <c r="B383" s="4">
        <v>40560</v>
      </c>
      <c r="C383" s="3">
        <v>9</v>
      </c>
      <c r="D383" s="3">
        <v>1</v>
      </c>
      <c r="E383" s="3">
        <v>0.16</v>
      </c>
      <c r="F383" t="str">
        <f t="shared" si="35"/>
        <v>Mon</v>
      </c>
      <c r="G383">
        <f t="shared" si="30"/>
        <v>0.1515</v>
      </c>
      <c r="H383">
        <f t="shared" si="31"/>
        <v>0.47</v>
      </c>
      <c r="I383">
        <f t="shared" si="32"/>
        <v>0.22389999999999999</v>
      </c>
      <c r="J383">
        <f t="shared" si="33"/>
        <v>8</v>
      </c>
      <c r="K383">
        <f t="shared" si="34"/>
        <v>39</v>
      </c>
    </row>
    <row r="384" spans="1:11" x14ac:dyDescent="0.3">
      <c r="A384" s="3">
        <v>383</v>
      </c>
      <c r="B384" s="4">
        <v>40560</v>
      </c>
      <c r="C384" s="3">
        <v>10</v>
      </c>
      <c r="D384" s="3">
        <v>1</v>
      </c>
      <c r="E384" s="3">
        <v>0.16</v>
      </c>
      <c r="F384" t="str">
        <f t="shared" si="35"/>
        <v>Mon</v>
      </c>
      <c r="G384">
        <f t="shared" si="30"/>
        <v>0.1515</v>
      </c>
      <c r="H384">
        <f t="shared" si="31"/>
        <v>0.5</v>
      </c>
      <c r="I384">
        <f t="shared" si="32"/>
        <v>0.25369999999999998</v>
      </c>
      <c r="J384">
        <f t="shared" si="33"/>
        <v>7</v>
      </c>
      <c r="K384">
        <f t="shared" si="34"/>
        <v>50</v>
      </c>
    </row>
    <row r="385" spans="1:11" x14ac:dyDescent="0.3">
      <c r="A385" s="3">
        <v>384</v>
      </c>
      <c r="B385" s="4">
        <v>40560</v>
      </c>
      <c r="C385" s="3">
        <v>11</v>
      </c>
      <c r="D385" s="3">
        <v>1</v>
      </c>
      <c r="E385" s="3">
        <v>0.16</v>
      </c>
      <c r="F385" t="str">
        <f t="shared" si="35"/>
        <v>Mon</v>
      </c>
      <c r="G385">
        <f t="shared" si="30"/>
        <v>0.1515</v>
      </c>
      <c r="H385">
        <f t="shared" si="31"/>
        <v>0.55000000000000004</v>
      </c>
      <c r="I385">
        <f t="shared" si="32"/>
        <v>0.19400000000000001</v>
      </c>
      <c r="J385">
        <f t="shared" si="33"/>
        <v>9</v>
      </c>
      <c r="K385">
        <f t="shared" si="34"/>
        <v>55</v>
      </c>
    </row>
    <row r="386" spans="1:11" x14ac:dyDescent="0.3">
      <c r="A386" s="3">
        <v>385</v>
      </c>
      <c r="B386" s="4">
        <v>40560</v>
      </c>
      <c r="C386" s="3">
        <v>12</v>
      </c>
      <c r="D386" s="3">
        <v>1</v>
      </c>
      <c r="E386" s="3">
        <v>0.18</v>
      </c>
      <c r="F386" t="str">
        <f t="shared" si="35"/>
        <v>Mon</v>
      </c>
      <c r="G386">
        <f t="shared" ref="G386:G449" si="36">VLOOKUP($A386,instantc,3,FALSE)</f>
        <v>0.19700000000000001</v>
      </c>
      <c r="H386">
        <f t="shared" ref="H386:H449" si="37">VLOOKUP($A386,instantc,4,FALSE)</f>
        <v>0.47</v>
      </c>
      <c r="I386">
        <f t="shared" ref="I386:I449" si="38">VLOOKUP($A386,instantc,5,FALSE)</f>
        <v>0.1343</v>
      </c>
      <c r="J386">
        <f t="shared" ref="J386:J449" si="39">VLOOKUP($A386,instantc,6,FALSE)</f>
        <v>10</v>
      </c>
      <c r="K386">
        <f t="shared" ref="K386:K449" si="40">VLOOKUP($A386,instantc,7,FALSE)</f>
        <v>70</v>
      </c>
    </row>
    <row r="387" spans="1:11" x14ac:dyDescent="0.3">
      <c r="A387" s="3">
        <v>386</v>
      </c>
      <c r="B387" s="4">
        <v>40560</v>
      </c>
      <c r="C387" s="3">
        <v>13</v>
      </c>
      <c r="D387" s="3">
        <v>1</v>
      </c>
      <c r="E387" s="3">
        <v>0.18</v>
      </c>
      <c r="F387" t="str">
        <f t="shared" ref="F387:F450" si="41">TEXT(B387,"ddd")</f>
        <v>Mon</v>
      </c>
      <c r="G387">
        <f t="shared" si="36"/>
        <v>0.19700000000000001</v>
      </c>
      <c r="H387">
        <f t="shared" si="37"/>
        <v>0.47</v>
      </c>
      <c r="I387">
        <f t="shared" si="38"/>
        <v>0.1343</v>
      </c>
      <c r="J387">
        <f t="shared" si="39"/>
        <v>13</v>
      </c>
      <c r="K387">
        <f t="shared" si="40"/>
        <v>80</v>
      </c>
    </row>
    <row r="388" spans="1:11" x14ac:dyDescent="0.3">
      <c r="A388" s="3">
        <v>387</v>
      </c>
      <c r="B388" s="4">
        <v>40560</v>
      </c>
      <c r="C388" s="3">
        <v>14</v>
      </c>
      <c r="D388" s="3">
        <v>1</v>
      </c>
      <c r="E388" s="3">
        <v>0.18</v>
      </c>
      <c r="F388" t="str">
        <f t="shared" si="41"/>
        <v>Mon</v>
      </c>
      <c r="G388">
        <f t="shared" si="36"/>
        <v>0.21210000000000001</v>
      </c>
      <c r="H388">
        <f t="shared" si="37"/>
        <v>0.43</v>
      </c>
      <c r="I388">
        <f t="shared" si="38"/>
        <v>0.1045</v>
      </c>
      <c r="J388">
        <f t="shared" si="39"/>
        <v>12</v>
      </c>
      <c r="K388">
        <f t="shared" si="40"/>
        <v>74</v>
      </c>
    </row>
    <row r="389" spans="1:11" x14ac:dyDescent="0.3">
      <c r="A389" s="3">
        <v>388</v>
      </c>
      <c r="B389" s="4">
        <v>40560</v>
      </c>
      <c r="C389" s="3">
        <v>15</v>
      </c>
      <c r="D389" s="3">
        <v>1</v>
      </c>
      <c r="E389" s="3">
        <v>0.2</v>
      </c>
      <c r="F389" t="str">
        <f t="shared" si="41"/>
        <v>Mon</v>
      </c>
      <c r="G389">
        <f t="shared" si="36"/>
        <v>0.21210000000000001</v>
      </c>
      <c r="H389">
        <f t="shared" si="37"/>
        <v>0.47</v>
      </c>
      <c r="I389">
        <f t="shared" si="38"/>
        <v>0.16420000000000001</v>
      </c>
      <c r="J389">
        <f t="shared" si="39"/>
        <v>21</v>
      </c>
      <c r="K389">
        <f t="shared" si="40"/>
        <v>72</v>
      </c>
    </row>
    <row r="390" spans="1:11" x14ac:dyDescent="0.3">
      <c r="A390" s="3">
        <v>389</v>
      </c>
      <c r="B390" s="4">
        <v>40560</v>
      </c>
      <c r="C390" s="3">
        <v>16</v>
      </c>
      <c r="D390" s="3">
        <v>1</v>
      </c>
      <c r="E390" s="3">
        <v>0.2</v>
      </c>
      <c r="F390" t="str">
        <f t="shared" si="41"/>
        <v>Mon</v>
      </c>
      <c r="G390">
        <f t="shared" si="36"/>
        <v>0.21210000000000001</v>
      </c>
      <c r="H390">
        <f t="shared" si="37"/>
        <v>0.47</v>
      </c>
      <c r="I390">
        <f t="shared" si="38"/>
        <v>0.16420000000000001</v>
      </c>
      <c r="J390">
        <f t="shared" si="39"/>
        <v>6</v>
      </c>
      <c r="K390">
        <f t="shared" si="40"/>
        <v>76</v>
      </c>
    </row>
    <row r="391" spans="1:11" x14ac:dyDescent="0.3">
      <c r="A391" s="3">
        <v>390</v>
      </c>
      <c r="B391" s="4">
        <v>40560</v>
      </c>
      <c r="C391" s="3">
        <v>17</v>
      </c>
      <c r="D391" s="3">
        <v>1</v>
      </c>
      <c r="E391" s="3">
        <v>0.2</v>
      </c>
      <c r="F391" t="str">
        <f t="shared" si="41"/>
        <v>Mon</v>
      </c>
      <c r="G391">
        <f t="shared" si="36"/>
        <v>0.19700000000000001</v>
      </c>
      <c r="H391">
        <f t="shared" si="37"/>
        <v>0.51</v>
      </c>
      <c r="I391">
        <f t="shared" si="38"/>
        <v>0.19400000000000001</v>
      </c>
      <c r="J391">
        <f t="shared" si="39"/>
        <v>4</v>
      </c>
      <c r="K391">
        <f t="shared" si="40"/>
        <v>67</v>
      </c>
    </row>
    <row r="392" spans="1:11" x14ac:dyDescent="0.3">
      <c r="A392" s="3">
        <v>391</v>
      </c>
      <c r="B392" s="4">
        <v>40560</v>
      </c>
      <c r="C392" s="3">
        <v>18</v>
      </c>
      <c r="D392" s="3">
        <v>1</v>
      </c>
      <c r="E392" s="3">
        <v>0.18</v>
      </c>
      <c r="F392" t="str">
        <f t="shared" si="41"/>
        <v>Mon</v>
      </c>
      <c r="G392">
        <f t="shared" si="36"/>
        <v>0.16669999999999999</v>
      </c>
      <c r="H392">
        <f t="shared" si="37"/>
        <v>0.55000000000000004</v>
      </c>
      <c r="I392">
        <f t="shared" si="38"/>
        <v>0.25369999999999998</v>
      </c>
      <c r="J392">
        <f t="shared" si="39"/>
        <v>7</v>
      </c>
      <c r="K392">
        <f t="shared" si="40"/>
        <v>85</v>
      </c>
    </row>
    <row r="393" spans="1:11" x14ac:dyDescent="0.3">
      <c r="A393" s="3">
        <v>392</v>
      </c>
      <c r="B393" s="4">
        <v>40560</v>
      </c>
      <c r="C393" s="3">
        <v>19</v>
      </c>
      <c r="D393" s="3">
        <v>1</v>
      </c>
      <c r="E393" s="3">
        <v>0.18</v>
      </c>
      <c r="F393" t="str">
        <f t="shared" si="41"/>
        <v>Mon</v>
      </c>
      <c r="G393">
        <f t="shared" si="36"/>
        <v>0.18179999999999999</v>
      </c>
      <c r="H393">
        <f t="shared" si="37"/>
        <v>0.59</v>
      </c>
      <c r="I393">
        <f t="shared" si="38"/>
        <v>0.19400000000000001</v>
      </c>
      <c r="J393">
        <f t="shared" si="39"/>
        <v>2</v>
      </c>
      <c r="K393">
        <f t="shared" si="40"/>
        <v>58</v>
      </c>
    </row>
    <row r="394" spans="1:11" x14ac:dyDescent="0.3">
      <c r="A394" s="3">
        <v>393</v>
      </c>
      <c r="B394" s="4">
        <v>40560</v>
      </c>
      <c r="C394" s="3">
        <v>20</v>
      </c>
      <c r="D394" s="3">
        <v>1</v>
      </c>
      <c r="E394" s="3">
        <v>0.16</v>
      </c>
      <c r="F394" t="str">
        <f t="shared" si="41"/>
        <v>Mon</v>
      </c>
      <c r="G394">
        <f t="shared" si="36"/>
        <v>0.1515</v>
      </c>
      <c r="H394">
        <f t="shared" si="37"/>
        <v>0.8</v>
      </c>
      <c r="I394">
        <f t="shared" si="38"/>
        <v>0.19400000000000001</v>
      </c>
      <c r="J394">
        <f t="shared" si="39"/>
        <v>4</v>
      </c>
      <c r="K394">
        <f t="shared" si="40"/>
        <v>29</v>
      </c>
    </row>
    <row r="395" spans="1:11" x14ac:dyDescent="0.3">
      <c r="A395" s="3">
        <v>394</v>
      </c>
      <c r="B395" s="4">
        <v>40560</v>
      </c>
      <c r="C395" s="3">
        <v>21</v>
      </c>
      <c r="D395" s="3">
        <v>1</v>
      </c>
      <c r="E395" s="3">
        <v>0.16</v>
      </c>
      <c r="F395" t="str">
        <f t="shared" si="41"/>
        <v>Mon</v>
      </c>
      <c r="G395">
        <f t="shared" si="36"/>
        <v>0.1515</v>
      </c>
      <c r="H395">
        <f t="shared" si="37"/>
        <v>0.8</v>
      </c>
      <c r="I395">
        <f t="shared" si="38"/>
        <v>0.19400000000000001</v>
      </c>
      <c r="J395">
        <f t="shared" si="39"/>
        <v>3</v>
      </c>
      <c r="K395">
        <f t="shared" si="40"/>
        <v>24</v>
      </c>
    </row>
    <row r="396" spans="1:11" x14ac:dyDescent="0.3">
      <c r="A396" s="3">
        <v>395</v>
      </c>
      <c r="B396" s="4">
        <v>40560</v>
      </c>
      <c r="C396" s="3">
        <v>22</v>
      </c>
      <c r="D396" s="3">
        <v>1</v>
      </c>
      <c r="E396" s="3">
        <v>0.14000000000000001</v>
      </c>
      <c r="F396" t="str">
        <f t="shared" si="41"/>
        <v>Mon</v>
      </c>
      <c r="G396">
        <f t="shared" si="36"/>
        <v>0.1212</v>
      </c>
      <c r="H396">
        <f t="shared" si="37"/>
        <v>0.93</v>
      </c>
      <c r="I396">
        <f t="shared" si="38"/>
        <v>0.25369999999999998</v>
      </c>
      <c r="J396">
        <f t="shared" si="39"/>
        <v>0</v>
      </c>
      <c r="K396">
        <f t="shared" si="40"/>
        <v>13</v>
      </c>
    </row>
    <row r="397" spans="1:11" x14ac:dyDescent="0.3">
      <c r="A397" s="3">
        <v>396</v>
      </c>
      <c r="B397" s="4">
        <v>40560</v>
      </c>
      <c r="C397" s="3">
        <v>23</v>
      </c>
      <c r="D397" s="3">
        <v>1</v>
      </c>
      <c r="E397" s="3">
        <v>0.16</v>
      </c>
      <c r="F397" t="str">
        <f t="shared" si="41"/>
        <v>Mon</v>
      </c>
      <c r="G397">
        <f t="shared" si="36"/>
        <v>0.13639999999999999</v>
      </c>
      <c r="H397">
        <f t="shared" si="37"/>
        <v>0.86</v>
      </c>
      <c r="I397">
        <f t="shared" si="38"/>
        <v>0.28360000000000002</v>
      </c>
      <c r="J397">
        <f t="shared" si="39"/>
        <v>1</v>
      </c>
      <c r="K397">
        <f t="shared" si="40"/>
        <v>3</v>
      </c>
    </row>
    <row r="398" spans="1:11" x14ac:dyDescent="0.3">
      <c r="A398" s="3">
        <v>397</v>
      </c>
      <c r="B398" s="4">
        <v>40561</v>
      </c>
      <c r="C398" s="3">
        <v>12</v>
      </c>
      <c r="D398" s="3">
        <v>2</v>
      </c>
      <c r="E398" s="3">
        <v>0.2</v>
      </c>
      <c r="F398" t="str">
        <f t="shared" si="41"/>
        <v>Tue</v>
      </c>
      <c r="G398">
        <f t="shared" si="36"/>
        <v>0.18179999999999999</v>
      </c>
      <c r="H398">
        <f t="shared" si="37"/>
        <v>0.86</v>
      </c>
      <c r="I398">
        <f t="shared" si="38"/>
        <v>0.32840000000000003</v>
      </c>
      <c r="J398">
        <f t="shared" si="39"/>
        <v>0</v>
      </c>
      <c r="K398">
        <f t="shared" si="40"/>
        <v>3</v>
      </c>
    </row>
    <row r="399" spans="1:11" x14ac:dyDescent="0.3">
      <c r="A399" s="3">
        <v>398</v>
      </c>
      <c r="B399" s="4">
        <v>40561</v>
      </c>
      <c r="C399" s="3">
        <v>13</v>
      </c>
      <c r="D399" s="3">
        <v>2</v>
      </c>
      <c r="E399" s="3">
        <v>0.2</v>
      </c>
      <c r="F399" t="str">
        <f t="shared" si="41"/>
        <v>Tue</v>
      </c>
      <c r="G399">
        <f t="shared" si="36"/>
        <v>0.19700000000000001</v>
      </c>
      <c r="H399">
        <f t="shared" si="37"/>
        <v>0.86</v>
      </c>
      <c r="I399">
        <f t="shared" si="38"/>
        <v>0.22389999999999999</v>
      </c>
      <c r="J399">
        <f t="shared" si="39"/>
        <v>0</v>
      </c>
      <c r="K399">
        <f t="shared" si="40"/>
        <v>22</v>
      </c>
    </row>
    <row r="400" spans="1:11" x14ac:dyDescent="0.3">
      <c r="A400" s="3">
        <v>399</v>
      </c>
      <c r="B400" s="4">
        <v>40561</v>
      </c>
      <c r="C400" s="3">
        <v>14</v>
      </c>
      <c r="D400" s="3">
        <v>2</v>
      </c>
      <c r="E400" s="3">
        <v>0.22</v>
      </c>
      <c r="F400" t="str">
        <f t="shared" si="41"/>
        <v>Tue</v>
      </c>
      <c r="G400">
        <f t="shared" si="36"/>
        <v>0.2273</v>
      </c>
      <c r="H400">
        <f t="shared" si="37"/>
        <v>0.8</v>
      </c>
      <c r="I400">
        <f t="shared" si="38"/>
        <v>0.16420000000000001</v>
      </c>
      <c r="J400">
        <f t="shared" si="39"/>
        <v>2</v>
      </c>
      <c r="K400">
        <f t="shared" si="40"/>
        <v>26</v>
      </c>
    </row>
    <row r="401" spans="1:11" x14ac:dyDescent="0.3">
      <c r="A401" s="3">
        <v>400</v>
      </c>
      <c r="B401" s="4">
        <v>40561</v>
      </c>
      <c r="C401" s="3">
        <v>15</v>
      </c>
      <c r="D401" s="3">
        <v>2</v>
      </c>
      <c r="E401" s="3">
        <v>0.22</v>
      </c>
      <c r="F401" t="str">
        <f t="shared" si="41"/>
        <v>Tue</v>
      </c>
      <c r="G401">
        <f t="shared" si="36"/>
        <v>0.2273</v>
      </c>
      <c r="H401">
        <f t="shared" si="37"/>
        <v>0.87</v>
      </c>
      <c r="I401">
        <f t="shared" si="38"/>
        <v>0.16420000000000001</v>
      </c>
      <c r="J401">
        <f t="shared" si="39"/>
        <v>3</v>
      </c>
      <c r="K401">
        <f t="shared" si="40"/>
        <v>32</v>
      </c>
    </row>
    <row r="402" spans="1:11" x14ac:dyDescent="0.3">
      <c r="A402" s="3">
        <v>401</v>
      </c>
      <c r="B402" s="4">
        <v>40561</v>
      </c>
      <c r="C402" s="3">
        <v>16</v>
      </c>
      <c r="D402" s="3">
        <v>2</v>
      </c>
      <c r="E402" s="3">
        <v>0.22</v>
      </c>
      <c r="F402" t="str">
        <f t="shared" si="41"/>
        <v>Tue</v>
      </c>
      <c r="G402">
        <f t="shared" si="36"/>
        <v>0.2273</v>
      </c>
      <c r="H402">
        <f t="shared" si="37"/>
        <v>0.87</v>
      </c>
      <c r="I402">
        <f t="shared" si="38"/>
        <v>0.19400000000000001</v>
      </c>
      <c r="J402">
        <f t="shared" si="39"/>
        <v>0</v>
      </c>
      <c r="K402">
        <f t="shared" si="40"/>
        <v>61</v>
      </c>
    </row>
    <row r="403" spans="1:11" x14ac:dyDescent="0.3">
      <c r="A403" s="3">
        <v>402</v>
      </c>
      <c r="B403" s="4">
        <v>40561</v>
      </c>
      <c r="C403" s="3">
        <v>17</v>
      </c>
      <c r="D403" s="3">
        <v>2</v>
      </c>
      <c r="E403" s="3">
        <v>0.22</v>
      </c>
      <c r="F403" t="str">
        <f t="shared" si="41"/>
        <v>Tue</v>
      </c>
      <c r="G403">
        <f t="shared" si="36"/>
        <v>0.2273</v>
      </c>
      <c r="H403">
        <f t="shared" si="37"/>
        <v>0.82</v>
      </c>
      <c r="I403">
        <f t="shared" si="38"/>
        <v>0.19400000000000001</v>
      </c>
      <c r="J403">
        <f t="shared" si="39"/>
        <v>1</v>
      </c>
      <c r="K403">
        <f t="shared" si="40"/>
        <v>124</v>
      </c>
    </row>
    <row r="404" spans="1:11" x14ac:dyDescent="0.3">
      <c r="A404" s="3">
        <v>403</v>
      </c>
      <c r="B404" s="4">
        <v>40561</v>
      </c>
      <c r="C404" s="3">
        <v>18</v>
      </c>
      <c r="D404" s="3">
        <v>2</v>
      </c>
      <c r="E404" s="3">
        <v>0.22</v>
      </c>
      <c r="F404" t="str">
        <f t="shared" si="41"/>
        <v>Tue</v>
      </c>
      <c r="G404">
        <f t="shared" si="36"/>
        <v>0.2273</v>
      </c>
      <c r="H404">
        <f t="shared" si="37"/>
        <v>0.8</v>
      </c>
      <c r="I404">
        <f t="shared" si="38"/>
        <v>0.16420000000000001</v>
      </c>
      <c r="J404">
        <f t="shared" si="39"/>
        <v>1</v>
      </c>
      <c r="K404">
        <f t="shared" si="40"/>
        <v>132</v>
      </c>
    </row>
    <row r="405" spans="1:11" x14ac:dyDescent="0.3">
      <c r="A405" s="3">
        <v>404</v>
      </c>
      <c r="B405" s="4">
        <v>40561</v>
      </c>
      <c r="C405" s="3">
        <v>19</v>
      </c>
      <c r="D405" s="3">
        <v>2</v>
      </c>
      <c r="E405" s="3">
        <v>0.22</v>
      </c>
      <c r="F405" t="str">
        <f t="shared" si="41"/>
        <v>Tue</v>
      </c>
      <c r="G405">
        <f t="shared" si="36"/>
        <v>0.2273</v>
      </c>
      <c r="H405">
        <f t="shared" si="37"/>
        <v>0.8</v>
      </c>
      <c r="I405">
        <f t="shared" si="38"/>
        <v>0.1343</v>
      </c>
      <c r="J405">
        <f t="shared" si="39"/>
        <v>1</v>
      </c>
      <c r="K405">
        <f t="shared" si="40"/>
        <v>98</v>
      </c>
    </row>
    <row r="406" spans="1:11" x14ac:dyDescent="0.3">
      <c r="A406" s="3">
        <v>405</v>
      </c>
      <c r="B406" s="4">
        <v>40561</v>
      </c>
      <c r="C406" s="3">
        <v>20</v>
      </c>
      <c r="D406" s="3">
        <v>2</v>
      </c>
      <c r="E406" s="3">
        <v>0.22</v>
      </c>
      <c r="F406" t="str">
        <f t="shared" si="41"/>
        <v>Tue</v>
      </c>
      <c r="G406">
        <f t="shared" si="36"/>
        <v>0.2727</v>
      </c>
      <c r="H406">
        <f t="shared" si="37"/>
        <v>0.87</v>
      </c>
      <c r="I406">
        <f t="shared" si="38"/>
        <v>0</v>
      </c>
      <c r="J406">
        <f t="shared" si="39"/>
        <v>0</v>
      </c>
      <c r="K406">
        <f t="shared" si="40"/>
        <v>83</v>
      </c>
    </row>
    <row r="407" spans="1:11" x14ac:dyDescent="0.3">
      <c r="A407" s="3">
        <v>406</v>
      </c>
      <c r="B407" s="4">
        <v>40561</v>
      </c>
      <c r="C407" s="3">
        <v>21</v>
      </c>
      <c r="D407" s="3">
        <v>2</v>
      </c>
      <c r="E407" s="3">
        <v>0.22</v>
      </c>
      <c r="F407" t="str">
        <f t="shared" si="41"/>
        <v>Tue</v>
      </c>
      <c r="G407">
        <f t="shared" si="36"/>
        <v>0.2424</v>
      </c>
      <c r="H407">
        <f t="shared" si="37"/>
        <v>0.93</v>
      </c>
      <c r="I407">
        <f t="shared" si="38"/>
        <v>0.1045</v>
      </c>
      <c r="J407">
        <f t="shared" si="39"/>
        <v>0</v>
      </c>
      <c r="K407">
        <f t="shared" si="40"/>
        <v>41</v>
      </c>
    </row>
    <row r="408" spans="1:11" x14ac:dyDescent="0.3">
      <c r="A408" s="3">
        <v>407</v>
      </c>
      <c r="B408" s="4">
        <v>40561</v>
      </c>
      <c r="C408" s="3">
        <v>22</v>
      </c>
      <c r="D408" s="3">
        <v>2</v>
      </c>
      <c r="E408" s="3">
        <v>0.22</v>
      </c>
      <c r="F408" t="str">
        <f t="shared" si="41"/>
        <v>Tue</v>
      </c>
      <c r="G408">
        <f t="shared" si="36"/>
        <v>0.2576</v>
      </c>
      <c r="H408">
        <f t="shared" si="37"/>
        <v>0.93</v>
      </c>
      <c r="I408">
        <f t="shared" si="38"/>
        <v>8.9599999999999999E-2</v>
      </c>
      <c r="J408">
        <f t="shared" si="39"/>
        <v>0</v>
      </c>
      <c r="K408">
        <f t="shared" si="40"/>
        <v>33</v>
      </c>
    </row>
    <row r="409" spans="1:11" x14ac:dyDescent="0.3">
      <c r="A409" s="3">
        <v>408</v>
      </c>
      <c r="B409" s="4">
        <v>40561</v>
      </c>
      <c r="C409" s="3">
        <v>23</v>
      </c>
      <c r="D409" s="3">
        <v>2</v>
      </c>
      <c r="E409" s="3">
        <v>0.22</v>
      </c>
      <c r="F409" t="str">
        <f t="shared" si="41"/>
        <v>Tue</v>
      </c>
      <c r="G409">
        <f t="shared" si="36"/>
        <v>0.2727</v>
      </c>
      <c r="H409">
        <f t="shared" si="37"/>
        <v>0.93</v>
      </c>
      <c r="I409">
        <f t="shared" si="38"/>
        <v>0</v>
      </c>
      <c r="J409">
        <f t="shared" si="39"/>
        <v>1</v>
      </c>
      <c r="K409">
        <f t="shared" si="40"/>
        <v>19</v>
      </c>
    </row>
    <row r="410" spans="1:11" x14ac:dyDescent="0.3">
      <c r="A410" s="3">
        <v>409</v>
      </c>
      <c r="B410" s="4">
        <v>40562</v>
      </c>
      <c r="C410" s="3">
        <v>0</v>
      </c>
      <c r="D410" s="3">
        <v>3</v>
      </c>
      <c r="E410" s="3">
        <v>0.22</v>
      </c>
      <c r="F410" t="str">
        <f t="shared" si="41"/>
        <v>Wed</v>
      </c>
      <c r="G410">
        <f t="shared" si="36"/>
        <v>0.2727</v>
      </c>
      <c r="H410">
        <f t="shared" si="37"/>
        <v>0.93</v>
      </c>
      <c r="I410">
        <f t="shared" si="38"/>
        <v>0</v>
      </c>
      <c r="J410">
        <f t="shared" si="39"/>
        <v>0</v>
      </c>
      <c r="K410">
        <f t="shared" si="40"/>
        <v>3</v>
      </c>
    </row>
    <row r="411" spans="1:11" x14ac:dyDescent="0.3">
      <c r="A411" s="3">
        <v>410</v>
      </c>
      <c r="B411" s="4">
        <v>40562</v>
      </c>
      <c r="C411" s="3">
        <v>1</v>
      </c>
      <c r="D411" s="3">
        <v>3</v>
      </c>
      <c r="E411" s="3">
        <v>0.22</v>
      </c>
      <c r="F411" t="str">
        <f t="shared" si="41"/>
        <v>Wed</v>
      </c>
      <c r="G411">
        <f t="shared" si="36"/>
        <v>0.2273</v>
      </c>
      <c r="H411">
        <f t="shared" si="37"/>
        <v>0.93</v>
      </c>
      <c r="I411">
        <f t="shared" si="38"/>
        <v>0.1343</v>
      </c>
      <c r="J411">
        <f t="shared" si="39"/>
        <v>1</v>
      </c>
      <c r="K411">
        <f t="shared" si="40"/>
        <v>6</v>
      </c>
    </row>
    <row r="412" spans="1:11" x14ac:dyDescent="0.3">
      <c r="A412" s="3">
        <v>411</v>
      </c>
      <c r="B412" s="4">
        <v>40562</v>
      </c>
      <c r="C412" s="3">
        <v>2</v>
      </c>
      <c r="D412" s="3">
        <v>3</v>
      </c>
      <c r="E412" s="3">
        <v>0.22</v>
      </c>
      <c r="F412" t="str">
        <f t="shared" si="41"/>
        <v>Wed</v>
      </c>
      <c r="G412">
        <f t="shared" si="36"/>
        <v>0.2273</v>
      </c>
      <c r="H412">
        <f t="shared" si="37"/>
        <v>0.93</v>
      </c>
      <c r="I412">
        <f t="shared" si="38"/>
        <v>0.1343</v>
      </c>
      <c r="J412">
        <f t="shared" si="39"/>
        <v>0</v>
      </c>
      <c r="K412">
        <f t="shared" si="40"/>
        <v>3</v>
      </c>
    </row>
    <row r="413" spans="1:11" x14ac:dyDescent="0.3">
      <c r="A413" s="3">
        <v>412</v>
      </c>
      <c r="B413" s="4">
        <v>40562</v>
      </c>
      <c r="C413" s="3">
        <v>4</v>
      </c>
      <c r="D413" s="3">
        <v>3</v>
      </c>
      <c r="E413" s="3">
        <v>0.22</v>
      </c>
      <c r="F413" t="str">
        <f t="shared" si="41"/>
        <v>Wed</v>
      </c>
      <c r="G413">
        <f t="shared" si="36"/>
        <v>0.2273</v>
      </c>
      <c r="H413">
        <f t="shared" si="37"/>
        <v>0.93</v>
      </c>
      <c r="I413">
        <f t="shared" si="38"/>
        <v>0.1343</v>
      </c>
      <c r="J413">
        <f t="shared" si="39"/>
        <v>1</v>
      </c>
      <c r="K413">
        <f t="shared" si="40"/>
        <v>1</v>
      </c>
    </row>
    <row r="414" spans="1:11" x14ac:dyDescent="0.3">
      <c r="A414" s="3">
        <v>413</v>
      </c>
      <c r="B414" s="4">
        <v>40562</v>
      </c>
      <c r="C414" s="3">
        <v>5</v>
      </c>
      <c r="D414" s="3">
        <v>3</v>
      </c>
      <c r="E414" s="3">
        <v>0.22</v>
      </c>
      <c r="F414" t="str">
        <f t="shared" si="41"/>
        <v>Wed</v>
      </c>
      <c r="G414">
        <f t="shared" si="36"/>
        <v>0.2576</v>
      </c>
      <c r="H414">
        <f t="shared" si="37"/>
        <v>0.93</v>
      </c>
      <c r="I414">
        <f t="shared" si="38"/>
        <v>8.9599999999999999E-2</v>
      </c>
      <c r="J414">
        <f t="shared" si="39"/>
        <v>0</v>
      </c>
      <c r="K414">
        <f t="shared" si="40"/>
        <v>7</v>
      </c>
    </row>
    <row r="415" spans="1:11" x14ac:dyDescent="0.3">
      <c r="A415" s="3">
        <v>414</v>
      </c>
      <c r="B415" s="4">
        <v>40562</v>
      </c>
      <c r="C415" s="3">
        <v>6</v>
      </c>
      <c r="D415" s="3">
        <v>3</v>
      </c>
      <c r="E415" s="3">
        <v>0.22</v>
      </c>
      <c r="F415" t="str">
        <f t="shared" si="41"/>
        <v>Wed</v>
      </c>
      <c r="G415">
        <f t="shared" si="36"/>
        <v>0.2576</v>
      </c>
      <c r="H415">
        <f t="shared" si="37"/>
        <v>0.93</v>
      </c>
      <c r="I415">
        <f t="shared" si="38"/>
        <v>8.9599999999999999E-2</v>
      </c>
      <c r="J415">
        <f t="shared" si="39"/>
        <v>0</v>
      </c>
      <c r="K415">
        <f t="shared" si="40"/>
        <v>32</v>
      </c>
    </row>
    <row r="416" spans="1:11" x14ac:dyDescent="0.3">
      <c r="A416" s="3">
        <v>415</v>
      </c>
      <c r="B416" s="4">
        <v>40562</v>
      </c>
      <c r="C416" s="3">
        <v>7</v>
      </c>
      <c r="D416" s="3">
        <v>3</v>
      </c>
      <c r="E416" s="3">
        <v>0.24</v>
      </c>
      <c r="F416" t="str">
        <f t="shared" si="41"/>
        <v>Wed</v>
      </c>
      <c r="G416">
        <f t="shared" si="36"/>
        <v>0.2576</v>
      </c>
      <c r="H416">
        <f t="shared" si="37"/>
        <v>0.92</v>
      </c>
      <c r="I416">
        <f t="shared" si="38"/>
        <v>0.1045</v>
      </c>
      <c r="J416">
        <f t="shared" si="39"/>
        <v>1</v>
      </c>
      <c r="K416">
        <f t="shared" si="40"/>
        <v>89</v>
      </c>
    </row>
    <row r="417" spans="1:11" x14ac:dyDescent="0.3">
      <c r="A417" s="3">
        <v>416</v>
      </c>
      <c r="B417" s="4">
        <v>40562</v>
      </c>
      <c r="C417" s="3">
        <v>8</v>
      </c>
      <c r="D417" s="3">
        <v>3</v>
      </c>
      <c r="E417" s="3">
        <v>0.24</v>
      </c>
      <c r="F417" t="str">
        <f t="shared" si="41"/>
        <v>Wed</v>
      </c>
      <c r="G417">
        <f t="shared" si="36"/>
        <v>0.2576</v>
      </c>
      <c r="H417">
        <f t="shared" si="37"/>
        <v>0.93</v>
      </c>
      <c r="I417">
        <f t="shared" si="38"/>
        <v>0.1045</v>
      </c>
      <c r="J417">
        <f t="shared" si="39"/>
        <v>1</v>
      </c>
      <c r="K417">
        <f t="shared" si="40"/>
        <v>196</v>
      </c>
    </row>
    <row r="418" spans="1:11" x14ac:dyDescent="0.3">
      <c r="A418" s="3">
        <v>417</v>
      </c>
      <c r="B418" s="4">
        <v>40562</v>
      </c>
      <c r="C418" s="3">
        <v>9</v>
      </c>
      <c r="D418" s="3">
        <v>3</v>
      </c>
      <c r="E418" s="3">
        <v>0.24</v>
      </c>
      <c r="F418" t="str">
        <f t="shared" si="41"/>
        <v>Wed</v>
      </c>
      <c r="G418">
        <f t="shared" si="36"/>
        <v>0.2576</v>
      </c>
      <c r="H418">
        <f t="shared" si="37"/>
        <v>0.93</v>
      </c>
      <c r="I418">
        <f t="shared" si="38"/>
        <v>0.1045</v>
      </c>
      <c r="J418">
        <f t="shared" si="39"/>
        <v>2</v>
      </c>
      <c r="K418">
        <f t="shared" si="40"/>
        <v>107</v>
      </c>
    </row>
    <row r="419" spans="1:11" x14ac:dyDescent="0.3">
      <c r="A419" s="3">
        <v>418</v>
      </c>
      <c r="B419" s="4">
        <v>40562</v>
      </c>
      <c r="C419" s="3">
        <v>10</v>
      </c>
      <c r="D419" s="3">
        <v>3</v>
      </c>
      <c r="E419" s="3">
        <v>0.26</v>
      </c>
      <c r="F419" t="str">
        <f t="shared" si="41"/>
        <v>Wed</v>
      </c>
      <c r="G419">
        <f t="shared" si="36"/>
        <v>0.2727</v>
      </c>
      <c r="H419">
        <f t="shared" si="37"/>
        <v>0.93</v>
      </c>
      <c r="I419">
        <f t="shared" si="38"/>
        <v>0.1343</v>
      </c>
      <c r="J419">
        <f t="shared" si="39"/>
        <v>1</v>
      </c>
      <c r="K419">
        <f t="shared" si="40"/>
        <v>46</v>
      </c>
    </row>
    <row r="420" spans="1:11" x14ac:dyDescent="0.3">
      <c r="A420" s="3">
        <v>419</v>
      </c>
      <c r="B420" s="4">
        <v>40562</v>
      </c>
      <c r="C420" s="3">
        <v>11</v>
      </c>
      <c r="D420" s="3">
        <v>3</v>
      </c>
      <c r="E420" s="3">
        <v>0.28000000000000003</v>
      </c>
      <c r="F420" t="str">
        <f t="shared" si="41"/>
        <v>Wed</v>
      </c>
      <c r="G420">
        <f t="shared" si="36"/>
        <v>0.30299999999999999</v>
      </c>
      <c r="H420">
        <f t="shared" si="37"/>
        <v>0.87</v>
      </c>
      <c r="I420">
        <f t="shared" si="38"/>
        <v>8.9599999999999999E-2</v>
      </c>
      <c r="J420">
        <f t="shared" si="39"/>
        <v>5</v>
      </c>
      <c r="K420">
        <f t="shared" si="40"/>
        <v>47</v>
      </c>
    </row>
    <row r="421" spans="1:11" x14ac:dyDescent="0.3">
      <c r="A421" s="3">
        <v>420</v>
      </c>
      <c r="B421" s="4">
        <v>40562</v>
      </c>
      <c r="C421" s="3">
        <v>12</v>
      </c>
      <c r="D421" s="3">
        <v>3</v>
      </c>
      <c r="E421" s="3">
        <v>0.3</v>
      </c>
      <c r="F421" t="str">
        <f t="shared" si="41"/>
        <v>Wed</v>
      </c>
      <c r="G421">
        <f t="shared" si="36"/>
        <v>0.31819999999999998</v>
      </c>
      <c r="H421">
        <f t="shared" si="37"/>
        <v>0.81</v>
      </c>
      <c r="I421">
        <f t="shared" si="38"/>
        <v>8.9599999999999999E-2</v>
      </c>
      <c r="J421">
        <f t="shared" si="39"/>
        <v>5</v>
      </c>
      <c r="K421">
        <f t="shared" si="40"/>
        <v>65</v>
      </c>
    </row>
    <row r="422" spans="1:11" x14ac:dyDescent="0.3">
      <c r="A422" s="3">
        <v>421</v>
      </c>
      <c r="B422" s="4">
        <v>40562</v>
      </c>
      <c r="C422" s="3">
        <v>13</v>
      </c>
      <c r="D422" s="3">
        <v>3</v>
      </c>
      <c r="E422" s="3">
        <v>0.4</v>
      </c>
      <c r="F422" t="str">
        <f t="shared" si="41"/>
        <v>Wed</v>
      </c>
      <c r="G422">
        <f t="shared" si="36"/>
        <v>0.40910000000000002</v>
      </c>
      <c r="H422">
        <f t="shared" si="37"/>
        <v>0.62</v>
      </c>
      <c r="I422">
        <f t="shared" si="38"/>
        <v>0.28360000000000002</v>
      </c>
      <c r="J422">
        <f t="shared" si="39"/>
        <v>11</v>
      </c>
      <c r="K422">
        <f t="shared" si="40"/>
        <v>67</v>
      </c>
    </row>
    <row r="423" spans="1:11" x14ac:dyDescent="0.3">
      <c r="A423" s="3">
        <v>422</v>
      </c>
      <c r="B423" s="4">
        <v>40562</v>
      </c>
      <c r="C423" s="3">
        <v>14</v>
      </c>
      <c r="D423" s="3">
        <v>3</v>
      </c>
      <c r="E423" s="3">
        <v>0.4</v>
      </c>
      <c r="F423" t="str">
        <f t="shared" si="41"/>
        <v>Wed</v>
      </c>
      <c r="G423">
        <f t="shared" si="36"/>
        <v>0.40910000000000002</v>
      </c>
      <c r="H423">
        <f t="shared" si="37"/>
        <v>0.57999999999999996</v>
      </c>
      <c r="I423">
        <f t="shared" si="38"/>
        <v>0.25369999999999998</v>
      </c>
      <c r="J423">
        <f t="shared" si="39"/>
        <v>7</v>
      </c>
      <c r="K423">
        <f t="shared" si="40"/>
        <v>68</v>
      </c>
    </row>
    <row r="424" spans="1:11" x14ac:dyDescent="0.3">
      <c r="A424" s="3">
        <v>423</v>
      </c>
      <c r="B424" s="4">
        <v>40562</v>
      </c>
      <c r="C424" s="3">
        <v>15</v>
      </c>
      <c r="D424" s="3">
        <v>3</v>
      </c>
      <c r="E424" s="3">
        <v>0.4</v>
      </c>
      <c r="F424" t="str">
        <f t="shared" si="41"/>
        <v>Wed</v>
      </c>
      <c r="G424">
        <f t="shared" si="36"/>
        <v>0.40910000000000002</v>
      </c>
      <c r="H424">
        <f t="shared" si="37"/>
        <v>0.54</v>
      </c>
      <c r="I424">
        <f t="shared" si="38"/>
        <v>0.28360000000000002</v>
      </c>
      <c r="J424">
        <f t="shared" si="39"/>
        <v>4</v>
      </c>
      <c r="K424">
        <f t="shared" si="40"/>
        <v>78</v>
      </c>
    </row>
    <row r="425" spans="1:11" x14ac:dyDescent="0.3">
      <c r="A425" s="3">
        <v>424</v>
      </c>
      <c r="B425" s="4">
        <v>40562</v>
      </c>
      <c r="C425" s="3">
        <v>16</v>
      </c>
      <c r="D425" s="3">
        <v>3</v>
      </c>
      <c r="E425" s="3">
        <v>0.38</v>
      </c>
      <c r="F425" t="str">
        <f t="shared" si="41"/>
        <v>Wed</v>
      </c>
      <c r="G425">
        <f t="shared" si="36"/>
        <v>0.39389999999999997</v>
      </c>
      <c r="H425">
        <f t="shared" si="37"/>
        <v>0.57999999999999996</v>
      </c>
      <c r="I425">
        <f t="shared" si="38"/>
        <v>0.3881</v>
      </c>
      <c r="J425">
        <f t="shared" si="39"/>
        <v>10</v>
      </c>
      <c r="K425">
        <f t="shared" si="40"/>
        <v>94</v>
      </c>
    </row>
    <row r="426" spans="1:11" x14ac:dyDescent="0.3">
      <c r="A426" s="3">
        <v>425</v>
      </c>
      <c r="B426" s="4">
        <v>40562</v>
      </c>
      <c r="C426" s="3">
        <v>17</v>
      </c>
      <c r="D426" s="3">
        <v>3</v>
      </c>
      <c r="E426" s="3">
        <v>0.36</v>
      </c>
      <c r="F426" t="str">
        <f t="shared" si="41"/>
        <v>Wed</v>
      </c>
      <c r="G426">
        <f t="shared" si="36"/>
        <v>0.33329999999999999</v>
      </c>
      <c r="H426">
        <f t="shared" si="37"/>
        <v>0.56999999999999995</v>
      </c>
      <c r="I426">
        <f t="shared" si="38"/>
        <v>0.32840000000000003</v>
      </c>
      <c r="J426">
        <f t="shared" si="39"/>
        <v>7</v>
      </c>
      <c r="K426">
        <f t="shared" si="40"/>
        <v>190</v>
      </c>
    </row>
    <row r="427" spans="1:11" x14ac:dyDescent="0.3">
      <c r="A427" s="3">
        <v>426</v>
      </c>
      <c r="B427" s="4">
        <v>40562</v>
      </c>
      <c r="C427" s="3">
        <v>18</v>
      </c>
      <c r="D427" s="3">
        <v>3</v>
      </c>
      <c r="E427" s="3">
        <v>0.34</v>
      </c>
      <c r="F427" t="str">
        <f t="shared" si="41"/>
        <v>Wed</v>
      </c>
      <c r="G427">
        <f t="shared" si="36"/>
        <v>0.31819999999999998</v>
      </c>
      <c r="H427">
        <f t="shared" si="37"/>
        <v>0.61</v>
      </c>
      <c r="I427">
        <f t="shared" si="38"/>
        <v>0.28360000000000002</v>
      </c>
      <c r="J427">
        <f t="shared" si="39"/>
        <v>5</v>
      </c>
      <c r="K427">
        <f t="shared" si="40"/>
        <v>156</v>
      </c>
    </row>
    <row r="428" spans="1:11" x14ac:dyDescent="0.3">
      <c r="A428" s="3">
        <v>427</v>
      </c>
      <c r="B428" s="4">
        <v>40562</v>
      </c>
      <c r="C428" s="3">
        <v>19</v>
      </c>
      <c r="D428" s="3">
        <v>3</v>
      </c>
      <c r="E428" s="3">
        <v>0.32</v>
      </c>
      <c r="F428" t="str">
        <f t="shared" si="41"/>
        <v>Wed</v>
      </c>
      <c r="G428">
        <f t="shared" si="36"/>
        <v>0.28789999999999999</v>
      </c>
      <c r="H428">
        <f t="shared" si="37"/>
        <v>0.56999999999999995</v>
      </c>
      <c r="I428">
        <f t="shared" si="38"/>
        <v>0.41789999999999999</v>
      </c>
      <c r="J428">
        <f t="shared" si="39"/>
        <v>4</v>
      </c>
      <c r="K428">
        <f t="shared" si="40"/>
        <v>108</v>
      </c>
    </row>
    <row r="429" spans="1:11" x14ac:dyDescent="0.3">
      <c r="A429" s="3">
        <v>428</v>
      </c>
      <c r="B429" s="4">
        <v>40562</v>
      </c>
      <c r="C429" s="3">
        <v>20</v>
      </c>
      <c r="D429" s="3">
        <v>3</v>
      </c>
      <c r="E429" s="3">
        <v>0.32</v>
      </c>
      <c r="F429" t="str">
        <f t="shared" si="41"/>
        <v>Wed</v>
      </c>
      <c r="G429">
        <f t="shared" si="36"/>
        <v>0.30299999999999999</v>
      </c>
      <c r="H429">
        <f t="shared" si="37"/>
        <v>0.49</v>
      </c>
      <c r="I429">
        <f t="shared" si="38"/>
        <v>0.29849999999999999</v>
      </c>
      <c r="J429">
        <f t="shared" si="39"/>
        <v>2</v>
      </c>
      <c r="K429">
        <f t="shared" si="40"/>
        <v>74</v>
      </c>
    </row>
    <row r="430" spans="1:11" x14ac:dyDescent="0.3">
      <c r="A430" s="3">
        <v>429</v>
      </c>
      <c r="B430" s="4">
        <v>40562</v>
      </c>
      <c r="C430" s="3">
        <v>21</v>
      </c>
      <c r="D430" s="3">
        <v>3</v>
      </c>
      <c r="E430" s="3">
        <v>0.32</v>
      </c>
      <c r="F430" t="str">
        <f t="shared" si="41"/>
        <v>Wed</v>
      </c>
      <c r="G430">
        <f t="shared" si="36"/>
        <v>0.28789999999999999</v>
      </c>
      <c r="H430">
        <f t="shared" si="37"/>
        <v>0.49</v>
      </c>
      <c r="I430">
        <f t="shared" si="38"/>
        <v>0.41789999999999999</v>
      </c>
      <c r="J430">
        <f t="shared" si="39"/>
        <v>4</v>
      </c>
      <c r="K430">
        <f t="shared" si="40"/>
        <v>55</v>
      </c>
    </row>
    <row r="431" spans="1:11" x14ac:dyDescent="0.3">
      <c r="A431" s="3">
        <v>430</v>
      </c>
      <c r="B431" s="4">
        <v>40562</v>
      </c>
      <c r="C431" s="3">
        <v>22</v>
      </c>
      <c r="D431" s="3">
        <v>3</v>
      </c>
      <c r="E431" s="3">
        <v>0.3</v>
      </c>
      <c r="F431" t="str">
        <f t="shared" si="41"/>
        <v>Wed</v>
      </c>
      <c r="G431">
        <f t="shared" si="36"/>
        <v>0.30299999999999999</v>
      </c>
      <c r="H431">
        <f t="shared" si="37"/>
        <v>0.52</v>
      </c>
      <c r="I431">
        <f t="shared" si="38"/>
        <v>0.16420000000000001</v>
      </c>
      <c r="J431">
        <f t="shared" si="39"/>
        <v>6</v>
      </c>
      <c r="K431">
        <f t="shared" si="40"/>
        <v>53</v>
      </c>
    </row>
    <row r="432" spans="1:11" x14ac:dyDescent="0.3">
      <c r="A432" s="3">
        <v>431</v>
      </c>
      <c r="B432" s="4">
        <v>40562</v>
      </c>
      <c r="C432" s="3">
        <v>23</v>
      </c>
      <c r="D432" s="3">
        <v>3</v>
      </c>
      <c r="E432" s="3">
        <v>0.3</v>
      </c>
      <c r="F432" t="str">
        <f t="shared" si="41"/>
        <v>Wed</v>
      </c>
      <c r="G432">
        <f t="shared" si="36"/>
        <v>0.2727</v>
      </c>
      <c r="H432">
        <f t="shared" si="37"/>
        <v>0.52</v>
      </c>
      <c r="I432">
        <f t="shared" si="38"/>
        <v>0.4627</v>
      </c>
      <c r="J432">
        <f t="shared" si="39"/>
        <v>1</v>
      </c>
      <c r="K432">
        <f t="shared" si="40"/>
        <v>27</v>
      </c>
    </row>
    <row r="433" spans="1:11" x14ac:dyDescent="0.3">
      <c r="A433" s="3">
        <v>432</v>
      </c>
      <c r="B433" s="4">
        <v>40563</v>
      </c>
      <c r="C433" s="3">
        <v>0</v>
      </c>
      <c r="D433" s="3">
        <v>4</v>
      </c>
      <c r="E433" s="3">
        <v>0.26</v>
      </c>
      <c r="F433" t="str">
        <f t="shared" si="41"/>
        <v>Thu</v>
      </c>
      <c r="G433">
        <f t="shared" si="36"/>
        <v>0.2273</v>
      </c>
      <c r="H433">
        <f t="shared" si="37"/>
        <v>0.56000000000000005</v>
      </c>
      <c r="I433">
        <f t="shared" si="38"/>
        <v>0.3881</v>
      </c>
      <c r="J433">
        <f t="shared" si="39"/>
        <v>5</v>
      </c>
      <c r="K433">
        <f t="shared" si="40"/>
        <v>8</v>
      </c>
    </row>
    <row r="434" spans="1:11" x14ac:dyDescent="0.3">
      <c r="A434" s="3">
        <v>433</v>
      </c>
      <c r="B434" s="4">
        <v>40563</v>
      </c>
      <c r="C434" s="3">
        <v>1</v>
      </c>
      <c r="D434" s="3">
        <v>4</v>
      </c>
      <c r="E434" s="3">
        <v>0.26</v>
      </c>
      <c r="F434" t="str">
        <f t="shared" si="41"/>
        <v>Thu</v>
      </c>
      <c r="G434">
        <f t="shared" si="36"/>
        <v>0.2727</v>
      </c>
      <c r="H434">
        <f t="shared" si="37"/>
        <v>0.56000000000000005</v>
      </c>
      <c r="I434">
        <f t="shared" si="38"/>
        <v>0</v>
      </c>
      <c r="J434">
        <f t="shared" si="39"/>
        <v>2</v>
      </c>
      <c r="K434">
        <f t="shared" si="40"/>
        <v>3</v>
      </c>
    </row>
    <row r="435" spans="1:11" x14ac:dyDescent="0.3">
      <c r="A435" s="3">
        <v>434</v>
      </c>
      <c r="B435" s="4">
        <v>40563</v>
      </c>
      <c r="C435" s="3">
        <v>2</v>
      </c>
      <c r="D435" s="3">
        <v>4</v>
      </c>
      <c r="E435" s="3">
        <v>0.26</v>
      </c>
      <c r="F435" t="str">
        <f t="shared" si="41"/>
        <v>Thu</v>
      </c>
      <c r="G435">
        <f t="shared" si="36"/>
        <v>0.2727</v>
      </c>
      <c r="H435">
        <f t="shared" si="37"/>
        <v>0.56000000000000005</v>
      </c>
      <c r="I435">
        <f t="shared" si="38"/>
        <v>0</v>
      </c>
      <c r="J435">
        <f t="shared" si="39"/>
        <v>0</v>
      </c>
      <c r="K435">
        <f t="shared" si="40"/>
        <v>2</v>
      </c>
    </row>
    <row r="436" spans="1:11" x14ac:dyDescent="0.3">
      <c r="A436" s="3">
        <v>435</v>
      </c>
      <c r="B436" s="4">
        <v>40563</v>
      </c>
      <c r="C436" s="3">
        <v>3</v>
      </c>
      <c r="D436" s="3">
        <v>4</v>
      </c>
      <c r="E436" s="3">
        <v>0.26</v>
      </c>
      <c r="F436" t="str">
        <f t="shared" si="41"/>
        <v>Thu</v>
      </c>
      <c r="G436">
        <f t="shared" si="36"/>
        <v>0.2576</v>
      </c>
      <c r="H436">
        <f t="shared" si="37"/>
        <v>0.56000000000000005</v>
      </c>
      <c r="I436">
        <f t="shared" si="38"/>
        <v>0.16420000000000001</v>
      </c>
      <c r="J436">
        <f t="shared" si="39"/>
        <v>0</v>
      </c>
      <c r="K436">
        <f t="shared" si="40"/>
        <v>1</v>
      </c>
    </row>
    <row r="437" spans="1:11" x14ac:dyDescent="0.3">
      <c r="A437" s="3">
        <v>436</v>
      </c>
      <c r="B437" s="4">
        <v>40563</v>
      </c>
      <c r="C437" s="3">
        <v>4</v>
      </c>
      <c r="D437" s="3">
        <v>4</v>
      </c>
      <c r="E437" s="3">
        <v>0.26</v>
      </c>
      <c r="F437" t="str">
        <f t="shared" si="41"/>
        <v>Thu</v>
      </c>
      <c r="G437">
        <f t="shared" si="36"/>
        <v>0.2576</v>
      </c>
      <c r="H437">
        <f t="shared" si="37"/>
        <v>0.56000000000000005</v>
      </c>
      <c r="I437">
        <f t="shared" si="38"/>
        <v>0.16420000000000001</v>
      </c>
      <c r="J437">
        <f t="shared" si="39"/>
        <v>0</v>
      </c>
      <c r="K437">
        <f t="shared" si="40"/>
        <v>1</v>
      </c>
    </row>
    <row r="438" spans="1:11" x14ac:dyDescent="0.3">
      <c r="A438" s="3">
        <v>437</v>
      </c>
      <c r="B438" s="4">
        <v>40563</v>
      </c>
      <c r="C438" s="3">
        <v>5</v>
      </c>
      <c r="D438" s="3">
        <v>4</v>
      </c>
      <c r="E438" s="3">
        <v>0.24</v>
      </c>
      <c r="F438" t="str">
        <f t="shared" si="41"/>
        <v>Thu</v>
      </c>
      <c r="G438">
        <f t="shared" si="36"/>
        <v>0.2273</v>
      </c>
      <c r="H438">
        <f t="shared" si="37"/>
        <v>0.6</v>
      </c>
      <c r="I438">
        <f t="shared" si="38"/>
        <v>0.22389999999999999</v>
      </c>
      <c r="J438">
        <f t="shared" si="39"/>
        <v>0</v>
      </c>
      <c r="K438">
        <f t="shared" si="40"/>
        <v>6</v>
      </c>
    </row>
    <row r="439" spans="1:11" x14ac:dyDescent="0.3">
      <c r="A439" s="3">
        <v>438</v>
      </c>
      <c r="B439" s="4">
        <v>40563</v>
      </c>
      <c r="C439" s="3">
        <v>6</v>
      </c>
      <c r="D439" s="3">
        <v>4</v>
      </c>
      <c r="E439" s="3">
        <v>0.22</v>
      </c>
      <c r="F439" t="str">
        <f t="shared" si="41"/>
        <v>Thu</v>
      </c>
      <c r="G439">
        <f t="shared" si="36"/>
        <v>0.21210000000000001</v>
      </c>
      <c r="H439">
        <f t="shared" si="37"/>
        <v>0.6</v>
      </c>
      <c r="I439">
        <f t="shared" si="38"/>
        <v>0.22389999999999999</v>
      </c>
      <c r="J439">
        <f t="shared" si="39"/>
        <v>0</v>
      </c>
      <c r="K439">
        <f t="shared" si="40"/>
        <v>35</v>
      </c>
    </row>
    <row r="440" spans="1:11" x14ac:dyDescent="0.3">
      <c r="A440" s="3">
        <v>439</v>
      </c>
      <c r="B440" s="4">
        <v>40563</v>
      </c>
      <c r="C440" s="3">
        <v>7</v>
      </c>
      <c r="D440" s="3">
        <v>4</v>
      </c>
      <c r="E440" s="3">
        <v>0.22</v>
      </c>
      <c r="F440" t="str">
        <f t="shared" si="41"/>
        <v>Thu</v>
      </c>
      <c r="G440">
        <f t="shared" si="36"/>
        <v>0.21210000000000001</v>
      </c>
      <c r="H440">
        <f t="shared" si="37"/>
        <v>0.55000000000000004</v>
      </c>
      <c r="I440">
        <f t="shared" si="38"/>
        <v>0.22389999999999999</v>
      </c>
      <c r="J440">
        <f t="shared" si="39"/>
        <v>1</v>
      </c>
      <c r="K440">
        <f t="shared" si="40"/>
        <v>100</v>
      </c>
    </row>
    <row r="441" spans="1:11" x14ac:dyDescent="0.3">
      <c r="A441" s="3">
        <v>440</v>
      </c>
      <c r="B441" s="4">
        <v>40563</v>
      </c>
      <c r="C441" s="3">
        <v>8</v>
      </c>
      <c r="D441" s="3">
        <v>4</v>
      </c>
      <c r="E441" s="3">
        <v>0.22</v>
      </c>
      <c r="F441" t="str">
        <f t="shared" si="41"/>
        <v>Thu</v>
      </c>
      <c r="G441">
        <f t="shared" si="36"/>
        <v>0.21210000000000001</v>
      </c>
      <c r="H441">
        <f t="shared" si="37"/>
        <v>0.55000000000000004</v>
      </c>
      <c r="I441">
        <f t="shared" si="38"/>
        <v>0.28360000000000002</v>
      </c>
      <c r="J441">
        <f t="shared" si="39"/>
        <v>2</v>
      </c>
      <c r="K441">
        <f t="shared" si="40"/>
        <v>247</v>
      </c>
    </row>
    <row r="442" spans="1:11" x14ac:dyDescent="0.3">
      <c r="A442" s="3">
        <v>441</v>
      </c>
      <c r="B442" s="4">
        <v>40563</v>
      </c>
      <c r="C442" s="3">
        <v>9</v>
      </c>
      <c r="D442" s="3">
        <v>4</v>
      </c>
      <c r="E442" s="3">
        <v>0.24</v>
      </c>
      <c r="F442" t="str">
        <f t="shared" si="41"/>
        <v>Thu</v>
      </c>
      <c r="G442">
        <f t="shared" si="36"/>
        <v>0.2273</v>
      </c>
      <c r="H442">
        <f t="shared" si="37"/>
        <v>0.52</v>
      </c>
      <c r="I442">
        <f t="shared" si="38"/>
        <v>0.22389999999999999</v>
      </c>
      <c r="J442">
        <f t="shared" si="39"/>
        <v>3</v>
      </c>
      <c r="K442">
        <f t="shared" si="40"/>
        <v>140</v>
      </c>
    </row>
    <row r="443" spans="1:11" x14ac:dyDescent="0.3">
      <c r="A443" s="3">
        <v>442</v>
      </c>
      <c r="B443" s="4">
        <v>40563</v>
      </c>
      <c r="C443" s="3">
        <v>10</v>
      </c>
      <c r="D443" s="3">
        <v>4</v>
      </c>
      <c r="E443" s="3">
        <v>0.26</v>
      </c>
      <c r="F443" t="str">
        <f t="shared" si="41"/>
        <v>Thu</v>
      </c>
      <c r="G443">
        <f t="shared" si="36"/>
        <v>0.2273</v>
      </c>
      <c r="H443">
        <f t="shared" si="37"/>
        <v>0.48</v>
      </c>
      <c r="I443">
        <f t="shared" si="38"/>
        <v>0.29849999999999999</v>
      </c>
      <c r="J443">
        <f t="shared" si="39"/>
        <v>1</v>
      </c>
      <c r="K443">
        <f t="shared" si="40"/>
        <v>56</v>
      </c>
    </row>
    <row r="444" spans="1:11" x14ac:dyDescent="0.3">
      <c r="A444" s="3">
        <v>443</v>
      </c>
      <c r="B444" s="4">
        <v>40563</v>
      </c>
      <c r="C444" s="3">
        <v>11</v>
      </c>
      <c r="D444" s="3">
        <v>4</v>
      </c>
      <c r="E444" s="3">
        <v>0.28000000000000003</v>
      </c>
      <c r="F444" t="str">
        <f t="shared" si="41"/>
        <v>Thu</v>
      </c>
      <c r="G444">
        <f t="shared" si="36"/>
        <v>0.2727</v>
      </c>
      <c r="H444">
        <f t="shared" si="37"/>
        <v>0.45</v>
      </c>
      <c r="I444">
        <f t="shared" si="38"/>
        <v>0.16420000000000001</v>
      </c>
      <c r="J444">
        <f t="shared" si="39"/>
        <v>5</v>
      </c>
      <c r="K444">
        <f t="shared" si="40"/>
        <v>63</v>
      </c>
    </row>
    <row r="445" spans="1:11" x14ac:dyDescent="0.3">
      <c r="A445" s="3">
        <v>444</v>
      </c>
      <c r="B445" s="4">
        <v>40563</v>
      </c>
      <c r="C445" s="3">
        <v>12</v>
      </c>
      <c r="D445" s="3">
        <v>4</v>
      </c>
      <c r="E445" s="3">
        <v>0.3</v>
      </c>
      <c r="F445" t="str">
        <f t="shared" si="41"/>
        <v>Thu</v>
      </c>
      <c r="G445">
        <f t="shared" si="36"/>
        <v>0.33329999999999999</v>
      </c>
      <c r="H445">
        <f t="shared" si="37"/>
        <v>0.42</v>
      </c>
      <c r="I445">
        <f t="shared" si="38"/>
        <v>0</v>
      </c>
      <c r="J445">
        <f t="shared" si="39"/>
        <v>7</v>
      </c>
      <c r="K445">
        <f t="shared" si="40"/>
        <v>77</v>
      </c>
    </row>
    <row r="446" spans="1:11" x14ac:dyDescent="0.3">
      <c r="A446" s="3">
        <v>445</v>
      </c>
      <c r="B446" s="4">
        <v>40563</v>
      </c>
      <c r="C446" s="3">
        <v>13</v>
      </c>
      <c r="D446" s="3">
        <v>4</v>
      </c>
      <c r="E446" s="3">
        <v>0.28000000000000003</v>
      </c>
      <c r="F446" t="str">
        <f t="shared" si="41"/>
        <v>Thu</v>
      </c>
      <c r="G446">
        <f t="shared" si="36"/>
        <v>0.28789999999999999</v>
      </c>
      <c r="H446">
        <f t="shared" si="37"/>
        <v>0.45</v>
      </c>
      <c r="I446">
        <f t="shared" si="38"/>
        <v>0.1045</v>
      </c>
      <c r="J446">
        <f t="shared" si="39"/>
        <v>12</v>
      </c>
      <c r="K446">
        <f t="shared" si="40"/>
        <v>86</v>
      </c>
    </row>
    <row r="447" spans="1:11" x14ac:dyDescent="0.3">
      <c r="A447" s="3">
        <v>446</v>
      </c>
      <c r="B447" s="4">
        <v>40563</v>
      </c>
      <c r="C447" s="3">
        <v>14</v>
      </c>
      <c r="D447" s="3">
        <v>4</v>
      </c>
      <c r="E447" s="3">
        <v>0.3</v>
      </c>
      <c r="F447" t="str">
        <f t="shared" si="41"/>
        <v>Thu</v>
      </c>
      <c r="G447">
        <f t="shared" si="36"/>
        <v>0.30299999999999999</v>
      </c>
      <c r="H447">
        <f t="shared" si="37"/>
        <v>0.45</v>
      </c>
      <c r="I447">
        <f t="shared" si="38"/>
        <v>0.1343</v>
      </c>
      <c r="J447">
        <f t="shared" si="39"/>
        <v>6</v>
      </c>
      <c r="K447">
        <f t="shared" si="40"/>
        <v>75</v>
      </c>
    </row>
    <row r="448" spans="1:11" x14ac:dyDescent="0.3">
      <c r="A448" s="3">
        <v>447</v>
      </c>
      <c r="B448" s="4">
        <v>40563</v>
      </c>
      <c r="C448" s="3">
        <v>15</v>
      </c>
      <c r="D448" s="3">
        <v>4</v>
      </c>
      <c r="E448" s="3">
        <v>0.32</v>
      </c>
      <c r="F448" t="str">
        <f t="shared" si="41"/>
        <v>Thu</v>
      </c>
      <c r="G448">
        <f t="shared" si="36"/>
        <v>0.31819999999999998</v>
      </c>
      <c r="H448">
        <f t="shared" si="37"/>
        <v>0.45</v>
      </c>
      <c r="I448">
        <f t="shared" si="38"/>
        <v>0.19400000000000001</v>
      </c>
      <c r="J448">
        <f t="shared" si="39"/>
        <v>8</v>
      </c>
      <c r="K448">
        <f t="shared" si="40"/>
        <v>62</v>
      </c>
    </row>
    <row r="449" spans="1:11" x14ac:dyDescent="0.3">
      <c r="A449" s="3">
        <v>448</v>
      </c>
      <c r="B449" s="4">
        <v>40563</v>
      </c>
      <c r="C449" s="3">
        <v>16</v>
      </c>
      <c r="D449" s="3">
        <v>4</v>
      </c>
      <c r="E449" s="3">
        <v>0.3</v>
      </c>
      <c r="F449" t="str">
        <f t="shared" si="41"/>
        <v>Thu</v>
      </c>
      <c r="G449">
        <f t="shared" si="36"/>
        <v>0.30299999999999999</v>
      </c>
      <c r="H449">
        <f t="shared" si="37"/>
        <v>0.49</v>
      </c>
      <c r="I449">
        <f t="shared" si="38"/>
        <v>0.1343</v>
      </c>
      <c r="J449">
        <f t="shared" si="39"/>
        <v>8</v>
      </c>
      <c r="K449">
        <f t="shared" si="40"/>
        <v>83</v>
      </c>
    </row>
    <row r="450" spans="1:11" x14ac:dyDescent="0.3">
      <c r="A450" s="3">
        <v>449</v>
      </c>
      <c r="B450" s="4">
        <v>40563</v>
      </c>
      <c r="C450" s="3">
        <v>17</v>
      </c>
      <c r="D450" s="3">
        <v>4</v>
      </c>
      <c r="E450" s="3">
        <v>0.3</v>
      </c>
      <c r="F450" t="str">
        <f t="shared" si="41"/>
        <v>Thu</v>
      </c>
      <c r="G450">
        <f t="shared" ref="G450:G513" si="42">VLOOKUP($A450,instantc,3,FALSE)</f>
        <v>0.31819999999999998</v>
      </c>
      <c r="H450">
        <f t="shared" ref="H450:H513" si="43">VLOOKUP($A450,instantc,4,FALSE)</f>
        <v>0.49</v>
      </c>
      <c r="I450">
        <f t="shared" ref="I450:I513" si="44">VLOOKUP($A450,instantc,5,FALSE)</f>
        <v>0.1045</v>
      </c>
      <c r="J450">
        <f t="shared" ref="J450:J513" si="45">VLOOKUP($A450,instantc,6,FALSE)</f>
        <v>8</v>
      </c>
      <c r="K450">
        <f t="shared" ref="K450:K513" si="46">VLOOKUP($A450,instantc,7,FALSE)</f>
        <v>207</v>
      </c>
    </row>
    <row r="451" spans="1:11" x14ac:dyDescent="0.3">
      <c r="A451" s="3">
        <v>450</v>
      </c>
      <c r="B451" s="4">
        <v>40563</v>
      </c>
      <c r="C451" s="3">
        <v>18</v>
      </c>
      <c r="D451" s="3">
        <v>4</v>
      </c>
      <c r="E451" s="3">
        <v>0.26</v>
      </c>
      <c r="F451" t="str">
        <f t="shared" ref="F451:F514" si="47">TEXT(B451,"ddd")</f>
        <v>Thu</v>
      </c>
      <c r="G451">
        <f t="shared" si="42"/>
        <v>0.2576</v>
      </c>
      <c r="H451">
        <f t="shared" si="43"/>
        <v>0.56000000000000005</v>
      </c>
      <c r="I451">
        <f t="shared" si="44"/>
        <v>0.19400000000000001</v>
      </c>
      <c r="J451">
        <f t="shared" si="45"/>
        <v>1</v>
      </c>
      <c r="K451">
        <f t="shared" si="46"/>
        <v>184</v>
      </c>
    </row>
    <row r="452" spans="1:11" x14ac:dyDescent="0.3">
      <c r="A452" s="3">
        <v>451</v>
      </c>
      <c r="B452" s="4">
        <v>40563</v>
      </c>
      <c r="C452" s="3">
        <v>19</v>
      </c>
      <c r="D452" s="3">
        <v>4</v>
      </c>
      <c r="E452" s="3">
        <v>0.26</v>
      </c>
      <c r="F452" t="str">
        <f t="shared" si="47"/>
        <v>Thu</v>
      </c>
      <c r="G452">
        <f t="shared" si="42"/>
        <v>0.2273</v>
      </c>
      <c r="H452">
        <f t="shared" si="43"/>
        <v>0.56000000000000005</v>
      </c>
      <c r="I452">
        <f t="shared" si="44"/>
        <v>0.32840000000000003</v>
      </c>
      <c r="J452">
        <f t="shared" si="45"/>
        <v>6</v>
      </c>
      <c r="K452">
        <f t="shared" si="46"/>
        <v>146</v>
      </c>
    </row>
    <row r="453" spans="1:11" x14ac:dyDescent="0.3">
      <c r="A453" s="3">
        <v>452</v>
      </c>
      <c r="B453" s="4">
        <v>40563</v>
      </c>
      <c r="C453" s="3">
        <v>20</v>
      </c>
      <c r="D453" s="3">
        <v>4</v>
      </c>
      <c r="E453" s="3">
        <v>0.26</v>
      </c>
      <c r="F453" t="str">
        <f t="shared" si="47"/>
        <v>Thu</v>
      </c>
      <c r="G453">
        <f t="shared" si="42"/>
        <v>0.2424</v>
      </c>
      <c r="H453">
        <f t="shared" si="43"/>
        <v>0.6</v>
      </c>
      <c r="I453">
        <f t="shared" si="44"/>
        <v>0.28360000000000002</v>
      </c>
      <c r="J453">
        <f t="shared" si="45"/>
        <v>2</v>
      </c>
      <c r="K453">
        <f t="shared" si="46"/>
        <v>124</v>
      </c>
    </row>
    <row r="454" spans="1:11" x14ac:dyDescent="0.3">
      <c r="A454" s="3">
        <v>453</v>
      </c>
      <c r="B454" s="4">
        <v>40563</v>
      </c>
      <c r="C454" s="3">
        <v>21</v>
      </c>
      <c r="D454" s="3">
        <v>4</v>
      </c>
      <c r="E454" s="3">
        <v>0.24</v>
      </c>
      <c r="F454" t="str">
        <f t="shared" si="47"/>
        <v>Thu</v>
      </c>
      <c r="G454">
        <f t="shared" si="42"/>
        <v>0.2273</v>
      </c>
      <c r="H454">
        <f t="shared" si="43"/>
        <v>0.6</v>
      </c>
      <c r="I454">
        <f t="shared" si="44"/>
        <v>0.25369999999999998</v>
      </c>
      <c r="J454">
        <f t="shared" si="45"/>
        <v>3</v>
      </c>
      <c r="K454">
        <f t="shared" si="46"/>
        <v>54</v>
      </c>
    </row>
    <row r="455" spans="1:11" x14ac:dyDescent="0.3">
      <c r="A455" s="3">
        <v>454</v>
      </c>
      <c r="B455" s="4">
        <v>40563</v>
      </c>
      <c r="C455" s="3">
        <v>22</v>
      </c>
      <c r="D455" s="3">
        <v>4</v>
      </c>
      <c r="E455" s="3">
        <v>0.24</v>
      </c>
      <c r="F455" t="str">
        <f t="shared" si="47"/>
        <v>Thu</v>
      </c>
      <c r="G455">
        <f t="shared" si="42"/>
        <v>0.21210000000000001</v>
      </c>
      <c r="H455">
        <f t="shared" si="43"/>
        <v>0.65</v>
      </c>
      <c r="I455">
        <f t="shared" si="44"/>
        <v>0.28360000000000002</v>
      </c>
      <c r="J455">
        <f t="shared" si="45"/>
        <v>0</v>
      </c>
      <c r="K455">
        <f t="shared" si="46"/>
        <v>56</v>
      </c>
    </row>
    <row r="456" spans="1:11" x14ac:dyDescent="0.3">
      <c r="A456" s="3">
        <v>455</v>
      </c>
      <c r="B456" s="4">
        <v>40563</v>
      </c>
      <c r="C456" s="3">
        <v>23</v>
      </c>
      <c r="D456" s="3">
        <v>4</v>
      </c>
      <c r="E456" s="3">
        <v>0.24</v>
      </c>
      <c r="F456" t="str">
        <f t="shared" si="47"/>
        <v>Thu</v>
      </c>
      <c r="G456">
        <f t="shared" si="42"/>
        <v>0.21210000000000001</v>
      </c>
      <c r="H456">
        <f t="shared" si="43"/>
        <v>0.65</v>
      </c>
      <c r="I456">
        <f t="shared" si="44"/>
        <v>0.32840000000000003</v>
      </c>
      <c r="J456">
        <f t="shared" si="45"/>
        <v>3</v>
      </c>
      <c r="K456">
        <f t="shared" si="46"/>
        <v>28</v>
      </c>
    </row>
    <row r="457" spans="1:11" x14ac:dyDescent="0.3">
      <c r="A457" s="3">
        <v>456</v>
      </c>
      <c r="B457" s="4">
        <v>40564</v>
      </c>
      <c r="C457" s="3">
        <v>0</v>
      </c>
      <c r="D457" s="3">
        <v>5</v>
      </c>
      <c r="E457" s="3">
        <v>0.24</v>
      </c>
      <c r="F457" t="str">
        <f t="shared" si="47"/>
        <v>Fri</v>
      </c>
      <c r="G457">
        <f t="shared" si="42"/>
        <v>0.2273</v>
      </c>
      <c r="H457">
        <f t="shared" si="43"/>
        <v>0.7</v>
      </c>
      <c r="I457">
        <f t="shared" si="44"/>
        <v>0.25369999999999998</v>
      </c>
      <c r="J457">
        <f t="shared" si="45"/>
        <v>1</v>
      </c>
      <c r="K457">
        <f t="shared" si="46"/>
        <v>20</v>
      </c>
    </row>
    <row r="458" spans="1:11" x14ac:dyDescent="0.3">
      <c r="A458" s="3">
        <v>457</v>
      </c>
      <c r="B458" s="4">
        <v>40564</v>
      </c>
      <c r="C458" s="3">
        <v>1</v>
      </c>
      <c r="D458" s="3">
        <v>5</v>
      </c>
      <c r="E458" s="3">
        <v>0.24</v>
      </c>
      <c r="F458" t="str">
        <f t="shared" si="47"/>
        <v>Fri</v>
      </c>
      <c r="G458">
        <f t="shared" si="42"/>
        <v>0.2273</v>
      </c>
      <c r="H458">
        <f t="shared" si="43"/>
        <v>0.7</v>
      </c>
      <c r="I458">
        <f t="shared" si="44"/>
        <v>0.25369999999999998</v>
      </c>
      <c r="J458">
        <f t="shared" si="45"/>
        <v>0</v>
      </c>
      <c r="K458">
        <f t="shared" si="46"/>
        <v>6</v>
      </c>
    </row>
    <row r="459" spans="1:11" x14ac:dyDescent="0.3">
      <c r="A459" s="3">
        <v>458</v>
      </c>
      <c r="B459" s="4">
        <v>40564</v>
      </c>
      <c r="C459" s="3">
        <v>2</v>
      </c>
      <c r="D459" s="3">
        <v>5</v>
      </c>
      <c r="E459" s="3">
        <v>0.24</v>
      </c>
      <c r="F459" t="str">
        <f t="shared" si="47"/>
        <v>Fri</v>
      </c>
      <c r="G459">
        <f t="shared" si="42"/>
        <v>0.2424</v>
      </c>
      <c r="H459">
        <f t="shared" si="43"/>
        <v>0.75</v>
      </c>
      <c r="I459">
        <f t="shared" si="44"/>
        <v>0.16420000000000001</v>
      </c>
      <c r="J459">
        <f t="shared" si="45"/>
        <v>0</v>
      </c>
      <c r="K459">
        <f t="shared" si="46"/>
        <v>2</v>
      </c>
    </row>
    <row r="460" spans="1:11" x14ac:dyDescent="0.3">
      <c r="A460" s="3">
        <v>459</v>
      </c>
      <c r="B460" s="4">
        <v>40564</v>
      </c>
      <c r="C460" s="3">
        <v>3</v>
      </c>
      <c r="D460" s="3">
        <v>5</v>
      </c>
      <c r="E460" s="3">
        <v>0.22</v>
      </c>
      <c r="F460" t="str">
        <f t="shared" si="47"/>
        <v>Fri</v>
      </c>
      <c r="G460">
        <f t="shared" si="42"/>
        <v>0.21210000000000001</v>
      </c>
      <c r="H460">
        <f t="shared" si="43"/>
        <v>0.8</v>
      </c>
      <c r="I460">
        <f t="shared" si="44"/>
        <v>0.29849999999999999</v>
      </c>
      <c r="J460">
        <f t="shared" si="45"/>
        <v>0</v>
      </c>
      <c r="K460">
        <f t="shared" si="46"/>
        <v>1</v>
      </c>
    </row>
    <row r="461" spans="1:11" x14ac:dyDescent="0.3">
      <c r="A461" s="3">
        <v>460</v>
      </c>
      <c r="B461" s="4">
        <v>40564</v>
      </c>
      <c r="C461" s="3">
        <v>4</v>
      </c>
      <c r="D461" s="3">
        <v>5</v>
      </c>
      <c r="E461" s="3">
        <v>0.22</v>
      </c>
      <c r="F461" t="str">
        <f t="shared" si="47"/>
        <v>Fri</v>
      </c>
      <c r="G461">
        <f t="shared" si="42"/>
        <v>0.2576</v>
      </c>
      <c r="H461">
        <f t="shared" si="43"/>
        <v>0.87</v>
      </c>
      <c r="I461">
        <f t="shared" si="44"/>
        <v>8.9599999999999999E-2</v>
      </c>
      <c r="J461">
        <f t="shared" si="45"/>
        <v>0</v>
      </c>
      <c r="K461">
        <f t="shared" si="46"/>
        <v>1</v>
      </c>
    </row>
    <row r="462" spans="1:11" x14ac:dyDescent="0.3">
      <c r="A462" s="3">
        <v>461</v>
      </c>
      <c r="B462" s="4">
        <v>40564</v>
      </c>
      <c r="C462" s="3">
        <v>5</v>
      </c>
      <c r="D462" s="3">
        <v>5</v>
      </c>
      <c r="E462" s="3">
        <v>0.24</v>
      </c>
      <c r="F462" t="str">
        <f t="shared" si="47"/>
        <v>Fri</v>
      </c>
      <c r="G462">
        <f t="shared" si="42"/>
        <v>0.19700000000000001</v>
      </c>
      <c r="H462">
        <f t="shared" si="43"/>
        <v>0.6</v>
      </c>
      <c r="I462">
        <f t="shared" si="44"/>
        <v>0.41789999999999999</v>
      </c>
      <c r="J462">
        <f t="shared" si="45"/>
        <v>1</v>
      </c>
      <c r="K462">
        <f t="shared" si="46"/>
        <v>4</v>
      </c>
    </row>
    <row r="463" spans="1:11" x14ac:dyDescent="0.3">
      <c r="A463" s="3">
        <v>462</v>
      </c>
      <c r="B463" s="4">
        <v>40564</v>
      </c>
      <c r="C463" s="3">
        <v>6</v>
      </c>
      <c r="D463" s="3">
        <v>5</v>
      </c>
      <c r="E463" s="3">
        <v>0.22</v>
      </c>
      <c r="F463" t="str">
        <f t="shared" si="47"/>
        <v>Fri</v>
      </c>
      <c r="G463">
        <f t="shared" si="42"/>
        <v>0.21210000000000001</v>
      </c>
      <c r="H463">
        <f t="shared" si="43"/>
        <v>0.55000000000000004</v>
      </c>
      <c r="I463">
        <f t="shared" si="44"/>
        <v>0.25369999999999998</v>
      </c>
      <c r="J463">
        <f t="shared" si="45"/>
        <v>0</v>
      </c>
      <c r="K463">
        <f t="shared" si="46"/>
        <v>27</v>
      </c>
    </row>
    <row r="464" spans="1:11" x14ac:dyDescent="0.3">
      <c r="A464" s="3">
        <v>463</v>
      </c>
      <c r="B464" s="4">
        <v>40564</v>
      </c>
      <c r="C464" s="3">
        <v>7</v>
      </c>
      <c r="D464" s="3">
        <v>5</v>
      </c>
      <c r="E464" s="3">
        <v>0.2</v>
      </c>
      <c r="F464" t="str">
        <f t="shared" si="47"/>
        <v>Fri</v>
      </c>
      <c r="G464">
        <f t="shared" si="42"/>
        <v>0.18179999999999999</v>
      </c>
      <c r="H464">
        <f t="shared" si="43"/>
        <v>0.51</v>
      </c>
      <c r="I464">
        <f t="shared" si="44"/>
        <v>0.28360000000000002</v>
      </c>
      <c r="J464">
        <f t="shared" si="45"/>
        <v>2</v>
      </c>
      <c r="K464">
        <f t="shared" si="46"/>
        <v>66</v>
      </c>
    </row>
    <row r="465" spans="1:11" x14ac:dyDescent="0.3">
      <c r="A465" s="3">
        <v>464</v>
      </c>
      <c r="B465" s="4">
        <v>40564</v>
      </c>
      <c r="C465" s="3">
        <v>8</v>
      </c>
      <c r="D465" s="3">
        <v>5</v>
      </c>
      <c r="E465" s="3">
        <v>0.2</v>
      </c>
      <c r="F465" t="str">
        <f t="shared" si="47"/>
        <v>Fri</v>
      </c>
      <c r="G465">
        <f t="shared" si="42"/>
        <v>0.18179999999999999</v>
      </c>
      <c r="H465">
        <f t="shared" si="43"/>
        <v>0.47</v>
      </c>
      <c r="I465">
        <f t="shared" si="44"/>
        <v>0.32840000000000003</v>
      </c>
      <c r="J465">
        <f t="shared" si="45"/>
        <v>7</v>
      </c>
      <c r="K465">
        <f t="shared" si="46"/>
        <v>210</v>
      </c>
    </row>
    <row r="466" spans="1:11" x14ac:dyDescent="0.3">
      <c r="A466" s="3">
        <v>465</v>
      </c>
      <c r="B466" s="4">
        <v>40564</v>
      </c>
      <c r="C466" s="3">
        <v>9</v>
      </c>
      <c r="D466" s="3">
        <v>5</v>
      </c>
      <c r="E466" s="3">
        <v>0.2</v>
      </c>
      <c r="F466" t="str">
        <f t="shared" si="47"/>
        <v>Fri</v>
      </c>
      <c r="G466">
        <f t="shared" si="42"/>
        <v>0.18179999999999999</v>
      </c>
      <c r="H466">
        <f t="shared" si="43"/>
        <v>0.51</v>
      </c>
      <c r="I466">
        <f t="shared" si="44"/>
        <v>0.35820000000000002</v>
      </c>
      <c r="J466">
        <f t="shared" si="45"/>
        <v>7</v>
      </c>
      <c r="K466">
        <f t="shared" si="46"/>
        <v>159</v>
      </c>
    </row>
    <row r="467" spans="1:11" x14ac:dyDescent="0.3">
      <c r="A467" s="3">
        <v>466</v>
      </c>
      <c r="B467" s="4">
        <v>40564</v>
      </c>
      <c r="C467" s="3">
        <v>10</v>
      </c>
      <c r="D467" s="3">
        <v>5</v>
      </c>
      <c r="E467" s="3">
        <v>0.2</v>
      </c>
      <c r="F467" t="str">
        <f t="shared" si="47"/>
        <v>Fri</v>
      </c>
      <c r="G467">
        <f t="shared" si="42"/>
        <v>0.16669999999999999</v>
      </c>
      <c r="H467">
        <f t="shared" si="43"/>
        <v>0.47</v>
      </c>
      <c r="I467">
        <f t="shared" si="44"/>
        <v>0.4627</v>
      </c>
      <c r="J467">
        <f t="shared" si="45"/>
        <v>6</v>
      </c>
      <c r="K467">
        <f t="shared" si="46"/>
        <v>57</v>
      </c>
    </row>
    <row r="468" spans="1:11" x14ac:dyDescent="0.3">
      <c r="A468" s="3">
        <v>467</v>
      </c>
      <c r="B468" s="4">
        <v>40564</v>
      </c>
      <c r="C468" s="3">
        <v>11</v>
      </c>
      <c r="D468" s="3">
        <v>5</v>
      </c>
      <c r="E468" s="3">
        <v>0.22</v>
      </c>
      <c r="F468" t="str">
        <f t="shared" si="47"/>
        <v>Fri</v>
      </c>
      <c r="G468">
        <f t="shared" si="42"/>
        <v>0.18179999999999999</v>
      </c>
      <c r="H468">
        <f t="shared" si="43"/>
        <v>0.41</v>
      </c>
      <c r="I468">
        <f t="shared" si="44"/>
        <v>0.4627</v>
      </c>
      <c r="J468">
        <f t="shared" si="45"/>
        <v>6</v>
      </c>
      <c r="K468">
        <f t="shared" si="46"/>
        <v>53</v>
      </c>
    </row>
    <row r="469" spans="1:11" x14ac:dyDescent="0.3">
      <c r="A469" s="3">
        <v>468</v>
      </c>
      <c r="B469" s="4">
        <v>40564</v>
      </c>
      <c r="C469" s="3">
        <v>12</v>
      </c>
      <c r="D469" s="3">
        <v>5</v>
      </c>
      <c r="E469" s="3">
        <v>0.22</v>
      </c>
      <c r="F469" t="str">
        <f t="shared" si="47"/>
        <v>Fri</v>
      </c>
      <c r="G469">
        <f t="shared" si="42"/>
        <v>0.18179999999999999</v>
      </c>
      <c r="H469">
        <f t="shared" si="43"/>
        <v>0.27</v>
      </c>
      <c r="I469">
        <f t="shared" si="44"/>
        <v>0.58209999999999995</v>
      </c>
      <c r="J469">
        <f t="shared" si="45"/>
        <v>11</v>
      </c>
      <c r="K469">
        <f t="shared" si="46"/>
        <v>67</v>
      </c>
    </row>
    <row r="470" spans="1:11" x14ac:dyDescent="0.3">
      <c r="A470" s="3">
        <v>469</v>
      </c>
      <c r="B470" s="4">
        <v>40564</v>
      </c>
      <c r="C470" s="3">
        <v>13</v>
      </c>
      <c r="D470" s="3">
        <v>5</v>
      </c>
      <c r="E470" s="3">
        <v>0.2</v>
      </c>
      <c r="F470" t="str">
        <f t="shared" si="47"/>
        <v>Fri</v>
      </c>
      <c r="G470">
        <f t="shared" si="42"/>
        <v>0.1515</v>
      </c>
      <c r="H470">
        <f t="shared" si="43"/>
        <v>0.21</v>
      </c>
      <c r="I470">
        <f t="shared" si="44"/>
        <v>0.58209999999999995</v>
      </c>
      <c r="J470">
        <f t="shared" si="45"/>
        <v>8</v>
      </c>
      <c r="K470">
        <f t="shared" si="46"/>
        <v>65</v>
      </c>
    </row>
    <row r="471" spans="1:11" x14ac:dyDescent="0.3">
      <c r="A471" s="3">
        <v>470</v>
      </c>
      <c r="B471" s="4">
        <v>40564</v>
      </c>
      <c r="C471" s="3">
        <v>14</v>
      </c>
      <c r="D471" s="3">
        <v>5</v>
      </c>
      <c r="E471" s="3">
        <v>0.2</v>
      </c>
      <c r="F471" t="str">
        <f t="shared" si="47"/>
        <v>Fri</v>
      </c>
      <c r="G471">
        <f t="shared" si="42"/>
        <v>0.1515</v>
      </c>
      <c r="H471">
        <f t="shared" si="43"/>
        <v>0.25</v>
      </c>
      <c r="I471">
        <f t="shared" si="44"/>
        <v>0.52239999999999998</v>
      </c>
      <c r="J471">
        <f t="shared" si="45"/>
        <v>6</v>
      </c>
      <c r="K471">
        <f t="shared" si="46"/>
        <v>56</v>
      </c>
    </row>
    <row r="472" spans="1:11" x14ac:dyDescent="0.3">
      <c r="A472" s="3">
        <v>471</v>
      </c>
      <c r="B472" s="4">
        <v>40564</v>
      </c>
      <c r="C472" s="3">
        <v>15</v>
      </c>
      <c r="D472" s="3">
        <v>5</v>
      </c>
      <c r="E472" s="3">
        <v>0.16</v>
      </c>
      <c r="F472" t="str">
        <f t="shared" si="47"/>
        <v>Fri</v>
      </c>
      <c r="G472">
        <f t="shared" si="42"/>
        <v>0.1212</v>
      </c>
      <c r="H472">
        <f t="shared" si="43"/>
        <v>0.26</v>
      </c>
      <c r="I472">
        <f t="shared" si="44"/>
        <v>0.44779999999999998</v>
      </c>
      <c r="J472">
        <f t="shared" si="45"/>
        <v>4</v>
      </c>
      <c r="K472">
        <f t="shared" si="46"/>
        <v>61</v>
      </c>
    </row>
    <row r="473" spans="1:11" x14ac:dyDescent="0.3">
      <c r="A473" s="3">
        <v>472</v>
      </c>
      <c r="B473" s="4">
        <v>40564</v>
      </c>
      <c r="C473" s="3">
        <v>16</v>
      </c>
      <c r="D473" s="3">
        <v>5</v>
      </c>
      <c r="E473" s="3">
        <v>0.16</v>
      </c>
      <c r="F473" t="str">
        <f t="shared" si="47"/>
        <v>Fri</v>
      </c>
      <c r="G473">
        <f t="shared" si="42"/>
        <v>0.13639999999999999</v>
      </c>
      <c r="H473">
        <f t="shared" si="43"/>
        <v>0.26</v>
      </c>
      <c r="I473">
        <f t="shared" si="44"/>
        <v>0.35820000000000002</v>
      </c>
      <c r="J473">
        <f t="shared" si="45"/>
        <v>0</v>
      </c>
      <c r="K473">
        <f t="shared" si="46"/>
        <v>97</v>
      </c>
    </row>
    <row r="474" spans="1:11" x14ac:dyDescent="0.3">
      <c r="A474" s="3">
        <v>473</v>
      </c>
      <c r="B474" s="4">
        <v>40564</v>
      </c>
      <c r="C474" s="3">
        <v>17</v>
      </c>
      <c r="D474" s="3">
        <v>5</v>
      </c>
      <c r="E474" s="3">
        <v>0.14000000000000001</v>
      </c>
      <c r="F474" t="str">
        <f t="shared" si="47"/>
        <v>Fri</v>
      </c>
      <c r="G474">
        <f t="shared" si="42"/>
        <v>0.1212</v>
      </c>
      <c r="H474">
        <f t="shared" si="43"/>
        <v>0.28000000000000003</v>
      </c>
      <c r="I474">
        <f t="shared" si="44"/>
        <v>0.35820000000000002</v>
      </c>
      <c r="J474">
        <f t="shared" si="45"/>
        <v>10</v>
      </c>
      <c r="K474">
        <f t="shared" si="46"/>
        <v>151</v>
      </c>
    </row>
    <row r="475" spans="1:11" x14ac:dyDescent="0.3">
      <c r="A475" s="3">
        <v>474</v>
      </c>
      <c r="B475" s="4">
        <v>40564</v>
      </c>
      <c r="C475" s="3">
        <v>18</v>
      </c>
      <c r="D475" s="3">
        <v>5</v>
      </c>
      <c r="E475" s="3">
        <v>0.12</v>
      </c>
      <c r="F475" t="str">
        <f t="shared" si="47"/>
        <v>Fri</v>
      </c>
      <c r="G475">
        <f t="shared" si="42"/>
        <v>0.1212</v>
      </c>
      <c r="H475">
        <f t="shared" si="43"/>
        <v>0.3</v>
      </c>
      <c r="I475">
        <f t="shared" si="44"/>
        <v>0.25369999999999998</v>
      </c>
      <c r="J475">
        <f t="shared" si="45"/>
        <v>1</v>
      </c>
      <c r="K475">
        <f t="shared" si="46"/>
        <v>119</v>
      </c>
    </row>
    <row r="476" spans="1:11" x14ac:dyDescent="0.3">
      <c r="A476" s="3">
        <v>475</v>
      </c>
      <c r="B476" s="4">
        <v>40564</v>
      </c>
      <c r="C476" s="3">
        <v>19</v>
      </c>
      <c r="D476" s="3">
        <v>5</v>
      </c>
      <c r="E476" s="3">
        <v>0.12</v>
      </c>
      <c r="F476" t="str">
        <f t="shared" si="47"/>
        <v>Fri</v>
      </c>
      <c r="G476">
        <f t="shared" si="42"/>
        <v>0.1061</v>
      </c>
      <c r="H476">
        <f t="shared" si="43"/>
        <v>0.3</v>
      </c>
      <c r="I476">
        <f t="shared" si="44"/>
        <v>0.32840000000000003</v>
      </c>
      <c r="J476">
        <f t="shared" si="45"/>
        <v>3</v>
      </c>
      <c r="K476">
        <f t="shared" si="46"/>
        <v>93</v>
      </c>
    </row>
    <row r="477" spans="1:11" x14ac:dyDescent="0.3">
      <c r="A477" s="3">
        <v>476</v>
      </c>
      <c r="B477" s="4">
        <v>40564</v>
      </c>
      <c r="C477" s="3">
        <v>20</v>
      </c>
      <c r="D477" s="3">
        <v>5</v>
      </c>
      <c r="E477" s="3">
        <v>0.1</v>
      </c>
      <c r="F477" t="str">
        <f t="shared" si="47"/>
        <v>Fri</v>
      </c>
      <c r="G477">
        <f t="shared" si="42"/>
        <v>7.5800000000000006E-2</v>
      </c>
      <c r="H477">
        <f t="shared" si="43"/>
        <v>0.33</v>
      </c>
      <c r="I477">
        <f t="shared" si="44"/>
        <v>0.41789999999999999</v>
      </c>
      <c r="J477">
        <f t="shared" si="45"/>
        <v>1</v>
      </c>
      <c r="K477">
        <f t="shared" si="46"/>
        <v>52</v>
      </c>
    </row>
    <row r="478" spans="1:11" x14ac:dyDescent="0.3">
      <c r="A478" s="3">
        <v>477</v>
      </c>
      <c r="B478" s="4">
        <v>40564</v>
      </c>
      <c r="C478" s="3">
        <v>21</v>
      </c>
      <c r="D478" s="3">
        <v>5</v>
      </c>
      <c r="E478" s="3">
        <v>0.08</v>
      </c>
      <c r="F478" t="str">
        <f t="shared" si="47"/>
        <v>Fri</v>
      </c>
      <c r="G478">
        <f t="shared" si="42"/>
        <v>7.5800000000000006E-2</v>
      </c>
      <c r="H478">
        <f t="shared" si="43"/>
        <v>0.38</v>
      </c>
      <c r="I478">
        <f t="shared" si="44"/>
        <v>0.28360000000000002</v>
      </c>
      <c r="J478">
        <f t="shared" si="45"/>
        <v>0</v>
      </c>
      <c r="K478">
        <f t="shared" si="46"/>
        <v>41</v>
      </c>
    </row>
    <row r="479" spans="1:11" x14ac:dyDescent="0.3">
      <c r="A479" s="3">
        <v>478</v>
      </c>
      <c r="B479" s="4">
        <v>40564</v>
      </c>
      <c r="C479" s="3">
        <v>22</v>
      </c>
      <c r="D479" s="3">
        <v>5</v>
      </c>
      <c r="E479" s="3">
        <v>0.06</v>
      </c>
      <c r="F479" t="str">
        <f t="shared" si="47"/>
        <v>Fri</v>
      </c>
      <c r="G479">
        <f t="shared" si="42"/>
        <v>3.0300000000000001E-2</v>
      </c>
      <c r="H479">
        <f t="shared" si="43"/>
        <v>0.41</v>
      </c>
      <c r="I479">
        <f t="shared" si="44"/>
        <v>0.3881</v>
      </c>
      <c r="J479">
        <f t="shared" si="45"/>
        <v>1</v>
      </c>
      <c r="K479">
        <f t="shared" si="46"/>
        <v>33</v>
      </c>
    </row>
    <row r="480" spans="1:11" x14ac:dyDescent="0.3">
      <c r="A480" s="3">
        <v>479</v>
      </c>
      <c r="B480" s="4">
        <v>40564</v>
      </c>
      <c r="C480" s="3">
        <v>23</v>
      </c>
      <c r="D480" s="3">
        <v>5</v>
      </c>
      <c r="E480" s="3">
        <v>0.06</v>
      </c>
      <c r="F480" t="str">
        <f t="shared" si="47"/>
        <v>Fri</v>
      </c>
      <c r="G480">
        <f t="shared" si="42"/>
        <v>4.5499999999999999E-2</v>
      </c>
      <c r="H480">
        <f t="shared" si="43"/>
        <v>0.38</v>
      </c>
      <c r="I480">
        <f t="shared" si="44"/>
        <v>0.32840000000000003</v>
      </c>
      <c r="J480">
        <f t="shared" si="45"/>
        <v>0</v>
      </c>
      <c r="K480">
        <f t="shared" si="46"/>
        <v>27</v>
      </c>
    </row>
    <row r="481" spans="1:11" x14ac:dyDescent="0.3">
      <c r="A481" s="3">
        <v>480</v>
      </c>
      <c r="B481" s="4">
        <v>40565</v>
      </c>
      <c r="C481" s="3">
        <v>0</v>
      </c>
      <c r="D481" s="3">
        <v>6</v>
      </c>
      <c r="E481" s="3">
        <v>0.04</v>
      </c>
      <c r="F481" t="str">
        <f t="shared" si="47"/>
        <v>Sat</v>
      </c>
      <c r="G481">
        <f t="shared" si="42"/>
        <v>3.0300000000000001E-2</v>
      </c>
      <c r="H481">
        <f t="shared" si="43"/>
        <v>0.45</v>
      </c>
      <c r="I481">
        <f t="shared" si="44"/>
        <v>0.25369999999999998</v>
      </c>
      <c r="J481">
        <f t="shared" si="45"/>
        <v>0</v>
      </c>
      <c r="K481">
        <f t="shared" si="46"/>
        <v>13</v>
      </c>
    </row>
    <row r="482" spans="1:11" x14ac:dyDescent="0.3">
      <c r="A482" s="3">
        <v>481</v>
      </c>
      <c r="B482" s="4">
        <v>40565</v>
      </c>
      <c r="C482" s="3">
        <v>1</v>
      </c>
      <c r="D482" s="3">
        <v>6</v>
      </c>
      <c r="E482" s="3">
        <v>0.04</v>
      </c>
      <c r="F482" t="str">
        <f t="shared" si="47"/>
        <v>Sat</v>
      </c>
      <c r="G482">
        <f t="shared" si="42"/>
        <v>0</v>
      </c>
      <c r="H482">
        <f t="shared" si="43"/>
        <v>0.41</v>
      </c>
      <c r="I482">
        <f t="shared" si="44"/>
        <v>0.3881</v>
      </c>
      <c r="J482">
        <f t="shared" si="45"/>
        <v>3</v>
      </c>
      <c r="K482">
        <f t="shared" si="46"/>
        <v>9</v>
      </c>
    </row>
    <row r="483" spans="1:11" x14ac:dyDescent="0.3">
      <c r="A483" s="3">
        <v>482</v>
      </c>
      <c r="B483" s="4">
        <v>40565</v>
      </c>
      <c r="C483" s="3">
        <v>2</v>
      </c>
      <c r="D483" s="3">
        <v>6</v>
      </c>
      <c r="E483" s="3">
        <v>0.04</v>
      </c>
      <c r="F483" t="str">
        <f t="shared" si="47"/>
        <v>Sat</v>
      </c>
      <c r="G483">
        <f t="shared" si="42"/>
        <v>3.0300000000000001E-2</v>
      </c>
      <c r="H483">
        <f t="shared" si="43"/>
        <v>0.41</v>
      </c>
      <c r="I483">
        <f t="shared" si="44"/>
        <v>0.25369999999999998</v>
      </c>
      <c r="J483">
        <f t="shared" si="45"/>
        <v>0</v>
      </c>
      <c r="K483">
        <f t="shared" si="46"/>
        <v>11</v>
      </c>
    </row>
    <row r="484" spans="1:11" x14ac:dyDescent="0.3">
      <c r="A484" s="3">
        <v>483</v>
      </c>
      <c r="B484" s="4">
        <v>40565</v>
      </c>
      <c r="C484" s="3">
        <v>3</v>
      </c>
      <c r="D484" s="3">
        <v>6</v>
      </c>
      <c r="E484" s="3">
        <v>0.04</v>
      </c>
      <c r="F484" t="str">
        <f t="shared" si="47"/>
        <v>Sat</v>
      </c>
      <c r="G484">
        <f t="shared" si="42"/>
        <v>3.0300000000000001E-2</v>
      </c>
      <c r="H484">
        <f t="shared" si="43"/>
        <v>0.41</v>
      </c>
      <c r="I484">
        <f t="shared" si="44"/>
        <v>0.28360000000000002</v>
      </c>
      <c r="J484">
        <f t="shared" si="45"/>
        <v>1</v>
      </c>
      <c r="K484">
        <f t="shared" si="46"/>
        <v>6</v>
      </c>
    </row>
    <row r="485" spans="1:11" x14ac:dyDescent="0.3">
      <c r="A485" s="3">
        <v>484</v>
      </c>
      <c r="B485" s="4">
        <v>40565</v>
      </c>
      <c r="C485" s="3">
        <v>4</v>
      </c>
      <c r="D485" s="3">
        <v>6</v>
      </c>
      <c r="E485" s="3">
        <v>0.02</v>
      </c>
      <c r="F485" t="str">
        <f t="shared" si="47"/>
        <v>Sat</v>
      </c>
      <c r="G485">
        <f t="shared" si="42"/>
        <v>1.52E-2</v>
      </c>
      <c r="H485">
        <f t="shared" si="43"/>
        <v>0.48</v>
      </c>
      <c r="I485">
        <f t="shared" si="44"/>
        <v>0.29849999999999999</v>
      </c>
      <c r="J485">
        <f t="shared" si="45"/>
        <v>0</v>
      </c>
      <c r="K485">
        <f t="shared" si="46"/>
        <v>3</v>
      </c>
    </row>
    <row r="486" spans="1:11" x14ac:dyDescent="0.3">
      <c r="A486" s="3">
        <v>485</v>
      </c>
      <c r="B486" s="4">
        <v>40565</v>
      </c>
      <c r="C486" s="3">
        <v>6</v>
      </c>
      <c r="D486" s="3">
        <v>6</v>
      </c>
      <c r="E486" s="3">
        <v>0.02</v>
      </c>
      <c r="F486" t="str">
        <f t="shared" si="47"/>
        <v>Sat</v>
      </c>
      <c r="G486">
        <f t="shared" si="42"/>
        <v>3.0300000000000001E-2</v>
      </c>
      <c r="H486">
        <f t="shared" si="43"/>
        <v>0.44</v>
      </c>
      <c r="I486">
        <f t="shared" si="44"/>
        <v>0.22389999999999999</v>
      </c>
      <c r="J486">
        <f t="shared" si="45"/>
        <v>0</v>
      </c>
      <c r="K486">
        <f t="shared" si="46"/>
        <v>2</v>
      </c>
    </row>
    <row r="487" spans="1:11" x14ac:dyDescent="0.3">
      <c r="A487" s="3">
        <v>486</v>
      </c>
      <c r="B487" s="4">
        <v>40565</v>
      </c>
      <c r="C487" s="3">
        <v>7</v>
      </c>
      <c r="D487" s="3">
        <v>6</v>
      </c>
      <c r="E487" s="3">
        <v>0.02</v>
      </c>
      <c r="F487" t="str">
        <f t="shared" si="47"/>
        <v>Sat</v>
      </c>
      <c r="G487">
        <f t="shared" si="42"/>
        <v>1.52E-2</v>
      </c>
      <c r="H487">
        <f t="shared" si="43"/>
        <v>0.44</v>
      </c>
      <c r="I487">
        <f t="shared" si="44"/>
        <v>0.28360000000000002</v>
      </c>
      <c r="J487">
        <f t="shared" si="45"/>
        <v>0</v>
      </c>
      <c r="K487">
        <f t="shared" si="46"/>
        <v>8</v>
      </c>
    </row>
    <row r="488" spans="1:11" x14ac:dyDescent="0.3">
      <c r="A488" s="3">
        <v>487</v>
      </c>
      <c r="B488" s="4">
        <v>40565</v>
      </c>
      <c r="C488" s="3">
        <v>8</v>
      </c>
      <c r="D488" s="3">
        <v>6</v>
      </c>
      <c r="E488" s="3">
        <v>0.02</v>
      </c>
      <c r="F488" t="str">
        <f t="shared" si="47"/>
        <v>Sat</v>
      </c>
      <c r="G488">
        <f t="shared" si="42"/>
        <v>0</v>
      </c>
      <c r="H488">
        <f t="shared" si="43"/>
        <v>0.44</v>
      </c>
      <c r="I488">
        <f t="shared" si="44"/>
        <v>0.32840000000000003</v>
      </c>
      <c r="J488">
        <f t="shared" si="45"/>
        <v>1</v>
      </c>
      <c r="K488">
        <f t="shared" si="46"/>
        <v>26</v>
      </c>
    </row>
    <row r="489" spans="1:11" x14ac:dyDescent="0.3">
      <c r="A489" s="3">
        <v>488</v>
      </c>
      <c r="B489" s="4">
        <v>40565</v>
      </c>
      <c r="C489" s="3">
        <v>9</v>
      </c>
      <c r="D489" s="3">
        <v>6</v>
      </c>
      <c r="E489" s="3">
        <v>0.04</v>
      </c>
      <c r="F489" t="str">
        <f t="shared" si="47"/>
        <v>Sat</v>
      </c>
      <c r="G489">
        <f t="shared" si="42"/>
        <v>3.0300000000000001E-2</v>
      </c>
      <c r="H489">
        <f t="shared" si="43"/>
        <v>0.41</v>
      </c>
      <c r="I489">
        <f t="shared" si="44"/>
        <v>0.25369999999999998</v>
      </c>
      <c r="J489">
        <f t="shared" si="45"/>
        <v>3</v>
      </c>
      <c r="K489">
        <f t="shared" si="46"/>
        <v>37</v>
      </c>
    </row>
    <row r="490" spans="1:11" x14ac:dyDescent="0.3">
      <c r="A490" s="3">
        <v>489</v>
      </c>
      <c r="B490" s="4">
        <v>40565</v>
      </c>
      <c r="C490" s="3">
        <v>10</v>
      </c>
      <c r="D490" s="3">
        <v>6</v>
      </c>
      <c r="E490" s="3">
        <v>0.04</v>
      </c>
      <c r="F490" t="str">
        <f t="shared" si="47"/>
        <v>Sat</v>
      </c>
      <c r="G490">
        <f t="shared" si="42"/>
        <v>6.0600000000000001E-2</v>
      </c>
      <c r="H490">
        <f t="shared" si="43"/>
        <v>0.41</v>
      </c>
      <c r="I490">
        <f t="shared" si="44"/>
        <v>0.16420000000000001</v>
      </c>
      <c r="J490">
        <f t="shared" si="45"/>
        <v>3</v>
      </c>
      <c r="K490">
        <f t="shared" si="46"/>
        <v>50</v>
      </c>
    </row>
    <row r="491" spans="1:11" x14ac:dyDescent="0.3">
      <c r="A491" s="3">
        <v>490</v>
      </c>
      <c r="B491" s="4">
        <v>40565</v>
      </c>
      <c r="C491" s="3">
        <v>11</v>
      </c>
      <c r="D491" s="3">
        <v>6</v>
      </c>
      <c r="E491" s="3">
        <v>0.06</v>
      </c>
      <c r="F491" t="str">
        <f t="shared" si="47"/>
        <v>Sat</v>
      </c>
      <c r="G491">
        <f t="shared" si="42"/>
        <v>7.5800000000000006E-2</v>
      </c>
      <c r="H491">
        <f t="shared" si="43"/>
        <v>0.38</v>
      </c>
      <c r="I491">
        <f t="shared" si="44"/>
        <v>0.1343</v>
      </c>
      <c r="J491">
        <f t="shared" si="45"/>
        <v>4</v>
      </c>
      <c r="K491">
        <f t="shared" si="46"/>
        <v>59</v>
      </c>
    </row>
    <row r="492" spans="1:11" x14ac:dyDescent="0.3">
      <c r="A492" s="3">
        <v>491</v>
      </c>
      <c r="B492" s="4">
        <v>40565</v>
      </c>
      <c r="C492" s="3">
        <v>12</v>
      </c>
      <c r="D492" s="3">
        <v>6</v>
      </c>
      <c r="E492" s="3">
        <v>0.06</v>
      </c>
      <c r="F492" t="str">
        <f t="shared" si="47"/>
        <v>Sat</v>
      </c>
      <c r="G492">
        <f t="shared" si="42"/>
        <v>0.1061</v>
      </c>
      <c r="H492">
        <f t="shared" si="43"/>
        <v>0.38</v>
      </c>
      <c r="I492">
        <f t="shared" si="44"/>
        <v>0.1045</v>
      </c>
      <c r="J492">
        <f t="shared" si="45"/>
        <v>10</v>
      </c>
      <c r="K492">
        <f t="shared" si="46"/>
        <v>60</v>
      </c>
    </row>
    <row r="493" spans="1:11" x14ac:dyDescent="0.3">
      <c r="A493" s="3">
        <v>492</v>
      </c>
      <c r="B493" s="4">
        <v>40565</v>
      </c>
      <c r="C493" s="3">
        <v>13</v>
      </c>
      <c r="D493" s="3">
        <v>6</v>
      </c>
      <c r="E493" s="3">
        <v>0.08</v>
      </c>
      <c r="F493" t="str">
        <f t="shared" si="47"/>
        <v>Sat</v>
      </c>
      <c r="G493">
        <f t="shared" si="42"/>
        <v>0.16669999999999999</v>
      </c>
      <c r="H493">
        <f t="shared" si="43"/>
        <v>0.35</v>
      </c>
      <c r="I493">
        <f t="shared" si="44"/>
        <v>0</v>
      </c>
      <c r="J493">
        <f t="shared" si="45"/>
        <v>12</v>
      </c>
      <c r="K493">
        <f t="shared" si="46"/>
        <v>72</v>
      </c>
    </row>
    <row r="494" spans="1:11" x14ac:dyDescent="0.3">
      <c r="A494" s="3">
        <v>493</v>
      </c>
      <c r="B494" s="4">
        <v>40565</v>
      </c>
      <c r="C494" s="3">
        <v>14</v>
      </c>
      <c r="D494" s="3">
        <v>6</v>
      </c>
      <c r="E494" s="3">
        <v>0.1</v>
      </c>
      <c r="F494" t="str">
        <f t="shared" si="47"/>
        <v>Sat</v>
      </c>
      <c r="G494">
        <f t="shared" si="42"/>
        <v>0.13639999999999999</v>
      </c>
      <c r="H494">
        <f t="shared" si="43"/>
        <v>0.33</v>
      </c>
      <c r="I494">
        <f t="shared" si="44"/>
        <v>0.1045</v>
      </c>
      <c r="J494">
        <f t="shared" si="45"/>
        <v>11</v>
      </c>
      <c r="K494">
        <f t="shared" si="46"/>
        <v>64</v>
      </c>
    </row>
    <row r="495" spans="1:11" x14ac:dyDescent="0.3">
      <c r="A495" s="3">
        <v>494</v>
      </c>
      <c r="B495" s="4">
        <v>40565</v>
      </c>
      <c r="C495" s="3">
        <v>15</v>
      </c>
      <c r="D495" s="3">
        <v>6</v>
      </c>
      <c r="E495" s="3">
        <v>0.12</v>
      </c>
      <c r="F495" t="str">
        <f t="shared" si="47"/>
        <v>Sat</v>
      </c>
      <c r="G495">
        <f t="shared" si="42"/>
        <v>0.1515</v>
      </c>
      <c r="H495">
        <f t="shared" si="43"/>
        <v>0.28000000000000003</v>
      </c>
      <c r="I495">
        <f t="shared" si="44"/>
        <v>0</v>
      </c>
      <c r="J495">
        <f t="shared" si="45"/>
        <v>10</v>
      </c>
      <c r="K495">
        <f t="shared" si="46"/>
        <v>93</v>
      </c>
    </row>
    <row r="496" spans="1:11" x14ac:dyDescent="0.3">
      <c r="A496" s="3">
        <v>495</v>
      </c>
      <c r="B496" s="4">
        <v>40565</v>
      </c>
      <c r="C496" s="3">
        <v>16</v>
      </c>
      <c r="D496" s="3">
        <v>6</v>
      </c>
      <c r="E496" s="3">
        <v>0.12</v>
      </c>
      <c r="F496" t="str">
        <f t="shared" si="47"/>
        <v>Sat</v>
      </c>
      <c r="G496">
        <f t="shared" si="42"/>
        <v>0.13639999999999999</v>
      </c>
      <c r="H496">
        <f t="shared" si="43"/>
        <v>0.28000000000000003</v>
      </c>
      <c r="I496">
        <f t="shared" si="44"/>
        <v>0.19400000000000001</v>
      </c>
      <c r="J496">
        <f t="shared" si="45"/>
        <v>11</v>
      </c>
      <c r="K496">
        <f t="shared" si="46"/>
        <v>72</v>
      </c>
    </row>
    <row r="497" spans="1:11" x14ac:dyDescent="0.3">
      <c r="A497" s="3">
        <v>496</v>
      </c>
      <c r="B497" s="4">
        <v>40565</v>
      </c>
      <c r="C497" s="3">
        <v>17</v>
      </c>
      <c r="D497" s="3">
        <v>6</v>
      </c>
      <c r="E497" s="3">
        <v>0.12</v>
      </c>
      <c r="F497" t="str">
        <f t="shared" si="47"/>
        <v>Sat</v>
      </c>
      <c r="G497">
        <f t="shared" si="42"/>
        <v>0.19700000000000001</v>
      </c>
      <c r="H497">
        <f t="shared" si="43"/>
        <v>0.28000000000000003</v>
      </c>
      <c r="I497">
        <f t="shared" si="44"/>
        <v>0</v>
      </c>
      <c r="J497">
        <f t="shared" si="45"/>
        <v>8</v>
      </c>
      <c r="K497">
        <f t="shared" si="46"/>
        <v>59</v>
      </c>
    </row>
    <row r="498" spans="1:11" x14ac:dyDescent="0.3">
      <c r="A498" s="3">
        <v>497</v>
      </c>
      <c r="B498" s="4">
        <v>40565</v>
      </c>
      <c r="C498" s="3">
        <v>18</v>
      </c>
      <c r="D498" s="3">
        <v>6</v>
      </c>
      <c r="E498" s="3">
        <v>0.08</v>
      </c>
      <c r="F498" t="str">
        <f t="shared" si="47"/>
        <v>Sat</v>
      </c>
      <c r="G498">
        <f t="shared" si="42"/>
        <v>9.0899999999999995E-2</v>
      </c>
      <c r="H498">
        <f t="shared" si="43"/>
        <v>0.35</v>
      </c>
      <c r="I498">
        <f t="shared" si="44"/>
        <v>0.19400000000000001</v>
      </c>
      <c r="J498">
        <f t="shared" si="45"/>
        <v>0</v>
      </c>
      <c r="K498">
        <f t="shared" si="46"/>
        <v>54</v>
      </c>
    </row>
    <row r="499" spans="1:11" x14ac:dyDescent="0.3">
      <c r="A499" s="3">
        <v>498</v>
      </c>
      <c r="B499" s="4">
        <v>40565</v>
      </c>
      <c r="C499" s="3">
        <v>19</v>
      </c>
      <c r="D499" s="3">
        <v>6</v>
      </c>
      <c r="E499" s="3">
        <v>0.08</v>
      </c>
      <c r="F499" t="str">
        <f t="shared" si="47"/>
        <v>Sat</v>
      </c>
      <c r="G499">
        <f t="shared" si="42"/>
        <v>0.1061</v>
      </c>
      <c r="H499">
        <f t="shared" si="43"/>
        <v>0.35</v>
      </c>
      <c r="I499">
        <f t="shared" si="44"/>
        <v>0.1343</v>
      </c>
      <c r="J499">
        <f t="shared" si="45"/>
        <v>6</v>
      </c>
      <c r="K499">
        <f t="shared" si="46"/>
        <v>53</v>
      </c>
    </row>
    <row r="500" spans="1:11" x14ac:dyDescent="0.3">
      <c r="A500" s="3">
        <v>499</v>
      </c>
      <c r="B500" s="4">
        <v>40565</v>
      </c>
      <c r="C500" s="3">
        <v>20</v>
      </c>
      <c r="D500" s="3">
        <v>6</v>
      </c>
      <c r="E500" s="3">
        <v>0.06</v>
      </c>
      <c r="F500" t="str">
        <f t="shared" si="47"/>
        <v>Sat</v>
      </c>
      <c r="G500">
        <f t="shared" si="42"/>
        <v>7.5800000000000006E-2</v>
      </c>
      <c r="H500">
        <f t="shared" si="43"/>
        <v>0.45</v>
      </c>
      <c r="I500">
        <f t="shared" si="44"/>
        <v>0.16420000000000001</v>
      </c>
      <c r="J500">
        <f t="shared" si="45"/>
        <v>1</v>
      </c>
      <c r="K500">
        <f t="shared" si="46"/>
        <v>44</v>
      </c>
    </row>
    <row r="501" spans="1:11" x14ac:dyDescent="0.3">
      <c r="A501" s="3">
        <v>500</v>
      </c>
      <c r="B501" s="4">
        <v>40565</v>
      </c>
      <c r="C501" s="3">
        <v>21</v>
      </c>
      <c r="D501" s="3">
        <v>6</v>
      </c>
      <c r="E501" s="3">
        <v>0.06</v>
      </c>
      <c r="F501" t="str">
        <f t="shared" si="47"/>
        <v>Sat</v>
      </c>
      <c r="G501">
        <f t="shared" si="42"/>
        <v>0.1061</v>
      </c>
      <c r="H501">
        <f t="shared" si="43"/>
        <v>0.41</v>
      </c>
      <c r="I501">
        <f t="shared" si="44"/>
        <v>8.9599999999999999E-2</v>
      </c>
      <c r="J501">
        <f t="shared" si="45"/>
        <v>0</v>
      </c>
      <c r="K501">
        <f t="shared" si="46"/>
        <v>39</v>
      </c>
    </row>
    <row r="502" spans="1:11" x14ac:dyDescent="0.3">
      <c r="A502" s="3">
        <v>501</v>
      </c>
      <c r="B502" s="4">
        <v>40565</v>
      </c>
      <c r="C502" s="3">
        <v>22</v>
      </c>
      <c r="D502" s="3">
        <v>6</v>
      </c>
      <c r="E502" s="3">
        <v>0.06</v>
      </c>
      <c r="F502" t="str">
        <f t="shared" si="47"/>
        <v>Sat</v>
      </c>
      <c r="G502">
        <f t="shared" si="42"/>
        <v>0.1515</v>
      </c>
      <c r="H502">
        <f t="shared" si="43"/>
        <v>0.49</v>
      </c>
      <c r="I502">
        <f t="shared" si="44"/>
        <v>0</v>
      </c>
      <c r="J502">
        <f t="shared" si="45"/>
        <v>7</v>
      </c>
      <c r="K502">
        <f t="shared" si="46"/>
        <v>23</v>
      </c>
    </row>
    <row r="503" spans="1:11" x14ac:dyDescent="0.3">
      <c r="A503" s="3">
        <v>502</v>
      </c>
      <c r="B503" s="4">
        <v>40565</v>
      </c>
      <c r="C503" s="3">
        <v>23</v>
      </c>
      <c r="D503" s="3">
        <v>6</v>
      </c>
      <c r="E503" s="3">
        <v>0.04</v>
      </c>
      <c r="F503" t="str">
        <f t="shared" si="47"/>
        <v>Sat</v>
      </c>
      <c r="G503">
        <f t="shared" si="42"/>
        <v>7.5800000000000006E-2</v>
      </c>
      <c r="H503">
        <f t="shared" si="43"/>
        <v>0.56999999999999995</v>
      </c>
      <c r="I503">
        <f t="shared" si="44"/>
        <v>0.1045</v>
      </c>
      <c r="J503">
        <f t="shared" si="45"/>
        <v>2</v>
      </c>
      <c r="K503">
        <f t="shared" si="46"/>
        <v>31</v>
      </c>
    </row>
    <row r="504" spans="1:11" x14ac:dyDescent="0.3">
      <c r="A504" s="3">
        <v>503</v>
      </c>
      <c r="B504" s="4">
        <v>40566</v>
      </c>
      <c r="C504" s="3">
        <v>0</v>
      </c>
      <c r="D504" s="3">
        <v>0</v>
      </c>
      <c r="E504" s="3">
        <v>0.04</v>
      </c>
      <c r="F504" t="str">
        <f t="shared" si="47"/>
        <v>Sun</v>
      </c>
      <c r="G504">
        <f t="shared" si="42"/>
        <v>7.5800000000000006E-2</v>
      </c>
      <c r="H504">
        <f t="shared" si="43"/>
        <v>0.56999999999999995</v>
      </c>
      <c r="I504">
        <f t="shared" si="44"/>
        <v>0.1045</v>
      </c>
      <c r="J504">
        <f t="shared" si="45"/>
        <v>2</v>
      </c>
      <c r="K504">
        <f t="shared" si="46"/>
        <v>20</v>
      </c>
    </row>
    <row r="505" spans="1:11" x14ac:dyDescent="0.3">
      <c r="A505" s="3">
        <v>504</v>
      </c>
      <c r="B505" s="4">
        <v>40566</v>
      </c>
      <c r="C505" s="3">
        <v>1</v>
      </c>
      <c r="D505" s="3">
        <v>0</v>
      </c>
      <c r="E505" s="3">
        <v>0.04</v>
      </c>
      <c r="F505" t="str">
        <f t="shared" si="47"/>
        <v>Sun</v>
      </c>
      <c r="G505">
        <f t="shared" si="42"/>
        <v>7.5800000000000006E-2</v>
      </c>
      <c r="H505">
        <f t="shared" si="43"/>
        <v>0.56999999999999995</v>
      </c>
      <c r="I505">
        <f t="shared" si="44"/>
        <v>0.1045</v>
      </c>
      <c r="J505">
        <f t="shared" si="45"/>
        <v>1</v>
      </c>
      <c r="K505">
        <f t="shared" si="46"/>
        <v>12</v>
      </c>
    </row>
    <row r="506" spans="1:11" x14ac:dyDescent="0.3">
      <c r="A506" s="3">
        <v>505</v>
      </c>
      <c r="B506" s="4">
        <v>40566</v>
      </c>
      <c r="C506" s="3">
        <v>2</v>
      </c>
      <c r="D506" s="3">
        <v>0</v>
      </c>
      <c r="E506" s="3">
        <v>0.02</v>
      </c>
      <c r="F506" t="str">
        <f t="shared" si="47"/>
        <v>Sun</v>
      </c>
      <c r="G506">
        <f t="shared" si="42"/>
        <v>6.0600000000000001E-2</v>
      </c>
      <c r="H506">
        <f t="shared" si="43"/>
        <v>0.62</v>
      </c>
      <c r="I506">
        <f t="shared" si="44"/>
        <v>0.1343</v>
      </c>
      <c r="J506">
        <f t="shared" si="45"/>
        <v>3</v>
      </c>
      <c r="K506">
        <f t="shared" si="46"/>
        <v>15</v>
      </c>
    </row>
    <row r="507" spans="1:11" x14ac:dyDescent="0.3">
      <c r="A507" s="3">
        <v>506</v>
      </c>
      <c r="B507" s="4">
        <v>40566</v>
      </c>
      <c r="C507" s="3">
        <v>3</v>
      </c>
      <c r="D507" s="3">
        <v>0</v>
      </c>
      <c r="E507" s="3">
        <v>0.02</v>
      </c>
      <c r="F507" t="str">
        <f t="shared" si="47"/>
        <v>Sun</v>
      </c>
      <c r="G507">
        <f t="shared" si="42"/>
        <v>6.0600000000000001E-2</v>
      </c>
      <c r="H507">
        <f t="shared" si="43"/>
        <v>0.62</v>
      </c>
      <c r="I507">
        <f t="shared" si="44"/>
        <v>0.1343</v>
      </c>
      <c r="J507">
        <f t="shared" si="45"/>
        <v>1</v>
      </c>
      <c r="K507">
        <f t="shared" si="46"/>
        <v>4</v>
      </c>
    </row>
    <row r="508" spans="1:11" x14ac:dyDescent="0.3">
      <c r="A508" s="3">
        <v>507</v>
      </c>
      <c r="B508" s="4">
        <v>40566</v>
      </c>
      <c r="C508" s="3">
        <v>5</v>
      </c>
      <c r="D508" s="3">
        <v>0</v>
      </c>
      <c r="E508" s="3">
        <v>0.04</v>
      </c>
      <c r="F508" t="str">
        <f t="shared" si="47"/>
        <v>Sun</v>
      </c>
      <c r="G508">
        <f t="shared" si="42"/>
        <v>7.5800000000000006E-2</v>
      </c>
      <c r="H508">
        <f t="shared" si="43"/>
        <v>0.56999999999999995</v>
      </c>
      <c r="I508">
        <f t="shared" si="44"/>
        <v>0.1045</v>
      </c>
      <c r="J508">
        <f t="shared" si="45"/>
        <v>0</v>
      </c>
      <c r="K508">
        <f t="shared" si="46"/>
        <v>3</v>
      </c>
    </row>
    <row r="509" spans="1:11" x14ac:dyDescent="0.3">
      <c r="A509" s="3">
        <v>508</v>
      </c>
      <c r="B509" s="4">
        <v>40566</v>
      </c>
      <c r="C509" s="3">
        <v>6</v>
      </c>
      <c r="D509" s="3">
        <v>0</v>
      </c>
      <c r="E509" s="3">
        <v>0.04</v>
      </c>
      <c r="F509" t="str">
        <f t="shared" si="47"/>
        <v>Sun</v>
      </c>
      <c r="G509">
        <f t="shared" si="42"/>
        <v>7.5800000000000006E-2</v>
      </c>
      <c r="H509">
        <f t="shared" si="43"/>
        <v>0.56999999999999995</v>
      </c>
      <c r="I509">
        <f t="shared" si="44"/>
        <v>0.1045</v>
      </c>
      <c r="J509">
        <f t="shared" si="45"/>
        <v>0</v>
      </c>
      <c r="K509">
        <f t="shared" si="46"/>
        <v>1</v>
      </c>
    </row>
    <row r="510" spans="1:11" x14ac:dyDescent="0.3">
      <c r="A510" s="3">
        <v>509</v>
      </c>
      <c r="B510" s="4">
        <v>40566</v>
      </c>
      <c r="C510" s="3">
        <v>7</v>
      </c>
      <c r="D510" s="3">
        <v>0</v>
      </c>
      <c r="E510" s="3">
        <v>0.08</v>
      </c>
      <c r="F510" t="str">
        <f t="shared" si="47"/>
        <v>Sun</v>
      </c>
      <c r="G510">
        <f t="shared" si="42"/>
        <v>0.1061</v>
      </c>
      <c r="H510">
        <f t="shared" si="43"/>
        <v>0.57999999999999996</v>
      </c>
      <c r="I510">
        <f t="shared" si="44"/>
        <v>0.16420000000000001</v>
      </c>
      <c r="J510">
        <f t="shared" si="45"/>
        <v>1</v>
      </c>
      <c r="K510">
        <f t="shared" si="46"/>
        <v>1</v>
      </c>
    </row>
    <row r="511" spans="1:11" x14ac:dyDescent="0.3">
      <c r="A511" s="3">
        <v>510</v>
      </c>
      <c r="B511" s="4">
        <v>40566</v>
      </c>
      <c r="C511" s="3">
        <v>8</v>
      </c>
      <c r="D511" s="3">
        <v>0</v>
      </c>
      <c r="E511" s="3">
        <v>0.06</v>
      </c>
      <c r="F511" t="str">
        <f t="shared" si="47"/>
        <v>Sun</v>
      </c>
      <c r="G511">
        <f t="shared" si="42"/>
        <v>7.5800000000000006E-2</v>
      </c>
      <c r="H511">
        <f t="shared" si="43"/>
        <v>0.62</v>
      </c>
      <c r="I511">
        <f t="shared" si="44"/>
        <v>0.16420000000000001</v>
      </c>
      <c r="J511">
        <f t="shared" si="45"/>
        <v>2</v>
      </c>
      <c r="K511">
        <f t="shared" si="46"/>
        <v>17</v>
      </c>
    </row>
    <row r="512" spans="1:11" x14ac:dyDescent="0.3">
      <c r="A512" s="3">
        <v>511</v>
      </c>
      <c r="B512" s="4">
        <v>40566</v>
      </c>
      <c r="C512" s="3">
        <v>9</v>
      </c>
      <c r="D512" s="3">
        <v>0</v>
      </c>
      <c r="E512" s="3">
        <v>0.1</v>
      </c>
      <c r="F512" t="str">
        <f t="shared" si="47"/>
        <v>Sun</v>
      </c>
      <c r="G512">
        <f t="shared" si="42"/>
        <v>7.5800000000000006E-2</v>
      </c>
      <c r="H512">
        <f t="shared" si="43"/>
        <v>0.54</v>
      </c>
      <c r="I512">
        <f t="shared" si="44"/>
        <v>0.35820000000000002</v>
      </c>
      <c r="J512">
        <f t="shared" si="45"/>
        <v>3</v>
      </c>
      <c r="K512">
        <f t="shared" si="46"/>
        <v>25</v>
      </c>
    </row>
    <row r="513" spans="1:11" x14ac:dyDescent="0.3">
      <c r="A513" s="3">
        <v>512</v>
      </c>
      <c r="B513" s="4">
        <v>40566</v>
      </c>
      <c r="C513" s="3">
        <v>10</v>
      </c>
      <c r="D513" s="3">
        <v>0</v>
      </c>
      <c r="E513" s="3">
        <v>0.14000000000000001</v>
      </c>
      <c r="F513" t="str">
        <f t="shared" si="47"/>
        <v>Sun</v>
      </c>
      <c r="G513">
        <f t="shared" si="42"/>
        <v>0.1061</v>
      </c>
      <c r="H513">
        <f t="shared" si="43"/>
        <v>0.46</v>
      </c>
      <c r="I513">
        <f t="shared" si="44"/>
        <v>0.3881</v>
      </c>
      <c r="J513">
        <f t="shared" si="45"/>
        <v>7</v>
      </c>
      <c r="K513">
        <f t="shared" si="46"/>
        <v>51</v>
      </c>
    </row>
    <row r="514" spans="1:11" x14ac:dyDescent="0.3">
      <c r="A514" s="3">
        <v>513</v>
      </c>
      <c r="B514" s="4">
        <v>40566</v>
      </c>
      <c r="C514" s="3">
        <v>11</v>
      </c>
      <c r="D514" s="3">
        <v>0</v>
      </c>
      <c r="E514" s="3">
        <v>0.14000000000000001</v>
      </c>
      <c r="F514" t="str">
        <f t="shared" si="47"/>
        <v>Sun</v>
      </c>
      <c r="G514">
        <f t="shared" ref="G514:G577" si="48">VLOOKUP($A514,instantc,3,FALSE)</f>
        <v>0.13639999999999999</v>
      </c>
      <c r="H514">
        <f t="shared" ref="H514:H577" si="49">VLOOKUP($A514,instantc,4,FALSE)</f>
        <v>0.43</v>
      </c>
      <c r="I514">
        <f t="shared" ref="I514:I577" si="50">VLOOKUP($A514,instantc,5,FALSE)</f>
        <v>0.22389999999999999</v>
      </c>
      <c r="J514">
        <f t="shared" ref="J514:J577" si="51">VLOOKUP($A514,instantc,6,FALSE)</f>
        <v>22</v>
      </c>
      <c r="K514">
        <f t="shared" ref="K514:K577" si="52">VLOOKUP($A514,instantc,7,FALSE)</f>
        <v>77</v>
      </c>
    </row>
    <row r="515" spans="1:11" x14ac:dyDescent="0.3">
      <c r="A515" s="3">
        <v>514</v>
      </c>
      <c r="B515" s="4">
        <v>40566</v>
      </c>
      <c r="C515" s="3">
        <v>12</v>
      </c>
      <c r="D515" s="3">
        <v>0</v>
      </c>
      <c r="E515" s="3">
        <v>0.16</v>
      </c>
      <c r="F515" t="str">
        <f t="shared" ref="F515:F578" si="53">TEXT(B515,"ddd")</f>
        <v>Sun</v>
      </c>
      <c r="G515">
        <f t="shared" si="48"/>
        <v>0.1212</v>
      </c>
      <c r="H515">
        <f t="shared" si="49"/>
        <v>0.37</v>
      </c>
      <c r="I515">
        <f t="shared" si="50"/>
        <v>0.4627</v>
      </c>
      <c r="J515">
        <f t="shared" si="51"/>
        <v>24</v>
      </c>
      <c r="K515">
        <f t="shared" si="52"/>
        <v>92</v>
      </c>
    </row>
    <row r="516" spans="1:11" x14ac:dyDescent="0.3">
      <c r="A516" s="3">
        <v>515</v>
      </c>
      <c r="B516" s="4">
        <v>40566</v>
      </c>
      <c r="C516" s="3">
        <v>13</v>
      </c>
      <c r="D516" s="3">
        <v>0</v>
      </c>
      <c r="E516" s="3">
        <v>0.14000000000000001</v>
      </c>
      <c r="F516" t="str">
        <f t="shared" si="53"/>
        <v>Sun</v>
      </c>
      <c r="G516">
        <f t="shared" si="48"/>
        <v>0.1061</v>
      </c>
      <c r="H516">
        <f t="shared" si="49"/>
        <v>0.33</v>
      </c>
      <c r="I516">
        <f t="shared" si="50"/>
        <v>0.3881</v>
      </c>
      <c r="J516">
        <f t="shared" si="51"/>
        <v>12</v>
      </c>
      <c r="K516">
        <f t="shared" si="52"/>
        <v>75</v>
      </c>
    </row>
    <row r="517" spans="1:11" x14ac:dyDescent="0.3">
      <c r="A517" s="3">
        <v>516</v>
      </c>
      <c r="B517" s="4">
        <v>40566</v>
      </c>
      <c r="C517" s="3">
        <v>14</v>
      </c>
      <c r="D517" s="3">
        <v>0</v>
      </c>
      <c r="E517" s="3">
        <v>0.16</v>
      </c>
      <c r="F517" t="str">
        <f t="shared" si="53"/>
        <v>Sun</v>
      </c>
      <c r="G517">
        <f t="shared" si="48"/>
        <v>0.13639999999999999</v>
      </c>
      <c r="H517">
        <f t="shared" si="49"/>
        <v>0.28000000000000003</v>
      </c>
      <c r="I517">
        <f t="shared" si="50"/>
        <v>0.35820000000000002</v>
      </c>
      <c r="J517">
        <f t="shared" si="51"/>
        <v>17</v>
      </c>
      <c r="K517">
        <f t="shared" si="52"/>
        <v>93</v>
      </c>
    </row>
    <row r="518" spans="1:11" x14ac:dyDescent="0.3">
      <c r="A518" s="3">
        <v>517</v>
      </c>
      <c r="B518" s="4">
        <v>40566</v>
      </c>
      <c r="C518" s="3">
        <v>15</v>
      </c>
      <c r="D518" s="3">
        <v>0</v>
      </c>
      <c r="E518" s="3">
        <v>0.16</v>
      </c>
      <c r="F518" t="str">
        <f t="shared" si="53"/>
        <v>Sun</v>
      </c>
      <c r="G518">
        <f t="shared" si="48"/>
        <v>0.13639999999999999</v>
      </c>
      <c r="H518">
        <f t="shared" si="49"/>
        <v>0.28000000000000003</v>
      </c>
      <c r="I518">
        <f t="shared" si="50"/>
        <v>0.35820000000000002</v>
      </c>
      <c r="J518">
        <f t="shared" si="51"/>
        <v>13</v>
      </c>
      <c r="K518">
        <f t="shared" si="52"/>
        <v>64</v>
      </c>
    </row>
    <row r="519" spans="1:11" x14ac:dyDescent="0.3">
      <c r="A519" s="3">
        <v>518</v>
      </c>
      <c r="B519" s="4">
        <v>40566</v>
      </c>
      <c r="C519" s="3">
        <v>16</v>
      </c>
      <c r="D519" s="3">
        <v>0</v>
      </c>
      <c r="E519" s="3">
        <v>0.16</v>
      </c>
      <c r="F519" t="str">
        <f t="shared" si="53"/>
        <v>Sun</v>
      </c>
      <c r="G519">
        <f t="shared" si="48"/>
        <v>0.13639999999999999</v>
      </c>
      <c r="H519">
        <f t="shared" si="49"/>
        <v>0.26</v>
      </c>
      <c r="I519">
        <f t="shared" si="50"/>
        <v>0.32840000000000003</v>
      </c>
      <c r="J519">
        <f t="shared" si="51"/>
        <v>9</v>
      </c>
      <c r="K519">
        <f t="shared" si="52"/>
        <v>56</v>
      </c>
    </row>
    <row r="520" spans="1:11" x14ac:dyDescent="0.3">
      <c r="A520" s="3">
        <v>519</v>
      </c>
      <c r="B520" s="4">
        <v>40566</v>
      </c>
      <c r="C520" s="3">
        <v>17</v>
      </c>
      <c r="D520" s="3">
        <v>0</v>
      </c>
      <c r="E520" s="3">
        <v>0.14000000000000001</v>
      </c>
      <c r="F520" t="str">
        <f t="shared" si="53"/>
        <v>Sun</v>
      </c>
      <c r="G520">
        <f t="shared" si="48"/>
        <v>0.1061</v>
      </c>
      <c r="H520">
        <f t="shared" si="49"/>
        <v>0.26</v>
      </c>
      <c r="I520">
        <f t="shared" si="50"/>
        <v>0.3881</v>
      </c>
      <c r="J520">
        <f t="shared" si="51"/>
        <v>5</v>
      </c>
      <c r="K520">
        <f t="shared" si="52"/>
        <v>50</v>
      </c>
    </row>
    <row r="521" spans="1:11" x14ac:dyDescent="0.3">
      <c r="A521" s="3">
        <v>520</v>
      </c>
      <c r="B521" s="4">
        <v>40566</v>
      </c>
      <c r="C521" s="3">
        <v>18</v>
      </c>
      <c r="D521" s="3">
        <v>0</v>
      </c>
      <c r="E521" s="3">
        <v>0.12</v>
      </c>
      <c r="F521" t="str">
        <f t="shared" si="53"/>
        <v>Sun</v>
      </c>
      <c r="G521">
        <f t="shared" si="48"/>
        <v>0.1212</v>
      </c>
      <c r="H521">
        <f t="shared" si="49"/>
        <v>0.3</v>
      </c>
      <c r="I521">
        <f t="shared" si="50"/>
        <v>0.25369999999999998</v>
      </c>
      <c r="J521">
        <f t="shared" si="51"/>
        <v>5</v>
      </c>
      <c r="K521">
        <f t="shared" si="52"/>
        <v>44</v>
      </c>
    </row>
    <row r="522" spans="1:11" x14ac:dyDescent="0.3">
      <c r="A522" s="3">
        <v>521</v>
      </c>
      <c r="B522" s="4">
        <v>40566</v>
      </c>
      <c r="C522" s="3">
        <v>19</v>
      </c>
      <c r="D522" s="3">
        <v>0</v>
      </c>
      <c r="E522" s="3">
        <v>0.12</v>
      </c>
      <c r="F522" t="str">
        <f t="shared" si="53"/>
        <v>Sun</v>
      </c>
      <c r="G522">
        <f t="shared" si="48"/>
        <v>0.1212</v>
      </c>
      <c r="H522">
        <f t="shared" si="49"/>
        <v>0.3</v>
      </c>
      <c r="I522">
        <f t="shared" si="50"/>
        <v>0.28360000000000002</v>
      </c>
      <c r="J522">
        <f t="shared" si="51"/>
        <v>5</v>
      </c>
      <c r="K522">
        <f t="shared" si="52"/>
        <v>45</v>
      </c>
    </row>
    <row r="523" spans="1:11" x14ac:dyDescent="0.3">
      <c r="A523" s="3">
        <v>522</v>
      </c>
      <c r="B523" s="4">
        <v>40566</v>
      </c>
      <c r="C523" s="3">
        <v>20</v>
      </c>
      <c r="D523" s="3">
        <v>0</v>
      </c>
      <c r="E523" s="3">
        <v>0.1</v>
      </c>
      <c r="F523" t="str">
        <f t="shared" si="53"/>
        <v>Sun</v>
      </c>
      <c r="G523">
        <f t="shared" si="48"/>
        <v>0.1061</v>
      </c>
      <c r="H523">
        <f t="shared" si="49"/>
        <v>0.36</v>
      </c>
      <c r="I523">
        <f t="shared" si="50"/>
        <v>0.25369999999999998</v>
      </c>
      <c r="J523">
        <f t="shared" si="51"/>
        <v>4</v>
      </c>
      <c r="K523">
        <f t="shared" si="52"/>
        <v>31</v>
      </c>
    </row>
    <row r="524" spans="1:11" x14ac:dyDescent="0.3">
      <c r="A524" s="3">
        <v>523</v>
      </c>
      <c r="B524" s="4">
        <v>40566</v>
      </c>
      <c r="C524" s="3">
        <v>21</v>
      </c>
      <c r="D524" s="3">
        <v>0</v>
      </c>
      <c r="E524" s="3">
        <v>0.1</v>
      </c>
      <c r="F524" t="str">
        <f t="shared" si="53"/>
        <v>Sun</v>
      </c>
      <c r="G524">
        <f t="shared" si="48"/>
        <v>0.1061</v>
      </c>
      <c r="H524">
        <f t="shared" si="49"/>
        <v>0.36</v>
      </c>
      <c r="I524">
        <f t="shared" si="50"/>
        <v>0.19400000000000001</v>
      </c>
      <c r="J524">
        <f t="shared" si="51"/>
        <v>5</v>
      </c>
      <c r="K524">
        <f t="shared" si="52"/>
        <v>20</v>
      </c>
    </row>
    <row r="525" spans="1:11" x14ac:dyDescent="0.3">
      <c r="A525" s="3">
        <v>524</v>
      </c>
      <c r="B525" s="4">
        <v>40566</v>
      </c>
      <c r="C525" s="3">
        <v>22</v>
      </c>
      <c r="D525" s="3">
        <v>0</v>
      </c>
      <c r="E525" s="3">
        <v>0.08</v>
      </c>
      <c r="F525" t="str">
        <f t="shared" si="53"/>
        <v>Sun</v>
      </c>
      <c r="G525">
        <f t="shared" si="48"/>
        <v>9.0899999999999995E-2</v>
      </c>
      <c r="H525">
        <f t="shared" si="49"/>
        <v>0.38</v>
      </c>
      <c r="I525">
        <f t="shared" si="50"/>
        <v>0.19400000000000001</v>
      </c>
      <c r="J525">
        <f t="shared" si="51"/>
        <v>5</v>
      </c>
      <c r="K525">
        <f t="shared" si="52"/>
        <v>23</v>
      </c>
    </row>
    <row r="526" spans="1:11" x14ac:dyDescent="0.3">
      <c r="A526" s="3">
        <v>525</v>
      </c>
      <c r="B526" s="4">
        <v>40566</v>
      </c>
      <c r="C526" s="3">
        <v>23</v>
      </c>
      <c r="D526" s="3">
        <v>0</v>
      </c>
      <c r="E526" s="3">
        <v>0.06</v>
      </c>
      <c r="F526" t="str">
        <f t="shared" si="53"/>
        <v>Sun</v>
      </c>
      <c r="G526">
        <f t="shared" si="48"/>
        <v>6.0600000000000001E-2</v>
      </c>
      <c r="H526">
        <f t="shared" si="49"/>
        <v>0.41</v>
      </c>
      <c r="I526">
        <f t="shared" si="50"/>
        <v>0.22389999999999999</v>
      </c>
      <c r="J526">
        <f t="shared" si="51"/>
        <v>4</v>
      </c>
      <c r="K526">
        <f t="shared" si="52"/>
        <v>17</v>
      </c>
    </row>
    <row r="527" spans="1:11" x14ac:dyDescent="0.3">
      <c r="A527" s="3">
        <v>526</v>
      </c>
      <c r="B527" s="4">
        <v>40567</v>
      </c>
      <c r="C527" s="3">
        <v>0</v>
      </c>
      <c r="D527" s="3">
        <v>1</v>
      </c>
      <c r="E527" s="3">
        <v>0.06</v>
      </c>
      <c r="F527" t="str">
        <f t="shared" si="53"/>
        <v>Mon</v>
      </c>
      <c r="G527">
        <f t="shared" si="48"/>
        <v>6.0600000000000001E-2</v>
      </c>
      <c r="H527">
        <f t="shared" si="49"/>
        <v>0.41</v>
      </c>
      <c r="I527">
        <f t="shared" si="50"/>
        <v>0.19400000000000001</v>
      </c>
      <c r="J527">
        <f t="shared" si="51"/>
        <v>0</v>
      </c>
      <c r="K527">
        <f t="shared" si="52"/>
        <v>7</v>
      </c>
    </row>
    <row r="528" spans="1:11" x14ac:dyDescent="0.3">
      <c r="A528" s="3">
        <v>527</v>
      </c>
      <c r="B528" s="4">
        <v>40567</v>
      </c>
      <c r="C528" s="3">
        <v>1</v>
      </c>
      <c r="D528" s="3">
        <v>1</v>
      </c>
      <c r="E528" s="3">
        <v>0.04</v>
      </c>
      <c r="F528" t="str">
        <f t="shared" si="53"/>
        <v>Mon</v>
      </c>
      <c r="G528">
        <f t="shared" si="48"/>
        <v>4.5499999999999999E-2</v>
      </c>
      <c r="H528">
        <f t="shared" si="49"/>
        <v>0.45</v>
      </c>
      <c r="I528">
        <f t="shared" si="50"/>
        <v>0.19400000000000001</v>
      </c>
      <c r="J528">
        <f t="shared" si="51"/>
        <v>0</v>
      </c>
      <c r="K528">
        <f t="shared" si="52"/>
        <v>1</v>
      </c>
    </row>
    <row r="529" spans="1:11" x14ac:dyDescent="0.3">
      <c r="A529" s="3">
        <v>528</v>
      </c>
      <c r="B529" s="4">
        <v>40567</v>
      </c>
      <c r="C529" s="3">
        <v>3</v>
      </c>
      <c r="D529" s="3">
        <v>1</v>
      </c>
      <c r="E529" s="3">
        <v>0.04</v>
      </c>
      <c r="F529" t="str">
        <f t="shared" si="53"/>
        <v>Mon</v>
      </c>
      <c r="G529">
        <f t="shared" si="48"/>
        <v>3.0300000000000001E-2</v>
      </c>
      <c r="H529">
        <f t="shared" si="49"/>
        <v>0.45</v>
      </c>
      <c r="I529">
        <f t="shared" si="50"/>
        <v>0.25369999999999998</v>
      </c>
      <c r="J529">
        <f t="shared" si="51"/>
        <v>0</v>
      </c>
      <c r="K529">
        <f t="shared" si="52"/>
        <v>1</v>
      </c>
    </row>
    <row r="530" spans="1:11" x14ac:dyDescent="0.3">
      <c r="A530" s="3">
        <v>529</v>
      </c>
      <c r="B530" s="4">
        <v>40567</v>
      </c>
      <c r="C530" s="3">
        <v>4</v>
      </c>
      <c r="D530" s="3">
        <v>1</v>
      </c>
      <c r="E530" s="3">
        <v>0.02</v>
      </c>
      <c r="F530" t="str">
        <f t="shared" si="53"/>
        <v>Mon</v>
      </c>
      <c r="G530">
        <f t="shared" si="48"/>
        <v>6.0600000000000001E-2</v>
      </c>
      <c r="H530">
        <f t="shared" si="49"/>
        <v>0.48</v>
      </c>
      <c r="I530">
        <f t="shared" si="50"/>
        <v>0.1343</v>
      </c>
      <c r="J530">
        <f t="shared" si="51"/>
        <v>0</v>
      </c>
      <c r="K530">
        <f t="shared" si="52"/>
        <v>1</v>
      </c>
    </row>
    <row r="531" spans="1:11" x14ac:dyDescent="0.3">
      <c r="A531" s="3">
        <v>530</v>
      </c>
      <c r="B531" s="4">
        <v>40567</v>
      </c>
      <c r="C531" s="3">
        <v>5</v>
      </c>
      <c r="D531" s="3">
        <v>1</v>
      </c>
      <c r="E531" s="3">
        <v>0.02</v>
      </c>
      <c r="F531" t="str">
        <f t="shared" si="53"/>
        <v>Mon</v>
      </c>
      <c r="G531">
        <f t="shared" si="48"/>
        <v>6.0600000000000001E-2</v>
      </c>
      <c r="H531">
        <f t="shared" si="49"/>
        <v>0.48</v>
      </c>
      <c r="I531">
        <f t="shared" si="50"/>
        <v>0.1343</v>
      </c>
      <c r="J531">
        <f t="shared" si="51"/>
        <v>0</v>
      </c>
      <c r="K531">
        <f t="shared" si="52"/>
        <v>5</v>
      </c>
    </row>
    <row r="532" spans="1:11" x14ac:dyDescent="0.3">
      <c r="A532" s="3">
        <v>531</v>
      </c>
      <c r="B532" s="4">
        <v>40567</v>
      </c>
      <c r="C532" s="3">
        <v>6</v>
      </c>
      <c r="D532" s="3">
        <v>1</v>
      </c>
      <c r="E532" s="3">
        <v>0.02</v>
      </c>
      <c r="F532" t="str">
        <f t="shared" si="53"/>
        <v>Mon</v>
      </c>
      <c r="G532">
        <f t="shared" si="48"/>
        <v>7.5800000000000006E-2</v>
      </c>
      <c r="H532">
        <f t="shared" si="49"/>
        <v>0.48</v>
      </c>
      <c r="I532">
        <f t="shared" si="50"/>
        <v>8.9599999999999999E-2</v>
      </c>
      <c r="J532">
        <f t="shared" si="51"/>
        <v>0</v>
      </c>
      <c r="K532">
        <f t="shared" si="52"/>
        <v>15</v>
      </c>
    </row>
    <row r="533" spans="1:11" x14ac:dyDescent="0.3">
      <c r="A533" s="3">
        <v>532</v>
      </c>
      <c r="B533" s="4">
        <v>40567</v>
      </c>
      <c r="C533" s="3">
        <v>7</v>
      </c>
      <c r="D533" s="3">
        <v>1</v>
      </c>
      <c r="E533" s="3">
        <v>0.02</v>
      </c>
      <c r="F533" t="str">
        <f t="shared" si="53"/>
        <v>Mon</v>
      </c>
      <c r="G533">
        <f t="shared" si="48"/>
        <v>0.1212</v>
      </c>
      <c r="H533">
        <f t="shared" si="49"/>
        <v>0.48</v>
      </c>
      <c r="I533">
        <f t="shared" si="50"/>
        <v>0</v>
      </c>
      <c r="J533">
        <f t="shared" si="51"/>
        <v>5</v>
      </c>
      <c r="K533">
        <f t="shared" si="52"/>
        <v>79</v>
      </c>
    </row>
    <row r="534" spans="1:11" x14ac:dyDescent="0.3">
      <c r="A534" s="3">
        <v>533</v>
      </c>
      <c r="B534" s="4">
        <v>40567</v>
      </c>
      <c r="C534" s="3">
        <v>8</v>
      </c>
      <c r="D534" s="3">
        <v>1</v>
      </c>
      <c r="E534" s="3">
        <v>0.04</v>
      </c>
      <c r="F534" t="str">
        <f t="shared" si="53"/>
        <v>Mon</v>
      </c>
      <c r="G534">
        <f t="shared" si="48"/>
        <v>0.13639999999999999</v>
      </c>
      <c r="H534">
        <f t="shared" si="49"/>
        <v>0.49</v>
      </c>
      <c r="I534">
        <f t="shared" si="50"/>
        <v>0</v>
      </c>
      <c r="J534">
        <f t="shared" si="51"/>
        <v>6</v>
      </c>
      <c r="K534">
        <f t="shared" si="52"/>
        <v>171</v>
      </c>
    </row>
    <row r="535" spans="1:11" x14ac:dyDescent="0.3">
      <c r="A535" s="3">
        <v>534</v>
      </c>
      <c r="B535" s="4">
        <v>40567</v>
      </c>
      <c r="C535" s="3">
        <v>9</v>
      </c>
      <c r="D535" s="3">
        <v>1</v>
      </c>
      <c r="E535" s="3">
        <v>0.06</v>
      </c>
      <c r="F535" t="str">
        <f t="shared" si="53"/>
        <v>Mon</v>
      </c>
      <c r="G535">
        <f t="shared" si="48"/>
        <v>0.1515</v>
      </c>
      <c r="H535">
        <f t="shared" si="49"/>
        <v>0.41</v>
      </c>
      <c r="I535">
        <f t="shared" si="50"/>
        <v>0</v>
      </c>
      <c r="J535">
        <f t="shared" si="51"/>
        <v>4</v>
      </c>
      <c r="K535">
        <f t="shared" si="52"/>
        <v>98</v>
      </c>
    </row>
    <row r="536" spans="1:11" x14ac:dyDescent="0.3">
      <c r="A536" s="3">
        <v>535</v>
      </c>
      <c r="B536" s="4">
        <v>40567</v>
      </c>
      <c r="C536" s="3">
        <v>10</v>
      </c>
      <c r="D536" s="3">
        <v>1</v>
      </c>
      <c r="E536" s="3">
        <v>0.1</v>
      </c>
      <c r="F536" t="str">
        <f t="shared" si="53"/>
        <v>Mon</v>
      </c>
      <c r="G536">
        <f t="shared" si="48"/>
        <v>0.13639999999999999</v>
      </c>
      <c r="H536">
        <f t="shared" si="49"/>
        <v>0.42</v>
      </c>
      <c r="I536">
        <f t="shared" si="50"/>
        <v>0</v>
      </c>
      <c r="J536">
        <f t="shared" si="51"/>
        <v>6</v>
      </c>
      <c r="K536">
        <f t="shared" si="52"/>
        <v>34</v>
      </c>
    </row>
    <row r="537" spans="1:11" x14ac:dyDescent="0.3">
      <c r="A537" s="3">
        <v>536</v>
      </c>
      <c r="B537" s="4">
        <v>40567</v>
      </c>
      <c r="C537" s="3">
        <v>11</v>
      </c>
      <c r="D537" s="3">
        <v>1</v>
      </c>
      <c r="E537" s="3">
        <v>0.1</v>
      </c>
      <c r="F537" t="str">
        <f t="shared" si="53"/>
        <v>Mon</v>
      </c>
      <c r="G537">
        <f t="shared" si="48"/>
        <v>0.1212</v>
      </c>
      <c r="H537">
        <f t="shared" si="49"/>
        <v>0.46</v>
      </c>
      <c r="I537">
        <f t="shared" si="50"/>
        <v>0.1343</v>
      </c>
      <c r="J537">
        <f t="shared" si="51"/>
        <v>3</v>
      </c>
      <c r="K537">
        <f t="shared" si="52"/>
        <v>43</v>
      </c>
    </row>
    <row r="538" spans="1:11" x14ac:dyDescent="0.3">
      <c r="A538" s="3">
        <v>537</v>
      </c>
      <c r="B538" s="4">
        <v>40567</v>
      </c>
      <c r="C538" s="3">
        <v>12</v>
      </c>
      <c r="D538" s="3">
        <v>1</v>
      </c>
      <c r="E538" s="3">
        <v>0.12</v>
      </c>
      <c r="F538" t="str">
        <f t="shared" si="53"/>
        <v>Mon</v>
      </c>
      <c r="G538">
        <f t="shared" si="48"/>
        <v>0.13639999999999999</v>
      </c>
      <c r="H538">
        <f t="shared" si="49"/>
        <v>0.42</v>
      </c>
      <c r="I538">
        <f t="shared" si="50"/>
        <v>0.19400000000000001</v>
      </c>
      <c r="J538">
        <f t="shared" si="51"/>
        <v>11</v>
      </c>
      <c r="K538">
        <f t="shared" si="52"/>
        <v>52</v>
      </c>
    </row>
    <row r="539" spans="1:11" x14ac:dyDescent="0.3">
      <c r="A539" s="3">
        <v>538</v>
      </c>
      <c r="B539" s="4">
        <v>40567</v>
      </c>
      <c r="C539" s="3">
        <v>13</v>
      </c>
      <c r="D539" s="3">
        <v>1</v>
      </c>
      <c r="E539" s="3">
        <v>0.14000000000000001</v>
      </c>
      <c r="F539" t="str">
        <f t="shared" si="53"/>
        <v>Mon</v>
      </c>
      <c r="G539">
        <f t="shared" si="48"/>
        <v>0.13639999999999999</v>
      </c>
      <c r="H539">
        <f t="shared" si="49"/>
        <v>0.43</v>
      </c>
      <c r="I539">
        <f t="shared" si="50"/>
        <v>0.22389999999999999</v>
      </c>
      <c r="J539">
        <f t="shared" si="51"/>
        <v>6</v>
      </c>
      <c r="K539">
        <f t="shared" si="52"/>
        <v>54</v>
      </c>
    </row>
    <row r="540" spans="1:11" x14ac:dyDescent="0.3">
      <c r="A540" s="3">
        <v>539</v>
      </c>
      <c r="B540" s="4">
        <v>40567</v>
      </c>
      <c r="C540" s="3">
        <v>14</v>
      </c>
      <c r="D540" s="3">
        <v>1</v>
      </c>
      <c r="E540" s="3">
        <v>0.14000000000000001</v>
      </c>
      <c r="F540" t="str">
        <f t="shared" si="53"/>
        <v>Mon</v>
      </c>
      <c r="G540">
        <f t="shared" si="48"/>
        <v>0.13639999999999999</v>
      </c>
      <c r="H540">
        <f t="shared" si="49"/>
        <v>0.46</v>
      </c>
      <c r="I540">
        <f t="shared" si="50"/>
        <v>0.22389999999999999</v>
      </c>
      <c r="J540">
        <f t="shared" si="51"/>
        <v>2</v>
      </c>
      <c r="K540">
        <f t="shared" si="52"/>
        <v>43</v>
      </c>
    </row>
    <row r="541" spans="1:11" x14ac:dyDescent="0.3">
      <c r="A541" s="3">
        <v>540</v>
      </c>
      <c r="B541" s="4">
        <v>40567</v>
      </c>
      <c r="C541" s="3">
        <v>15</v>
      </c>
      <c r="D541" s="3">
        <v>1</v>
      </c>
      <c r="E541" s="3">
        <v>0.16</v>
      </c>
      <c r="F541" t="str">
        <f t="shared" si="53"/>
        <v>Mon</v>
      </c>
      <c r="G541">
        <f t="shared" si="48"/>
        <v>0.16669999999999999</v>
      </c>
      <c r="H541">
        <f t="shared" si="49"/>
        <v>0.4</v>
      </c>
      <c r="I541">
        <f t="shared" si="50"/>
        <v>0.16420000000000001</v>
      </c>
      <c r="J541">
        <f t="shared" si="51"/>
        <v>7</v>
      </c>
      <c r="K541">
        <f t="shared" si="52"/>
        <v>50</v>
      </c>
    </row>
    <row r="542" spans="1:11" x14ac:dyDescent="0.3">
      <c r="A542" s="3">
        <v>541</v>
      </c>
      <c r="B542" s="4">
        <v>40567</v>
      </c>
      <c r="C542" s="3">
        <v>16</v>
      </c>
      <c r="D542" s="3">
        <v>1</v>
      </c>
      <c r="E542" s="3">
        <v>0.16</v>
      </c>
      <c r="F542" t="str">
        <f t="shared" si="53"/>
        <v>Mon</v>
      </c>
      <c r="G542">
        <f t="shared" si="48"/>
        <v>0.1515</v>
      </c>
      <c r="H542">
        <f t="shared" si="49"/>
        <v>0.47</v>
      </c>
      <c r="I542">
        <f t="shared" si="50"/>
        <v>0.25369999999999998</v>
      </c>
      <c r="J542">
        <f t="shared" si="51"/>
        <v>4</v>
      </c>
      <c r="K542">
        <f t="shared" si="52"/>
        <v>66</v>
      </c>
    </row>
    <row r="543" spans="1:11" x14ac:dyDescent="0.3">
      <c r="A543" s="3">
        <v>542</v>
      </c>
      <c r="B543" s="4">
        <v>40567</v>
      </c>
      <c r="C543" s="3">
        <v>17</v>
      </c>
      <c r="D543" s="3">
        <v>1</v>
      </c>
      <c r="E543" s="3">
        <v>0.14000000000000001</v>
      </c>
      <c r="F543" t="str">
        <f t="shared" si="53"/>
        <v>Mon</v>
      </c>
      <c r="G543">
        <f t="shared" si="48"/>
        <v>0.1212</v>
      </c>
      <c r="H543">
        <f t="shared" si="49"/>
        <v>0.5</v>
      </c>
      <c r="I543">
        <f t="shared" si="50"/>
        <v>0.25369999999999998</v>
      </c>
      <c r="J543">
        <f t="shared" si="51"/>
        <v>6</v>
      </c>
      <c r="K543">
        <f t="shared" si="52"/>
        <v>178</v>
      </c>
    </row>
    <row r="544" spans="1:11" x14ac:dyDescent="0.3">
      <c r="A544" s="3">
        <v>543</v>
      </c>
      <c r="B544" s="4">
        <v>40567</v>
      </c>
      <c r="C544" s="3">
        <v>18</v>
      </c>
      <c r="D544" s="3">
        <v>1</v>
      </c>
      <c r="E544" s="3">
        <v>0.14000000000000001</v>
      </c>
      <c r="F544" t="str">
        <f t="shared" si="53"/>
        <v>Mon</v>
      </c>
      <c r="G544">
        <f t="shared" si="48"/>
        <v>0.13639999999999999</v>
      </c>
      <c r="H544">
        <f t="shared" si="49"/>
        <v>0.59</v>
      </c>
      <c r="I544">
        <f t="shared" si="50"/>
        <v>0.19400000000000001</v>
      </c>
      <c r="J544">
        <f t="shared" si="51"/>
        <v>8</v>
      </c>
      <c r="K544">
        <f t="shared" si="52"/>
        <v>145</v>
      </c>
    </row>
    <row r="545" spans="1:11" x14ac:dyDescent="0.3">
      <c r="A545" s="3">
        <v>544</v>
      </c>
      <c r="B545" s="4">
        <v>40567</v>
      </c>
      <c r="C545" s="3">
        <v>19</v>
      </c>
      <c r="D545" s="3">
        <v>1</v>
      </c>
      <c r="E545" s="3">
        <v>0.14000000000000001</v>
      </c>
      <c r="F545" t="str">
        <f t="shared" si="53"/>
        <v>Mon</v>
      </c>
      <c r="G545">
        <f t="shared" si="48"/>
        <v>0.1515</v>
      </c>
      <c r="H545">
        <f t="shared" si="49"/>
        <v>0.54</v>
      </c>
      <c r="I545">
        <f t="shared" si="50"/>
        <v>0.16420000000000001</v>
      </c>
      <c r="J545">
        <f t="shared" si="51"/>
        <v>5</v>
      </c>
      <c r="K545">
        <f t="shared" si="52"/>
        <v>101</v>
      </c>
    </row>
    <row r="546" spans="1:11" x14ac:dyDescent="0.3">
      <c r="A546" s="3">
        <v>545</v>
      </c>
      <c r="B546" s="4">
        <v>40567</v>
      </c>
      <c r="C546" s="3">
        <v>20</v>
      </c>
      <c r="D546" s="3">
        <v>1</v>
      </c>
      <c r="E546" s="3">
        <v>0.14000000000000001</v>
      </c>
      <c r="F546" t="str">
        <f t="shared" si="53"/>
        <v>Mon</v>
      </c>
      <c r="G546">
        <f t="shared" si="48"/>
        <v>0.13639999999999999</v>
      </c>
      <c r="H546">
        <f t="shared" si="49"/>
        <v>0.59</v>
      </c>
      <c r="I546">
        <f t="shared" si="50"/>
        <v>0.19400000000000001</v>
      </c>
      <c r="J546">
        <f t="shared" si="51"/>
        <v>1</v>
      </c>
      <c r="K546">
        <f t="shared" si="52"/>
        <v>80</v>
      </c>
    </row>
    <row r="547" spans="1:11" x14ac:dyDescent="0.3">
      <c r="A547" s="3">
        <v>546</v>
      </c>
      <c r="B547" s="4">
        <v>40567</v>
      </c>
      <c r="C547" s="3">
        <v>21</v>
      </c>
      <c r="D547" s="3">
        <v>1</v>
      </c>
      <c r="E547" s="3">
        <v>0.14000000000000001</v>
      </c>
      <c r="F547" t="str">
        <f t="shared" si="53"/>
        <v>Mon</v>
      </c>
      <c r="G547">
        <f t="shared" si="48"/>
        <v>0.1515</v>
      </c>
      <c r="H547">
        <f t="shared" si="49"/>
        <v>0.63</v>
      </c>
      <c r="I547">
        <f t="shared" si="50"/>
        <v>0.16420000000000001</v>
      </c>
      <c r="J547">
        <f t="shared" si="51"/>
        <v>6</v>
      </c>
      <c r="K547">
        <f t="shared" si="52"/>
        <v>53</v>
      </c>
    </row>
    <row r="548" spans="1:11" x14ac:dyDescent="0.3">
      <c r="A548" s="3">
        <v>547</v>
      </c>
      <c r="B548" s="4">
        <v>40567</v>
      </c>
      <c r="C548" s="3">
        <v>22</v>
      </c>
      <c r="D548" s="3">
        <v>1</v>
      </c>
      <c r="E548" s="3">
        <v>0.14000000000000001</v>
      </c>
      <c r="F548" t="str">
        <f t="shared" si="53"/>
        <v>Mon</v>
      </c>
      <c r="G548">
        <f t="shared" si="48"/>
        <v>0.13639999999999999</v>
      </c>
      <c r="H548">
        <f t="shared" si="49"/>
        <v>0.63</v>
      </c>
      <c r="I548">
        <f t="shared" si="50"/>
        <v>0.22389999999999999</v>
      </c>
      <c r="J548">
        <f t="shared" si="51"/>
        <v>3</v>
      </c>
      <c r="K548">
        <f t="shared" si="52"/>
        <v>32</v>
      </c>
    </row>
    <row r="549" spans="1:11" x14ac:dyDescent="0.3">
      <c r="A549" s="3">
        <v>548</v>
      </c>
      <c r="B549" s="4">
        <v>40567</v>
      </c>
      <c r="C549" s="3">
        <v>23</v>
      </c>
      <c r="D549" s="3">
        <v>1</v>
      </c>
      <c r="E549" s="3">
        <v>0.16</v>
      </c>
      <c r="F549" t="str">
        <f t="shared" si="53"/>
        <v>Mon</v>
      </c>
      <c r="G549">
        <f t="shared" si="48"/>
        <v>0.1515</v>
      </c>
      <c r="H549">
        <f t="shared" si="49"/>
        <v>0.64</v>
      </c>
      <c r="I549">
        <f t="shared" si="50"/>
        <v>0.25369999999999998</v>
      </c>
      <c r="J549">
        <f t="shared" si="51"/>
        <v>3</v>
      </c>
      <c r="K549">
        <f t="shared" si="52"/>
        <v>21</v>
      </c>
    </row>
    <row r="550" spans="1:11" x14ac:dyDescent="0.3">
      <c r="A550" s="3">
        <v>549</v>
      </c>
      <c r="B550" s="4">
        <v>40568</v>
      </c>
      <c r="C550" s="3">
        <v>0</v>
      </c>
      <c r="D550" s="3">
        <v>2</v>
      </c>
      <c r="E550" s="3">
        <v>0.16</v>
      </c>
      <c r="F550" t="str">
        <f t="shared" si="53"/>
        <v>Tue</v>
      </c>
      <c r="G550">
        <f t="shared" si="48"/>
        <v>0.13639999999999999</v>
      </c>
      <c r="H550">
        <f t="shared" si="49"/>
        <v>0.69</v>
      </c>
      <c r="I550">
        <f t="shared" si="50"/>
        <v>0.28360000000000002</v>
      </c>
      <c r="J550">
        <f t="shared" si="51"/>
        <v>3</v>
      </c>
      <c r="K550">
        <f t="shared" si="52"/>
        <v>6</v>
      </c>
    </row>
    <row r="551" spans="1:11" x14ac:dyDescent="0.3">
      <c r="A551" s="3">
        <v>550</v>
      </c>
      <c r="B551" s="4">
        <v>40568</v>
      </c>
      <c r="C551" s="3">
        <v>1</v>
      </c>
      <c r="D551" s="3">
        <v>2</v>
      </c>
      <c r="E551" s="3">
        <v>0.16</v>
      </c>
      <c r="F551" t="str">
        <f t="shared" si="53"/>
        <v>Tue</v>
      </c>
      <c r="G551">
        <f t="shared" si="48"/>
        <v>0.16669999999999999</v>
      </c>
      <c r="H551">
        <f t="shared" si="49"/>
        <v>0.69</v>
      </c>
      <c r="I551">
        <f t="shared" si="50"/>
        <v>0.16420000000000001</v>
      </c>
      <c r="J551">
        <f t="shared" si="51"/>
        <v>0</v>
      </c>
      <c r="K551">
        <f t="shared" si="52"/>
        <v>5</v>
      </c>
    </row>
    <row r="552" spans="1:11" x14ac:dyDescent="0.3">
      <c r="A552" s="3">
        <v>551</v>
      </c>
      <c r="B552" s="4">
        <v>40568</v>
      </c>
      <c r="C552" s="3">
        <v>2</v>
      </c>
      <c r="D552" s="3">
        <v>2</v>
      </c>
      <c r="E552" s="3">
        <v>0.16</v>
      </c>
      <c r="F552" t="str">
        <f t="shared" si="53"/>
        <v>Tue</v>
      </c>
      <c r="G552">
        <f t="shared" si="48"/>
        <v>0.1515</v>
      </c>
      <c r="H552">
        <f t="shared" si="49"/>
        <v>0.69</v>
      </c>
      <c r="I552">
        <f t="shared" si="50"/>
        <v>0.22389999999999999</v>
      </c>
      <c r="J552">
        <f t="shared" si="51"/>
        <v>0</v>
      </c>
      <c r="K552">
        <f t="shared" si="52"/>
        <v>2</v>
      </c>
    </row>
    <row r="553" spans="1:11" x14ac:dyDescent="0.3">
      <c r="A553" s="3">
        <v>552</v>
      </c>
      <c r="B553" s="4">
        <v>40568</v>
      </c>
      <c r="C553" s="3">
        <v>4</v>
      </c>
      <c r="D553" s="3">
        <v>2</v>
      </c>
      <c r="E553" s="3">
        <v>0.14000000000000001</v>
      </c>
      <c r="F553" t="str">
        <f t="shared" si="53"/>
        <v>Tue</v>
      </c>
      <c r="G553">
        <f t="shared" si="48"/>
        <v>0.16669999999999999</v>
      </c>
      <c r="H553">
        <f t="shared" si="49"/>
        <v>0.74</v>
      </c>
      <c r="I553">
        <f t="shared" si="50"/>
        <v>0.1045</v>
      </c>
      <c r="J553">
        <f t="shared" si="51"/>
        <v>0</v>
      </c>
      <c r="K553">
        <f t="shared" si="52"/>
        <v>1</v>
      </c>
    </row>
    <row r="554" spans="1:11" x14ac:dyDescent="0.3">
      <c r="A554" s="3">
        <v>553</v>
      </c>
      <c r="B554" s="4">
        <v>40568</v>
      </c>
      <c r="C554" s="3">
        <v>5</v>
      </c>
      <c r="D554" s="3">
        <v>2</v>
      </c>
      <c r="E554" s="3">
        <v>0.14000000000000001</v>
      </c>
      <c r="F554" t="str">
        <f t="shared" si="53"/>
        <v>Tue</v>
      </c>
      <c r="G554">
        <f t="shared" si="48"/>
        <v>0.13639999999999999</v>
      </c>
      <c r="H554">
        <f t="shared" si="49"/>
        <v>0.74</v>
      </c>
      <c r="I554">
        <f t="shared" si="50"/>
        <v>0.22389999999999999</v>
      </c>
      <c r="J554">
        <f t="shared" si="51"/>
        <v>0</v>
      </c>
      <c r="K554">
        <f t="shared" si="52"/>
        <v>9</v>
      </c>
    </row>
    <row r="555" spans="1:11" x14ac:dyDescent="0.3">
      <c r="A555" s="3">
        <v>554</v>
      </c>
      <c r="B555" s="4">
        <v>40568</v>
      </c>
      <c r="C555" s="3">
        <v>6</v>
      </c>
      <c r="D555" s="3">
        <v>2</v>
      </c>
      <c r="E555" s="3">
        <v>0.16</v>
      </c>
      <c r="F555" t="str">
        <f t="shared" si="53"/>
        <v>Tue</v>
      </c>
      <c r="G555">
        <f t="shared" si="48"/>
        <v>0.18179999999999999</v>
      </c>
      <c r="H555">
        <f t="shared" si="49"/>
        <v>0.74</v>
      </c>
      <c r="I555">
        <f t="shared" si="50"/>
        <v>0.1045</v>
      </c>
      <c r="J555">
        <f t="shared" si="51"/>
        <v>1</v>
      </c>
      <c r="K555">
        <f t="shared" si="52"/>
        <v>35</v>
      </c>
    </row>
    <row r="556" spans="1:11" x14ac:dyDescent="0.3">
      <c r="A556" s="3">
        <v>555</v>
      </c>
      <c r="B556" s="4">
        <v>40568</v>
      </c>
      <c r="C556" s="3">
        <v>7</v>
      </c>
      <c r="D556" s="3">
        <v>2</v>
      </c>
      <c r="E556" s="3">
        <v>0.16</v>
      </c>
      <c r="F556" t="str">
        <f t="shared" si="53"/>
        <v>Tue</v>
      </c>
      <c r="G556">
        <f t="shared" si="48"/>
        <v>0.1515</v>
      </c>
      <c r="H556">
        <f t="shared" si="49"/>
        <v>0.74</v>
      </c>
      <c r="I556">
        <f t="shared" si="50"/>
        <v>0.22389999999999999</v>
      </c>
      <c r="J556">
        <f t="shared" si="51"/>
        <v>5</v>
      </c>
      <c r="K556">
        <f t="shared" si="52"/>
        <v>103</v>
      </c>
    </row>
    <row r="557" spans="1:11" x14ac:dyDescent="0.3">
      <c r="A557" s="3">
        <v>556</v>
      </c>
      <c r="B557" s="4">
        <v>40568</v>
      </c>
      <c r="C557" s="3">
        <v>8</v>
      </c>
      <c r="D557" s="3">
        <v>2</v>
      </c>
      <c r="E557" s="3">
        <v>0.16</v>
      </c>
      <c r="F557" t="str">
        <f t="shared" si="53"/>
        <v>Tue</v>
      </c>
      <c r="G557">
        <f t="shared" si="48"/>
        <v>0.18179999999999999</v>
      </c>
      <c r="H557">
        <f t="shared" si="49"/>
        <v>0.74</v>
      </c>
      <c r="I557">
        <f t="shared" si="50"/>
        <v>0.1343</v>
      </c>
      <c r="J557">
        <f t="shared" si="51"/>
        <v>5</v>
      </c>
      <c r="K557">
        <f t="shared" si="52"/>
        <v>233</v>
      </c>
    </row>
    <row r="558" spans="1:11" x14ac:dyDescent="0.3">
      <c r="A558" s="3">
        <v>557</v>
      </c>
      <c r="B558" s="4">
        <v>40568</v>
      </c>
      <c r="C558" s="3">
        <v>9</v>
      </c>
      <c r="D558" s="3">
        <v>2</v>
      </c>
      <c r="E558" s="3">
        <v>0.2</v>
      </c>
      <c r="F558" t="str">
        <f t="shared" si="53"/>
        <v>Tue</v>
      </c>
      <c r="G558">
        <f t="shared" si="48"/>
        <v>0.2273</v>
      </c>
      <c r="H558">
        <f t="shared" si="49"/>
        <v>0.64</v>
      </c>
      <c r="I558">
        <f t="shared" si="50"/>
        <v>8.9599999999999999E-2</v>
      </c>
      <c r="J558">
        <f t="shared" si="51"/>
        <v>10</v>
      </c>
      <c r="K558">
        <f t="shared" si="52"/>
        <v>134</v>
      </c>
    </row>
    <row r="559" spans="1:11" x14ac:dyDescent="0.3">
      <c r="A559" s="3">
        <v>558</v>
      </c>
      <c r="B559" s="4">
        <v>40568</v>
      </c>
      <c r="C559" s="3">
        <v>10</v>
      </c>
      <c r="D559" s="3">
        <v>2</v>
      </c>
      <c r="E559" s="3">
        <v>0.22</v>
      </c>
      <c r="F559" t="str">
        <f t="shared" si="53"/>
        <v>Tue</v>
      </c>
      <c r="G559">
        <f t="shared" si="48"/>
        <v>0.2424</v>
      </c>
      <c r="H559">
        <f t="shared" si="49"/>
        <v>0.6</v>
      </c>
      <c r="I559">
        <f t="shared" si="50"/>
        <v>0.1045</v>
      </c>
      <c r="J559">
        <f t="shared" si="51"/>
        <v>6</v>
      </c>
      <c r="K559">
        <f t="shared" si="52"/>
        <v>49</v>
      </c>
    </row>
    <row r="560" spans="1:11" x14ac:dyDescent="0.3">
      <c r="A560" s="3">
        <v>559</v>
      </c>
      <c r="B560" s="4">
        <v>40568</v>
      </c>
      <c r="C560" s="3">
        <v>11</v>
      </c>
      <c r="D560" s="3">
        <v>2</v>
      </c>
      <c r="E560" s="3">
        <v>0.24</v>
      </c>
      <c r="F560" t="str">
        <f t="shared" si="53"/>
        <v>Tue</v>
      </c>
      <c r="G560">
        <f t="shared" si="48"/>
        <v>0.2424</v>
      </c>
      <c r="H560">
        <f t="shared" si="49"/>
        <v>0.6</v>
      </c>
      <c r="I560">
        <f t="shared" si="50"/>
        <v>0.1343</v>
      </c>
      <c r="J560">
        <f t="shared" si="51"/>
        <v>6</v>
      </c>
      <c r="K560">
        <f t="shared" si="52"/>
        <v>55</v>
      </c>
    </row>
    <row r="561" spans="1:11" x14ac:dyDescent="0.3">
      <c r="A561" s="3">
        <v>560</v>
      </c>
      <c r="B561" s="4">
        <v>40568</v>
      </c>
      <c r="C561" s="3">
        <v>12</v>
      </c>
      <c r="D561" s="3">
        <v>2</v>
      </c>
      <c r="E561" s="3">
        <v>0.26</v>
      </c>
      <c r="F561" t="str">
        <f t="shared" si="53"/>
        <v>Tue</v>
      </c>
      <c r="G561">
        <f t="shared" si="48"/>
        <v>0.28789999999999999</v>
      </c>
      <c r="H561">
        <f t="shared" si="49"/>
        <v>0.56000000000000005</v>
      </c>
      <c r="I561">
        <f t="shared" si="50"/>
        <v>8.9599999999999999E-2</v>
      </c>
      <c r="J561">
        <f t="shared" si="51"/>
        <v>21</v>
      </c>
      <c r="K561">
        <f t="shared" si="52"/>
        <v>85</v>
      </c>
    </row>
    <row r="562" spans="1:11" x14ac:dyDescent="0.3">
      <c r="A562" s="3">
        <v>561</v>
      </c>
      <c r="B562" s="4">
        <v>40568</v>
      </c>
      <c r="C562" s="3">
        <v>13</v>
      </c>
      <c r="D562" s="3">
        <v>2</v>
      </c>
      <c r="E562" s="3">
        <v>0.26</v>
      </c>
      <c r="F562" t="str">
        <f t="shared" si="53"/>
        <v>Tue</v>
      </c>
      <c r="G562">
        <f t="shared" si="48"/>
        <v>0.2727</v>
      </c>
      <c r="H562">
        <f t="shared" si="49"/>
        <v>0.56000000000000005</v>
      </c>
      <c r="I562">
        <f t="shared" si="50"/>
        <v>0.1343</v>
      </c>
      <c r="J562">
        <f t="shared" si="51"/>
        <v>21</v>
      </c>
      <c r="K562">
        <f t="shared" si="52"/>
        <v>72</v>
      </c>
    </row>
    <row r="563" spans="1:11" x14ac:dyDescent="0.3">
      <c r="A563" s="3">
        <v>562</v>
      </c>
      <c r="B563" s="4">
        <v>40568</v>
      </c>
      <c r="C563" s="3">
        <v>14</v>
      </c>
      <c r="D563" s="3">
        <v>2</v>
      </c>
      <c r="E563" s="3">
        <v>0.3</v>
      </c>
      <c r="F563" t="str">
        <f t="shared" si="53"/>
        <v>Tue</v>
      </c>
      <c r="G563">
        <f t="shared" si="48"/>
        <v>0.33329999999999999</v>
      </c>
      <c r="H563">
        <f t="shared" si="49"/>
        <v>0.45</v>
      </c>
      <c r="I563">
        <f t="shared" si="50"/>
        <v>0</v>
      </c>
      <c r="J563">
        <f t="shared" si="51"/>
        <v>11</v>
      </c>
      <c r="K563">
        <f t="shared" si="52"/>
        <v>57</v>
      </c>
    </row>
    <row r="564" spans="1:11" x14ac:dyDescent="0.3">
      <c r="A564" s="3">
        <v>563</v>
      </c>
      <c r="B564" s="4">
        <v>40568</v>
      </c>
      <c r="C564" s="3">
        <v>15</v>
      </c>
      <c r="D564" s="3">
        <v>2</v>
      </c>
      <c r="E564" s="3">
        <v>0.32</v>
      </c>
      <c r="F564" t="str">
        <f t="shared" si="53"/>
        <v>Tue</v>
      </c>
      <c r="G564">
        <f t="shared" si="48"/>
        <v>0.34849999999999998</v>
      </c>
      <c r="H564">
        <f t="shared" si="49"/>
        <v>0.42</v>
      </c>
      <c r="I564">
        <f t="shared" si="50"/>
        <v>0</v>
      </c>
      <c r="J564">
        <f t="shared" si="51"/>
        <v>21</v>
      </c>
      <c r="K564">
        <f t="shared" si="52"/>
        <v>63</v>
      </c>
    </row>
    <row r="565" spans="1:11" x14ac:dyDescent="0.3">
      <c r="A565" s="3">
        <v>564</v>
      </c>
      <c r="B565" s="4">
        <v>40568</v>
      </c>
      <c r="C565" s="3">
        <v>16</v>
      </c>
      <c r="D565" s="3">
        <v>2</v>
      </c>
      <c r="E565" s="3">
        <v>0.32</v>
      </c>
      <c r="F565" t="str">
        <f t="shared" si="53"/>
        <v>Tue</v>
      </c>
      <c r="G565">
        <f t="shared" si="48"/>
        <v>0.34849999999999998</v>
      </c>
      <c r="H565">
        <f t="shared" si="49"/>
        <v>0.42</v>
      </c>
      <c r="I565">
        <f t="shared" si="50"/>
        <v>0</v>
      </c>
      <c r="J565">
        <f t="shared" si="51"/>
        <v>14</v>
      </c>
      <c r="K565">
        <f t="shared" si="52"/>
        <v>102</v>
      </c>
    </row>
    <row r="566" spans="1:11" x14ac:dyDescent="0.3">
      <c r="A566" s="3">
        <v>565</v>
      </c>
      <c r="B566" s="4">
        <v>40568</v>
      </c>
      <c r="C566" s="3">
        <v>17</v>
      </c>
      <c r="D566" s="3">
        <v>2</v>
      </c>
      <c r="E566" s="3">
        <v>0.3</v>
      </c>
      <c r="F566" t="str">
        <f t="shared" si="53"/>
        <v>Tue</v>
      </c>
      <c r="G566">
        <f t="shared" si="48"/>
        <v>0.33329999999999999</v>
      </c>
      <c r="H566">
        <f t="shared" si="49"/>
        <v>0.45</v>
      </c>
      <c r="I566">
        <f t="shared" si="50"/>
        <v>0</v>
      </c>
      <c r="J566">
        <f t="shared" si="51"/>
        <v>14</v>
      </c>
      <c r="K566">
        <f t="shared" si="52"/>
        <v>208</v>
      </c>
    </row>
    <row r="567" spans="1:11" x14ac:dyDescent="0.3">
      <c r="A567" s="3">
        <v>566</v>
      </c>
      <c r="B567" s="4">
        <v>40568</v>
      </c>
      <c r="C567" s="3">
        <v>18</v>
      </c>
      <c r="D567" s="3">
        <v>2</v>
      </c>
      <c r="E567" s="3">
        <v>0.3</v>
      </c>
      <c r="F567" t="str">
        <f t="shared" si="53"/>
        <v>Tue</v>
      </c>
      <c r="G567">
        <f t="shared" si="48"/>
        <v>0.31819999999999998</v>
      </c>
      <c r="H567">
        <f t="shared" si="49"/>
        <v>0.49</v>
      </c>
      <c r="I567">
        <f t="shared" si="50"/>
        <v>8.9599999999999999E-2</v>
      </c>
      <c r="J567">
        <f t="shared" si="51"/>
        <v>7</v>
      </c>
      <c r="K567">
        <f t="shared" si="52"/>
        <v>218</v>
      </c>
    </row>
    <row r="568" spans="1:11" x14ac:dyDescent="0.3">
      <c r="A568" s="3">
        <v>567</v>
      </c>
      <c r="B568" s="4">
        <v>40568</v>
      </c>
      <c r="C568" s="3">
        <v>19</v>
      </c>
      <c r="D568" s="3">
        <v>2</v>
      </c>
      <c r="E568" s="3">
        <v>0.26</v>
      </c>
      <c r="F568" t="str">
        <f t="shared" si="53"/>
        <v>Tue</v>
      </c>
      <c r="G568">
        <f t="shared" si="48"/>
        <v>0.2576</v>
      </c>
      <c r="H568">
        <f t="shared" si="49"/>
        <v>0.65</v>
      </c>
      <c r="I568">
        <f t="shared" si="50"/>
        <v>0.16420000000000001</v>
      </c>
      <c r="J568">
        <f t="shared" si="51"/>
        <v>13</v>
      </c>
      <c r="K568">
        <f t="shared" si="52"/>
        <v>133</v>
      </c>
    </row>
    <row r="569" spans="1:11" x14ac:dyDescent="0.3">
      <c r="A569" s="3">
        <v>568</v>
      </c>
      <c r="B569" s="4">
        <v>40568</v>
      </c>
      <c r="C569" s="3">
        <v>20</v>
      </c>
      <c r="D569" s="3">
        <v>2</v>
      </c>
      <c r="E569" s="3">
        <v>0.24</v>
      </c>
      <c r="F569" t="str">
        <f t="shared" si="53"/>
        <v>Tue</v>
      </c>
      <c r="G569">
        <f t="shared" si="48"/>
        <v>0.2273</v>
      </c>
      <c r="H569">
        <f t="shared" si="49"/>
        <v>0.65</v>
      </c>
      <c r="I569">
        <f t="shared" si="50"/>
        <v>0.19400000000000001</v>
      </c>
      <c r="J569">
        <f t="shared" si="51"/>
        <v>16</v>
      </c>
      <c r="K569">
        <f t="shared" si="52"/>
        <v>103</v>
      </c>
    </row>
    <row r="570" spans="1:11" x14ac:dyDescent="0.3">
      <c r="A570" s="3">
        <v>569</v>
      </c>
      <c r="B570" s="4">
        <v>40568</v>
      </c>
      <c r="C570" s="3">
        <v>21</v>
      </c>
      <c r="D570" s="3">
        <v>2</v>
      </c>
      <c r="E570" s="3">
        <v>0.24</v>
      </c>
      <c r="F570" t="str">
        <f t="shared" si="53"/>
        <v>Tue</v>
      </c>
      <c r="G570">
        <f t="shared" si="48"/>
        <v>0.2273</v>
      </c>
      <c r="H570">
        <f t="shared" si="49"/>
        <v>0.65</v>
      </c>
      <c r="I570">
        <f t="shared" si="50"/>
        <v>0.19400000000000001</v>
      </c>
      <c r="J570">
        <f t="shared" si="51"/>
        <v>5</v>
      </c>
      <c r="K570">
        <f t="shared" si="52"/>
        <v>40</v>
      </c>
    </row>
    <row r="571" spans="1:11" x14ac:dyDescent="0.3">
      <c r="A571" s="3">
        <v>570</v>
      </c>
      <c r="B571" s="4">
        <v>40568</v>
      </c>
      <c r="C571" s="3">
        <v>22</v>
      </c>
      <c r="D571" s="3">
        <v>2</v>
      </c>
      <c r="E571" s="3">
        <v>0.22</v>
      </c>
      <c r="F571" t="str">
        <f t="shared" si="53"/>
        <v>Tue</v>
      </c>
      <c r="G571">
        <f t="shared" si="48"/>
        <v>0.2273</v>
      </c>
      <c r="H571">
        <f t="shared" si="49"/>
        <v>0.64</v>
      </c>
      <c r="I571">
        <f t="shared" si="50"/>
        <v>0.16420000000000001</v>
      </c>
      <c r="J571">
        <f t="shared" si="51"/>
        <v>4</v>
      </c>
      <c r="K571">
        <f t="shared" si="52"/>
        <v>49</v>
      </c>
    </row>
    <row r="572" spans="1:11" x14ac:dyDescent="0.3">
      <c r="A572" s="3">
        <v>571</v>
      </c>
      <c r="B572" s="4">
        <v>40568</v>
      </c>
      <c r="C572" s="3">
        <v>23</v>
      </c>
      <c r="D572" s="3">
        <v>2</v>
      </c>
      <c r="E572" s="3">
        <v>0.22</v>
      </c>
      <c r="F572" t="str">
        <f t="shared" si="53"/>
        <v>Tue</v>
      </c>
      <c r="G572">
        <f t="shared" si="48"/>
        <v>0.2273</v>
      </c>
      <c r="H572">
        <f t="shared" si="49"/>
        <v>0.64</v>
      </c>
      <c r="I572">
        <f t="shared" si="50"/>
        <v>0.16420000000000001</v>
      </c>
      <c r="J572">
        <f t="shared" si="51"/>
        <v>3</v>
      </c>
      <c r="K572">
        <f t="shared" si="52"/>
        <v>37</v>
      </c>
    </row>
    <row r="573" spans="1:11" x14ac:dyDescent="0.3">
      <c r="A573" s="3">
        <v>572</v>
      </c>
      <c r="B573" s="4">
        <v>40569</v>
      </c>
      <c r="C573" s="3">
        <v>0</v>
      </c>
      <c r="D573" s="3">
        <v>3</v>
      </c>
      <c r="E573" s="3">
        <v>0.22</v>
      </c>
      <c r="F573" t="str">
        <f t="shared" si="53"/>
        <v>Wed</v>
      </c>
      <c r="G573">
        <f t="shared" si="48"/>
        <v>0.2273</v>
      </c>
      <c r="H573">
        <f t="shared" si="49"/>
        <v>0.69</v>
      </c>
      <c r="I573">
        <f t="shared" si="50"/>
        <v>0.1343</v>
      </c>
      <c r="J573">
        <f t="shared" si="51"/>
        <v>3</v>
      </c>
      <c r="K573">
        <f t="shared" si="52"/>
        <v>14</v>
      </c>
    </row>
    <row r="574" spans="1:11" x14ac:dyDescent="0.3">
      <c r="A574" s="3">
        <v>573</v>
      </c>
      <c r="B574" s="4">
        <v>40569</v>
      </c>
      <c r="C574" s="3">
        <v>1</v>
      </c>
      <c r="D574" s="3">
        <v>3</v>
      </c>
      <c r="E574" s="3">
        <v>0.24</v>
      </c>
      <c r="F574" t="str">
        <f t="shared" si="53"/>
        <v>Wed</v>
      </c>
      <c r="G574">
        <f t="shared" si="48"/>
        <v>0.2424</v>
      </c>
      <c r="H574">
        <f t="shared" si="49"/>
        <v>0.65</v>
      </c>
      <c r="I574">
        <f t="shared" si="50"/>
        <v>0.1343</v>
      </c>
      <c r="J574">
        <f t="shared" si="51"/>
        <v>0</v>
      </c>
      <c r="K574">
        <f t="shared" si="52"/>
        <v>5</v>
      </c>
    </row>
    <row r="575" spans="1:11" x14ac:dyDescent="0.3">
      <c r="A575" s="3">
        <v>574</v>
      </c>
      <c r="B575" s="4">
        <v>40569</v>
      </c>
      <c r="C575" s="3">
        <v>2</v>
      </c>
      <c r="D575" s="3">
        <v>3</v>
      </c>
      <c r="E575" s="3">
        <v>0.22</v>
      </c>
      <c r="F575" t="str">
        <f t="shared" si="53"/>
        <v>Wed</v>
      </c>
      <c r="G575">
        <f t="shared" si="48"/>
        <v>0.2273</v>
      </c>
      <c r="H575">
        <f t="shared" si="49"/>
        <v>0.69</v>
      </c>
      <c r="I575">
        <f t="shared" si="50"/>
        <v>0.19400000000000001</v>
      </c>
      <c r="J575">
        <f t="shared" si="51"/>
        <v>3</v>
      </c>
      <c r="K575">
        <f t="shared" si="52"/>
        <v>7</v>
      </c>
    </row>
    <row r="576" spans="1:11" x14ac:dyDescent="0.3">
      <c r="A576" s="3">
        <v>575</v>
      </c>
      <c r="B576" s="4">
        <v>40569</v>
      </c>
      <c r="C576" s="3">
        <v>5</v>
      </c>
      <c r="D576" s="3">
        <v>3</v>
      </c>
      <c r="E576" s="3">
        <v>0.2</v>
      </c>
      <c r="F576" t="str">
        <f t="shared" si="53"/>
        <v>Wed</v>
      </c>
      <c r="G576">
        <f t="shared" si="48"/>
        <v>0.18179999999999999</v>
      </c>
      <c r="H576">
        <f t="shared" si="49"/>
        <v>0.86</v>
      </c>
      <c r="I576">
        <f t="shared" si="50"/>
        <v>0.28360000000000002</v>
      </c>
      <c r="J576">
        <f t="shared" si="51"/>
        <v>0</v>
      </c>
      <c r="K576">
        <f t="shared" si="52"/>
        <v>1</v>
      </c>
    </row>
    <row r="577" spans="1:11" x14ac:dyDescent="0.3">
      <c r="A577" s="3">
        <v>576</v>
      </c>
      <c r="B577" s="4">
        <v>40569</v>
      </c>
      <c r="C577" s="3">
        <v>6</v>
      </c>
      <c r="D577" s="3">
        <v>3</v>
      </c>
      <c r="E577" s="3">
        <v>0.2</v>
      </c>
      <c r="F577" t="str">
        <f t="shared" si="53"/>
        <v>Wed</v>
      </c>
      <c r="G577">
        <f t="shared" si="48"/>
        <v>0.18179999999999999</v>
      </c>
      <c r="H577">
        <f t="shared" si="49"/>
        <v>0.86</v>
      </c>
      <c r="I577">
        <f t="shared" si="50"/>
        <v>0.28360000000000002</v>
      </c>
      <c r="J577">
        <f t="shared" si="51"/>
        <v>0</v>
      </c>
      <c r="K577">
        <f t="shared" si="52"/>
        <v>8</v>
      </c>
    </row>
    <row r="578" spans="1:11" x14ac:dyDescent="0.3">
      <c r="A578" s="3">
        <v>577</v>
      </c>
      <c r="B578" s="4">
        <v>40569</v>
      </c>
      <c r="C578" s="3">
        <v>7</v>
      </c>
      <c r="D578" s="3">
        <v>3</v>
      </c>
      <c r="E578" s="3">
        <v>0.22</v>
      </c>
      <c r="F578" t="str">
        <f t="shared" si="53"/>
        <v>Wed</v>
      </c>
      <c r="G578">
        <f t="shared" ref="G578:G611" si="54">VLOOKUP($A578,instantc,3,FALSE)</f>
        <v>0.21210000000000001</v>
      </c>
      <c r="H578">
        <f t="shared" ref="H578:H611" si="55">VLOOKUP($A578,instantc,4,FALSE)</f>
        <v>0.87</v>
      </c>
      <c r="I578">
        <f t="shared" ref="I578:I611" si="56">VLOOKUP($A578,instantc,5,FALSE)</f>
        <v>0.29849999999999999</v>
      </c>
      <c r="J578">
        <f t="shared" ref="J578:J611" si="57">VLOOKUP($A578,instantc,6,FALSE)</f>
        <v>1</v>
      </c>
      <c r="K578">
        <f t="shared" ref="K578:K611" si="58">VLOOKUP($A578,instantc,7,FALSE)</f>
        <v>29</v>
      </c>
    </row>
    <row r="579" spans="1:11" x14ac:dyDescent="0.3">
      <c r="A579" s="3">
        <v>578</v>
      </c>
      <c r="B579" s="4">
        <v>40569</v>
      </c>
      <c r="C579" s="3">
        <v>8</v>
      </c>
      <c r="D579" s="3">
        <v>3</v>
      </c>
      <c r="E579" s="3">
        <v>0.22</v>
      </c>
      <c r="F579" t="str">
        <f t="shared" ref="F579:F611" si="59">TEXT(B579,"ddd")</f>
        <v>Wed</v>
      </c>
      <c r="G579">
        <f t="shared" si="54"/>
        <v>0.21210000000000001</v>
      </c>
      <c r="H579">
        <f t="shared" si="55"/>
        <v>0.87</v>
      </c>
      <c r="I579">
        <f t="shared" si="56"/>
        <v>0.29849999999999999</v>
      </c>
      <c r="J579">
        <f t="shared" si="57"/>
        <v>3</v>
      </c>
      <c r="K579">
        <f t="shared" si="58"/>
        <v>69</v>
      </c>
    </row>
    <row r="580" spans="1:11" x14ac:dyDescent="0.3">
      <c r="A580" s="3">
        <v>579</v>
      </c>
      <c r="B580" s="4">
        <v>40569</v>
      </c>
      <c r="C580" s="3">
        <v>9</v>
      </c>
      <c r="D580" s="3">
        <v>3</v>
      </c>
      <c r="E580" s="3">
        <v>0.22</v>
      </c>
      <c r="F580" t="str">
        <f t="shared" si="59"/>
        <v>Wed</v>
      </c>
      <c r="G580">
        <f t="shared" si="54"/>
        <v>0.21210000000000001</v>
      </c>
      <c r="H580">
        <f t="shared" si="55"/>
        <v>0.87</v>
      </c>
      <c r="I580">
        <f t="shared" si="56"/>
        <v>0.29849999999999999</v>
      </c>
      <c r="J580">
        <f t="shared" si="57"/>
        <v>3</v>
      </c>
      <c r="K580">
        <f t="shared" si="58"/>
        <v>55</v>
      </c>
    </row>
    <row r="581" spans="1:11" x14ac:dyDescent="0.3">
      <c r="A581" s="3">
        <v>580</v>
      </c>
      <c r="B581" s="4">
        <v>40569</v>
      </c>
      <c r="C581" s="3">
        <v>10</v>
      </c>
      <c r="D581" s="3">
        <v>3</v>
      </c>
      <c r="E581" s="3">
        <v>0.22</v>
      </c>
      <c r="F581" t="str">
        <f t="shared" si="59"/>
        <v>Wed</v>
      </c>
      <c r="G581">
        <f t="shared" si="54"/>
        <v>0.21210000000000001</v>
      </c>
      <c r="H581">
        <f t="shared" si="55"/>
        <v>0.93</v>
      </c>
      <c r="I581">
        <f t="shared" si="56"/>
        <v>0.28360000000000002</v>
      </c>
      <c r="J581">
        <f t="shared" si="57"/>
        <v>2</v>
      </c>
      <c r="K581">
        <f t="shared" si="58"/>
        <v>26</v>
      </c>
    </row>
    <row r="582" spans="1:11" x14ac:dyDescent="0.3">
      <c r="A582" s="3">
        <v>581</v>
      </c>
      <c r="B582" s="4">
        <v>40569</v>
      </c>
      <c r="C582" s="3">
        <v>11</v>
      </c>
      <c r="D582" s="3">
        <v>3</v>
      </c>
      <c r="E582" s="3">
        <v>0.22</v>
      </c>
      <c r="F582" t="str">
        <f t="shared" si="59"/>
        <v>Wed</v>
      </c>
      <c r="G582">
        <f t="shared" si="54"/>
        <v>0.19700000000000001</v>
      </c>
      <c r="H582">
        <f t="shared" si="55"/>
        <v>0.93</v>
      </c>
      <c r="I582">
        <f t="shared" si="56"/>
        <v>0.32840000000000003</v>
      </c>
      <c r="J582">
        <f t="shared" si="57"/>
        <v>6</v>
      </c>
      <c r="K582">
        <f t="shared" si="58"/>
        <v>35</v>
      </c>
    </row>
    <row r="583" spans="1:11" x14ac:dyDescent="0.3">
      <c r="A583" s="3">
        <v>582</v>
      </c>
      <c r="B583" s="4">
        <v>40569</v>
      </c>
      <c r="C583" s="3">
        <v>12</v>
      </c>
      <c r="D583" s="3">
        <v>3</v>
      </c>
      <c r="E583" s="3">
        <v>0.22</v>
      </c>
      <c r="F583" t="str">
        <f t="shared" si="59"/>
        <v>Wed</v>
      </c>
      <c r="G583">
        <f t="shared" si="54"/>
        <v>0.19700000000000001</v>
      </c>
      <c r="H583">
        <f t="shared" si="55"/>
        <v>0.93</v>
      </c>
      <c r="I583">
        <f t="shared" si="56"/>
        <v>0.32840000000000003</v>
      </c>
      <c r="J583">
        <f t="shared" si="57"/>
        <v>7</v>
      </c>
      <c r="K583">
        <f t="shared" si="58"/>
        <v>41</v>
      </c>
    </row>
    <row r="584" spans="1:11" x14ac:dyDescent="0.3">
      <c r="A584" s="3">
        <v>583</v>
      </c>
      <c r="B584" s="4">
        <v>40569</v>
      </c>
      <c r="C584" s="3">
        <v>13</v>
      </c>
      <c r="D584" s="3">
        <v>3</v>
      </c>
      <c r="E584" s="3">
        <v>0.22</v>
      </c>
      <c r="F584" t="str">
        <f t="shared" si="59"/>
        <v>Wed</v>
      </c>
      <c r="G584">
        <f t="shared" si="54"/>
        <v>0.19700000000000001</v>
      </c>
      <c r="H584">
        <f t="shared" si="55"/>
        <v>0.93</v>
      </c>
      <c r="I584">
        <f t="shared" si="56"/>
        <v>0.32840000000000003</v>
      </c>
      <c r="J584">
        <f t="shared" si="57"/>
        <v>4</v>
      </c>
      <c r="K584">
        <f t="shared" si="58"/>
        <v>43</v>
      </c>
    </row>
    <row r="585" spans="1:11" x14ac:dyDescent="0.3">
      <c r="A585" s="3">
        <v>584</v>
      </c>
      <c r="B585" s="4">
        <v>40569</v>
      </c>
      <c r="C585" s="3">
        <v>14</v>
      </c>
      <c r="D585" s="3">
        <v>3</v>
      </c>
      <c r="E585" s="3">
        <v>0.22</v>
      </c>
      <c r="F585" t="str">
        <f t="shared" si="59"/>
        <v>Wed</v>
      </c>
      <c r="G585">
        <f t="shared" si="54"/>
        <v>0.19700000000000001</v>
      </c>
      <c r="H585">
        <f t="shared" si="55"/>
        <v>0.93</v>
      </c>
      <c r="I585">
        <f t="shared" si="56"/>
        <v>0.35820000000000002</v>
      </c>
      <c r="J585">
        <f t="shared" si="57"/>
        <v>0</v>
      </c>
      <c r="K585">
        <f t="shared" si="58"/>
        <v>36</v>
      </c>
    </row>
    <row r="586" spans="1:11" x14ac:dyDescent="0.3">
      <c r="A586" s="3">
        <v>585</v>
      </c>
      <c r="B586" s="4">
        <v>40569</v>
      </c>
      <c r="C586" s="3">
        <v>15</v>
      </c>
      <c r="D586" s="3">
        <v>3</v>
      </c>
      <c r="E586" s="3">
        <v>0.22</v>
      </c>
      <c r="F586" t="str">
        <f t="shared" si="59"/>
        <v>Wed</v>
      </c>
      <c r="G586">
        <f t="shared" si="54"/>
        <v>0.18179999999999999</v>
      </c>
      <c r="H586">
        <f t="shared" si="55"/>
        <v>0.93</v>
      </c>
      <c r="I586">
        <f t="shared" si="56"/>
        <v>0.4627</v>
      </c>
      <c r="J586">
        <f t="shared" si="57"/>
        <v>1</v>
      </c>
      <c r="K586">
        <f t="shared" si="58"/>
        <v>42</v>
      </c>
    </row>
    <row r="587" spans="1:11" x14ac:dyDescent="0.3">
      <c r="A587" s="3">
        <v>586</v>
      </c>
      <c r="B587" s="4">
        <v>40569</v>
      </c>
      <c r="C587" s="3">
        <v>16</v>
      </c>
      <c r="D587" s="3">
        <v>3</v>
      </c>
      <c r="E587" s="3">
        <v>0.22</v>
      </c>
      <c r="F587" t="str">
        <f t="shared" si="59"/>
        <v>Wed</v>
      </c>
      <c r="G587">
        <f t="shared" si="54"/>
        <v>0.19700000000000001</v>
      </c>
      <c r="H587">
        <f t="shared" si="55"/>
        <v>0.93</v>
      </c>
      <c r="I587">
        <f t="shared" si="56"/>
        <v>0.32840000000000003</v>
      </c>
      <c r="J587">
        <f t="shared" si="57"/>
        <v>1</v>
      </c>
      <c r="K587">
        <f t="shared" si="58"/>
        <v>35</v>
      </c>
    </row>
    <row r="588" spans="1:11" x14ac:dyDescent="0.3">
      <c r="A588" s="3">
        <v>587</v>
      </c>
      <c r="B588" s="4">
        <v>40569</v>
      </c>
      <c r="C588" s="3">
        <v>17</v>
      </c>
      <c r="D588" s="3">
        <v>3</v>
      </c>
      <c r="E588" s="3">
        <v>0.2</v>
      </c>
      <c r="F588" t="str">
        <f t="shared" si="59"/>
        <v>Wed</v>
      </c>
      <c r="G588">
        <f t="shared" si="54"/>
        <v>0.18179999999999999</v>
      </c>
      <c r="H588">
        <f t="shared" si="55"/>
        <v>0.93</v>
      </c>
      <c r="I588">
        <f t="shared" si="56"/>
        <v>0.35820000000000002</v>
      </c>
      <c r="J588">
        <f t="shared" si="57"/>
        <v>0</v>
      </c>
      <c r="K588">
        <f t="shared" si="58"/>
        <v>26</v>
      </c>
    </row>
    <row r="589" spans="1:11" x14ac:dyDescent="0.3">
      <c r="A589" s="3">
        <v>588</v>
      </c>
      <c r="B589" s="4">
        <v>40570</v>
      </c>
      <c r="C589" s="3">
        <v>16</v>
      </c>
      <c r="D589" s="3">
        <v>4</v>
      </c>
      <c r="E589" s="3">
        <v>0.22</v>
      </c>
      <c r="F589" t="str">
        <f t="shared" si="59"/>
        <v>Thu</v>
      </c>
      <c r="G589">
        <f t="shared" si="54"/>
        <v>0.2273</v>
      </c>
      <c r="H589">
        <f t="shared" si="55"/>
        <v>0.55000000000000004</v>
      </c>
      <c r="I589">
        <f t="shared" si="56"/>
        <v>0.19400000000000001</v>
      </c>
      <c r="J589">
        <f t="shared" si="57"/>
        <v>1</v>
      </c>
      <c r="K589">
        <f t="shared" si="58"/>
        <v>23</v>
      </c>
    </row>
    <row r="590" spans="1:11" x14ac:dyDescent="0.3">
      <c r="A590" s="3">
        <v>589</v>
      </c>
      <c r="B590" s="4">
        <v>40570</v>
      </c>
      <c r="C590" s="3">
        <v>17</v>
      </c>
      <c r="D590" s="3">
        <v>4</v>
      </c>
      <c r="E590" s="3">
        <v>0.22</v>
      </c>
      <c r="F590" t="str">
        <f t="shared" si="59"/>
        <v>Thu</v>
      </c>
      <c r="G590">
        <f t="shared" si="54"/>
        <v>0.2424</v>
      </c>
      <c r="H590">
        <f t="shared" si="55"/>
        <v>0.55000000000000004</v>
      </c>
      <c r="I590">
        <f t="shared" si="56"/>
        <v>0.1045</v>
      </c>
      <c r="J590">
        <f t="shared" si="57"/>
        <v>2</v>
      </c>
      <c r="K590">
        <f t="shared" si="58"/>
        <v>82</v>
      </c>
    </row>
    <row r="591" spans="1:11" x14ac:dyDescent="0.3">
      <c r="A591" s="3">
        <v>590</v>
      </c>
      <c r="B591" s="4">
        <v>40570</v>
      </c>
      <c r="C591" s="3">
        <v>18</v>
      </c>
      <c r="D591" s="3">
        <v>4</v>
      </c>
      <c r="E591" s="3">
        <v>0.2</v>
      </c>
      <c r="F591" t="str">
        <f t="shared" si="59"/>
        <v>Thu</v>
      </c>
      <c r="G591">
        <f t="shared" si="54"/>
        <v>0.2273</v>
      </c>
      <c r="H591">
        <f t="shared" si="55"/>
        <v>0.69</v>
      </c>
      <c r="I591">
        <f t="shared" si="56"/>
        <v>8.9599999999999999E-2</v>
      </c>
      <c r="J591">
        <f t="shared" si="57"/>
        <v>3</v>
      </c>
      <c r="K591">
        <f t="shared" si="58"/>
        <v>101</v>
      </c>
    </row>
    <row r="592" spans="1:11" x14ac:dyDescent="0.3">
      <c r="A592" s="3">
        <v>591</v>
      </c>
      <c r="B592" s="4">
        <v>40570</v>
      </c>
      <c r="C592" s="3">
        <v>19</v>
      </c>
      <c r="D592" s="3">
        <v>4</v>
      </c>
      <c r="E592" s="3">
        <v>0.2</v>
      </c>
      <c r="F592" t="str">
        <f t="shared" si="59"/>
        <v>Thu</v>
      </c>
      <c r="G592">
        <f t="shared" si="54"/>
        <v>0.2273</v>
      </c>
      <c r="H592">
        <f t="shared" si="55"/>
        <v>0.69</v>
      </c>
      <c r="I592">
        <f t="shared" si="56"/>
        <v>8.9599999999999999E-2</v>
      </c>
      <c r="J592">
        <f t="shared" si="57"/>
        <v>3</v>
      </c>
      <c r="K592">
        <f t="shared" si="58"/>
        <v>76</v>
      </c>
    </row>
    <row r="593" spans="1:11" x14ac:dyDescent="0.3">
      <c r="A593" s="3">
        <v>592</v>
      </c>
      <c r="B593" s="4">
        <v>40570</v>
      </c>
      <c r="C593" s="3">
        <v>20</v>
      </c>
      <c r="D593" s="3">
        <v>4</v>
      </c>
      <c r="E593" s="3">
        <v>0.18</v>
      </c>
      <c r="F593" t="str">
        <f t="shared" si="59"/>
        <v>Thu</v>
      </c>
      <c r="G593">
        <f t="shared" si="54"/>
        <v>0.21210000000000001</v>
      </c>
      <c r="H593">
        <f t="shared" si="55"/>
        <v>0.74</v>
      </c>
      <c r="I593">
        <f t="shared" si="56"/>
        <v>8.9599999999999999E-2</v>
      </c>
      <c r="J593">
        <f t="shared" si="57"/>
        <v>4</v>
      </c>
      <c r="K593">
        <f t="shared" si="58"/>
        <v>55</v>
      </c>
    </row>
    <row r="594" spans="1:11" x14ac:dyDescent="0.3">
      <c r="A594" s="3">
        <v>593</v>
      </c>
      <c r="B594" s="4">
        <v>40570</v>
      </c>
      <c r="C594" s="3">
        <v>21</v>
      </c>
      <c r="D594" s="3">
        <v>4</v>
      </c>
      <c r="E594" s="3">
        <v>0.18</v>
      </c>
      <c r="F594" t="str">
        <f t="shared" si="59"/>
        <v>Thu</v>
      </c>
      <c r="G594">
        <f t="shared" si="54"/>
        <v>0.21210000000000001</v>
      </c>
      <c r="H594">
        <f t="shared" si="55"/>
        <v>0.74</v>
      </c>
      <c r="I594">
        <f t="shared" si="56"/>
        <v>8.9599999999999999E-2</v>
      </c>
      <c r="J594">
        <f t="shared" si="57"/>
        <v>2</v>
      </c>
      <c r="K594">
        <f t="shared" si="58"/>
        <v>36</v>
      </c>
    </row>
    <row r="595" spans="1:11" x14ac:dyDescent="0.3">
      <c r="A595" s="3">
        <v>594</v>
      </c>
      <c r="B595" s="4">
        <v>40570</v>
      </c>
      <c r="C595" s="3">
        <v>22</v>
      </c>
      <c r="D595" s="3">
        <v>4</v>
      </c>
      <c r="E595" s="3">
        <v>0.18</v>
      </c>
      <c r="F595" t="str">
        <f t="shared" si="59"/>
        <v>Thu</v>
      </c>
      <c r="G595">
        <f t="shared" si="54"/>
        <v>0.21210000000000001</v>
      </c>
      <c r="H595">
        <f t="shared" si="55"/>
        <v>0.74</v>
      </c>
      <c r="I595">
        <f t="shared" si="56"/>
        <v>8.9599999999999999E-2</v>
      </c>
      <c r="J595">
        <f t="shared" si="57"/>
        <v>0</v>
      </c>
      <c r="K595">
        <f t="shared" si="58"/>
        <v>27</v>
      </c>
    </row>
    <row r="596" spans="1:11" x14ac:dyDescent="0.3">
      <c r="A596" s="3">
        <v>595</v>
      </c>
      <c r="B596" s="4">
        <v>40570</v>
      </c>
      <c r="C596" s="3">
        <v>23</v>
      </c>
      <c r="D596" s="3">
        <v>4</v>
      </c>
      <c r="E596" s="3">
        <v>0.18</v>
      </c>
      <c r="F596" t="str">
        <f t="shared" si="59"/>
        <v>Thu</v>
      </c>
      <c r="G596">
        <f t="shared" si="54"/>
        <v>0.19700000000000001</v>
      </c>
      <c r="H596">
        <f t="shared" si="55"/>
        <v>0.8</v>
      </c>
      <c r="I596">
        <f t="shared" si="56"/>
        <v>0.16420000000000001</v>
      </c>
      <c r="J596">
        <f t="shared" si="57"/>
        <v>0</v>
      </c>
      <c r="K596">
        <f t="shared" si="58"/>
        <v>16</v>
      </c>
    </row>
    <row r="597" spans="1:11" x14ac:dyDescent="0.3">
      <c r="A597" s="3">
        <v>596</v>
      </c>
      <c r="B597" s="4">
        <v>40571</v>
      </c>
      <c r="C597" s="3">
        <v>0</v>
      </c>
      <c r="D597" s="3">
        <v>5</v>
      </c>
      <c r="E597" s="3">
        <v>0.2</v>
      </c>
      <c r="F597" t="str">
        <f t="shared" si="59"/>
        <v>Fri</v>
      </c>
      <c r="G597">
        <f t="shared" si="54"/>
        <v>0.21210000000000001</v>
      </c>
      <c r="H597">
        <f t="shared" si="55"/>
        <v>0.75</v>
      </c>
      <c r="I597">
        <f t="shared" si="56"/>
        <v>0.1343</v>
      </c>
      <c r="J597">
        <f t="shared" si="57"/>
        <v>0</v>
      </c>
      <c r="K597">
        <f t="shared" si="58"/>
        <v>9</v>
      </c>
    </row>
    <row r="598" spans="1:11" x14ac:dyDescent="0.3">
      <c r="A598" s="3">
        <v>597</v>
      </c>
      <c r="B598" s="4">
        <v>40571</v>
      </c>
      <c r="C598" s="3">
        <v>1</v>
      </c>
      <c r="D598" s="3">
        <v>5</v>
      </c>
      <c r="E598" s="3">
        <v>0.2</v>
      </c>
      <c r="F598" t="str">
        <f t="shared" si="59"/>
        <v>Fri</v>
      </c>
      <c r="G598">
        <f t="shared" si="54"/>
        <v>0.21210000000000001</v>
      </c>
      <c r="H598">
        <f t="shared" si="55"/>
        <v>0.75</v>
      </c>
      <c r="I598">
        <f t="shared" si="56"/>
        <v>0.1343</v>
      </c>
      <c r="J598">
        <f t="shared" si="57"/>
        <v>1</v>
      </c>
      <c r="K598">
        <f t="shared" si="58"/>
        <v>2</v>
      </c>
    </row>
    <row r="599" spans="1:11" x14ac:dyDescent="0.3">
      <c r="A599" s="3">
        <v>598</v>
      </c>
      <c r="B599" s="4">
        <v>40571</v>
      </c>
      <c r="C599" s="3">
        <v>2</v>
      </c>
      <c r="D599" s="3">
        <v>5</v>
      </c>
      <c r="E599" s="3">
        <v>0.2</v>
      </c>
      <c r="F599" t="str">
        <f t="shared" si="59"/>
        <v>Fri</v>
      </c>
      <c r="G599">
        <f t="shared" si="54"/>
        <v>0.21210000000000001</v>
      </c>
      <c r="H599">
        <f t="shared" si="55"/>
        <v>0.75</v>
      </c>
      <c r="I599">
        <f t="shared" si="56"/>
        <v>0.16420000000000001</v>
      </c>
      <c r="J599">
        <f t="shared" si="57"/>
        <v>0</v>
      </c>
      <c r="K599">
        <f t="shared" si="58"/>
        <v>2</v>
      </c>
    </row>
    <row r="600" spans="1:11" x14ac:dyDescent="0.3">
      <c r="A600" s="3">
        <v>599</v>
      </c>
      <c r="B600" s="4">
        <v>40571</v>
      </c>
      <c r="C600" s="3">
        <v>3</v>
      </c>
      <c r="D600" s="3">
        <v>5</v>
      </c>
      <c r="E600" s="3">
        <v>0.2</v>
      </c>
      <c r="F600" t="str">
        <f t="shared" si="59"/>
        <v>Fri</v>
      </c>
      <c r="G600">
        <f t="shared" si="54"/>
        <v>0.2273</v>
      </c>
      <c r="H600">
        <f t="shared" si="55"/>
        <v>0.75</v>
      </c>
      <c r="I600">
        <f t="shared" si="56"/>
        <v>0.1045</v>
      </c>
      <c r="J600">
        <f t="shared" si="57"/>
        <v>1</v>
      </c>
      <c r="K600">
        <f t="shared" si="58"/>
        <v>0</v>
      </c>
    </row>
    <row r="601" spans="1:11" x14ac:dyDescent="0.3">
      <c r="A601" s="3">
        <v>600</v>
      </c>
      <c r="B601" s="4">
        <v>40571</v>
      </c>
      <c r="C601" s="3">
        <v>5</v>
      </c>
      <c r="D601" s="3">
        <v>5</v>
      </c>
      <c r="E601" s="3">
        <v>0.18</v>
      </c>
      <c r="F601" t="str">
        <f t="shared" si="59"/>
        <v>Fri</v>
      </c>
      <c r="G601">
        <f t="shared" si="54"/>
        <v>0.21210000000000001</v>
      </c>
      <c r="H601">
        <f t="shared" si="55"/>
        <v>0.8</v>
      </c>
      <c r="I601">
        <f t="shared" si="56"/>
        <v>0.1045</v>
      </c>
      <c r="J601">
        <f t="shared" si="57"/>
        <v>0</v>
      </c>
      <c r="K601">
        <f t="shared" si="58"/>
        <v>4</v>
      </c>
    </row>
    <row r="602" spans="1:11" x14ac:dyDescent="0.3">
      <c r="A602" s="3">
        <v>601</v>
      </c>
      <c r="B602" s="4">
        <v>40571</v>
      </c>
      <c r="C602" s="3">
        <v>6</v>
      </c>
      <c r="D602" s="3">
        <v>5</v>
      </c>
      <c r="E602" s="3">
        <v>0.18</v>
      </c>
      <c r="F602" t="str">
        <f t="shared" si="59"/>
        <v>Fri</v>
      </c>
      <c r="G602">
        <f t="shared" si="54"/>
        <v>0.19700000000000001</v>
      </c>
      <c r="H602">
        <f t="shared" si="55"/>
        <v>0.8</v>
      </c>
      <c r="I602">
        <f t="shared" si="56"/>
        <v>0.1343</v>
      </c>
      <c r="J602">
        <f t="shared" si="57"/>
        <v>0</v>
      </c>
      <c r="K602">
        <f t="shared" si="58"/>
        <v>16</v>
      </c>
    </row>
    <row r="603" spans="1:11" x14ac:dyDescent="0.3">
      <c r="A603" s="3">
        <v>602</v>
      </c>
      <c r="B603" s="4">
        <v>40571</v>
      </c>
      <c r="C603" s="3">
        <v>7</v>
      </c>
      <c r="D603" s="3">
        <v>5</v>
      </c>
      <c r="E603" s="3">
        <v>0.16</v>
      </c>
      <c r="F603" t="str">
        <f t="shared" si="59"/>
        <v>Fri</v>
      </c>
      <c r="G603">
        <f t="shared" si="54"/>
        <v>0.19700000000000001</v>
      </c>
      <c r="H603">
        <f t="shared" si="55"/>
        <v>0.86</v>
      </c>
      <c r="I603">
        <f t="shared" si="56"/>
        <v>8.9599999999999999E-2</v>
      </c>
      <c r="J603">
        <f t="shared" si="57"/>
        <v>2</v>
      </c>
      <c r="K603">
        <f t="shared" si="58"/>
        <v>58</v>
      </c>
    </row>
    <row r="604" spans="1:11" x14ac:dyDescent="0.3">
      <c r="A604" s="3">
        <v>603</v>
      </c>
      <c r="B604" s="4">
        <v>40571</v>
      </c>
      <c r="C604" s="3">
        <v>8</v>
      </c>
      <c r="D604" s="3">
        <v>5</v>
      </c>
      <c r="E604" s="3">
        <v>0.16</v>
      </c>
      <c r="F604" t="str">
        <f t="shared" si="59"/>
        <v>Fri</v>
      </c>
      <c r="G604">
        <f t="shared" si="54"/>
        <v>0.19700000000000001</v>
      </c>
      <c r="H604">
        <f t="shared" si="55"/>
        <v>0.86</v>
      </c>
      <c r="I604">
        <f t="shared" si="56"/>
        <v>8.9599999999999999E-2</v>
      </c>
      <c r="J604">
        <f t="shared" si="57"/>
        <v>2</v>
      </c>
      <c r="K604">
        <f t="shared" si="58"/>
        <v>155</v>
      </c>
    </row>
    <row r="605" spans="1:11" x14ac:dyDescent="0.3">
      <c r="A605" s="3">
        <v>604</v>
      </c>
      <c r="B605" s="4">
        <v>40571</v>
      </c>
      <c r="C605" s="3">
        <v>9</v>
      </c>
      <c r="D605" s="3">
        <v>5</v>
      </c>
      <c r="E605" s="3">
        <v>0.18</v>
      </c>
      <c r="F605" t="str">
        <f t="shared" si="59"/>
        <v>Fri</v>
      </c>
      <c r="G605">
        <f t="shared" si="54"/>
        <v>0.21210000000000001</v>
      </c>
      <c r="H605">
        <f t="shared" si="55"/>
        <v>0.86</v>
      </c>
      <c r="I605">
        <f t="shared" si="56"/>
        <v>8.9599999999999999E-2</v>
      </c>
      <c r="J605">
        <f t="shared" si="57"/>
        <v>6</v>
      </c>
      <c r="K605">
        <f t="shared" si="58"/>
        <v>95</v>
      </c>
    </row>
    <row r="606" spans="1:11" x14ac:dyDescent="0.3">
      <c r="A606" s="3">
        <v>605</v>
      </c>
      <c r="B606" s="4">
        <v>40571</v>
      </c>
      <c r="C606" s="3">
        <v>10</v>
      </c>
      <c r="D606" s="3">
        <v>5</v>
      </c>
      <c r="E606" s="3">
        <v>0.18</v>
      </c>
      <c r="F606" t="str">
        <f t="shared" si="59"/>
        <v>Fri</v>
      </c>
      <c r="G606">
        <f t="shared" si="54"/>
        <v>0.21210000000000001</v>
      </c>
      <c r="H606">
        <f t="shared" si="55"/>
        <v>0.86</v>
      </c>
      <c r="I606">
        <f t="shared" si="56"/>
        <v>0.1045</v>
      </c>
      <c r="J606">
        <f t="shared" si="57"/>
        <v>0</v>
      </c>
      <c r="K606">
        <f t="shared" si="58"/>
        <v>49</v>
      </c>
    </row>
    <row r="607" spans="1:11" x14ac:dyDescent="0.3">
      <c r="A607" s="3">
        <v>606</v>
      </c>
      <c r="B607" s="4">
        <v>40571</v>
      </c>
      <c r="C607" s="3">
        <v>11</v>
      </c>
      <c r="D607" s="3">
        <v>5</v>
      </c>
      <c r="E607" s="3">
        <v>0.18</v>
      </c>
      <c r="F607" t="str">
        <f t="shared" si="59"/>
        <v>Fri</v>
      </c>
      <c r="G607">
        <f t="shared" si="54"/>
        <v>0.21210000000000001</v>
      </c>
      <c r="H607">
        <f t="shared" si="55"/>
        <v>0.93</v>
      </c>
      <c r="I607">
        <f t="shared" si="56"/>
        <v>0.1045</v>
      </c>
      <c r="J607">
        <f t="shared" si="57"/>
        <v>0</v>
      </c>
      <c r="K607">
        <f t="shared" si="58"/>
        <v>30</v>
      </c>
    </row>
    <row r="608" spans="1:11" x14ac:dyDescent="0.3">
      <c r="A608" s="3">
        <v>607</v>
      </c>
      <c r="B608" s="4">
        <v>40571</v>
      </c>
      <c r="C608" s="3">
        <v>12</v>
      </c>
      <c r="D608" s="3">
        <v>5</v>
      </c>
      <c r="E608" s="3">
        <v>0.18</v>
      </c>
      <c r="F608" t="str">
        <f t="shared" si="59"/>
        <v>Fri</v>
      </c>
      <c r="G608">
        <f t="shared" si="54"/>
        <v>0.21210000000000001</v>
      </c>
      <c r="H608">
        <f t="shared" si="55"/>
        <v>0.93</v>
      </c>
      <c r="I608">
        <f t="shared" si="56"/>
        <v>0.1045</v>
      </c>
      <c r="J608">
        <f t="shared" si="57"/>
        <v>1</v>
      </c>
      <c r="K608">
        <f t="shared" si="58"/>
        <v>28</v>
      </c>
    </row>
    <row r="609" spans="1:11" x14ac:dyDescent="0.3">
      <c r="A609" s="3">
        <v>608</v>
      </c>
      <c r="B609" s="4">
        <v>40571</v>
      </c>
      <c r="C609" s="3">
        <v>13</v>
      </c>
      <c r="D609" s="3">
        <v>5</v>
      </c>
      <c r="E609" s="3">
        <v>0.18</v>
      </c>
      <c r="F609" t="str">
        <f t="shared" si="59"/>
        <v>Fri</v>
      </c>
      <c r="G609">
        <f t="shared" si="54"/>
        <v>0.21210000000000001</v>
      </c>
      <c r="H609">
        <f t="shared" si="55"/>
        <v>0.93</v>
      </c>
      <c r="I609">
        <f t="shared" si="56"/>
        <v>0.1045</v>
      </c>
      <c r="J609">
        <f t="shared" si="57"/>
        <v>0</v>
      </c>
      <c r="K609">
        <f t="shared" si="58"/>
        <v>31</v>
      </c>
    </row>
    <row r="610" spans="1:11" x14ac:dyDescent="0.3">
      <c r="A610" s="3">
        <v>609</v>
      </c>
      <c r="B610" s="4">
        <v>40571</v>
      </c>
      <c r="C610" s="3">
        <v>14</v>
      </c>
      <c r="D610" s="3">
        <v>5</v>
      </c>
      <c r="E610" s="3">
        <v>0.22</v>
      </c>
      <c r="F610" t="str">
        <f t="shared" si="59"/>
        <v>Fri</v>
      </c>
      <c r="G610">
        <f t="shared" si="54"/>
        <v>0.2727</v>
      </c>
      <c r="H610">
        <f t="shared" si="55"/>
        <v>0.8</v>
      </c>
      <c r="I610">
        <f t="shared" si="56"/>
        <v>0</v>
      </c>
      <c r="J610">
        <f t="shared" si="57"/>
        <v>2</v>
      </c>
      <c r="K610">
        <f t="shared" si="58"/>
        <v>36</v>
      </c>
    </row>
    <row r="611" spans="1:11" ht="15" thickBot="1" x14ac:dyDescent="0.35">
      <c r="A611" s="5">
        <v>610</v>
      </c>
      <c r="B611" s="6">
        <v>40571</v>
      </c>
      <c r="C611" s="5">
        <v>15</v>
      </c>
      <c r="D611" s="5">
        <v>5</v>
      </c>
      <c r="E611" s="5">
        <v>0.2</v>
      </c>
      <c r="F611" t="str">
        <f t="shared" si="59"/>
        <v>Fri</v>
      </c>
      <c r="G611">
        <f t="shared" si="54"/>
        <v>0.2576</v>
      </c>
      <c r="H611">
        <f t="shared" si="55"/>
        <v>0.86</v>
      </c>
      <c r="I611">
        <f t="shared" si="56"/>
        <v>0</v>
      </c>
      <c r="J611">
        <f t="shared" si="57"/>
        <v>1</v>
      </c>
      <c r="K611">
        <f t="shared" si="58"/>
        <v>40</v>
      </c>
    </row>
  </sheetData>
  <conditionalFormatting sqref="I2:K611">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1412D-E992-4D28-BA46-DF1D43987204}">
  <dimension ref="A1:T1001"/>
  <sheetViews>
    <sheetView topLeftCell="C975" workbookViewId="0">
      <selection activeCell="F979" sqref="F979"/>
    </sheetView>
  </sheetViews>
  <sheetFormatPr defaultRowHeight="14.4" x14ac:dyDescent="0.3"/>
  <cols>
    <col min="1" max="1" width="9" bestFit="1" customWidth="1"/>
    <col min="2" max="2" width="15.33203125" bestFit="1" customWidth="1"/>
    <col min="3" max="3" width="9" bestFit="1" customWidth="1"/>
    <col min="4" max="4" width="4.77734375" bestFit="1" customWidth="1"/>
    <col min="5" max="5" width="7.5546875" bestFit="1" customWidth="1"/>
    <col min="6" max="6" width="4.88671875" bestFit="1" customWidth="1"/>
    <col min="7" max="7" width="9.33203125" bestFit="1" customWidth="1"/>
    <col min="8" max="8" width="10.5546875" bestFit="1" customWidth="1"/>
    <col min="9" max="9" width="12" bestFit="1" customWidth="1"/>
    <col min="10" max="10" width="7.6640625" bestFit="1" customWidth="1"/>
    <col min="11" max="11" width="8.6640625" bestFit="1" customWidth="1"/>
    <col min="12" max="12" width="7" bestFit="1" customWidth="1"/>
    <col min="13" max="13" width="12.33203125" bestFit="1" customWidth="1"/>
    <col min="14" max="14" width="8.6640625" bestFit="1" customWidth="1"/>
    <col min="15" max="15" width="11.6640625" bestFit="1" customWidth="1"/>
    <col min="16" max="16" width="5.88671875" bestFit="1" customWidth="1"/>
    <col min="17" max="17" width="8.77734375" bestFit="1" customWidth="1"/>
    <col min="18" max="18" width="10.33203125" bestFit="1" customWidth="1"/>
    <col min="19" max="19" width="7.33203125" bestFit="1" customWidth="1"/>
    <col min="20" max="20" width="9" bestFit="1" customWidth="1"/>
  </cols>
  <sheetData>
    <row r="1" spans="1:20" x14ac:dyDescent="0.3">
      <c r="A1" t="s">
        <v>0</v>
      </c>
      <c r="B1" t="s">
        <v>1</v>
      </c>
      <c r="C1" t="s">
        <v>2</v>
      </c>
      <c r="D1" t="s">
        <v>3</v>
      </c>
      <c r="E1" t="s">
        <v>4</v>
      </c>
      <c r="F1" t="s">
        <v>5</v>
      </c>
      <c r="G1" t="s">
        <v>6</v>
      </c>
      <c r="H1" t="s">
        <v>7</v>
      </c>
      <c r="I1" t="s">
        <v>8</v>
      </c>
      <c r="J1" t="s">
        <v>9</v>
      </c>
      <c r="K1" t="s">
        <v>11</v>
      </c>
      <c r="L1" t="s">
        <v>12</v>
      </c>
      <c r="M1" t="s">
        <v>13</v>
      </c>
      <c r="N1" t="s">
        <v>14</v>
      </c>
      <c r="O1" t="s">
        <v>15</v>
      </c>
      <c r="P1" t="s">
        <v>16</v>
      </c>
      <c r="Q1" t="s">
        <v>45</v>
      </c>
      <c r="R1" t="s">
        <v>48</v>
      </c>
      <c r="S1" t="s">
        <v>73</v>
      </c>
      <c r="T1" t="s">
        <v>28</v>
      </c>
    </row>
    <row r="2" spans="1:20" x14ac:dyDescent="0.3">
      <c r="A2">
        <v>611</v>
      </c>
      <c r="B2" s="37">
        <v>40571</v>
      </c>
      <c r="C2">
        <v>1</v>
      </c>
      <c r="D2">
        <v>0</v>
      </c>
      <c r="E2">
        <v>1</v>
      </c>
      <c r="F2">
        <v>16</v>
      </c>
      <c r="G2" t="b">
        <v>0</v>
      </c>
      <c r="H2">
        <v>5</v>
      </c>
      <c r="I2">
        <v>1</v>
      </c>
      <c r="J2">
        <v>0.22</v>
      </c>
      <c r="K2">
        <v>0.2727</v>
      </c>
      <c r="L2">
        <v>0.8</v>
      </c>
      <c r="M2">
        <v>0</v>
      </c>
      <c r="N2">
        <v>10</v>
      </c>
      <c r="O2">
        <v>70</v>
      </c>
      <c r="P2">
        <v>80</v>
      </c>
      <c r="Q2" t="s">
        <v>68</v>
      </c>
      <c r="R2" t="s">
        <v>55</v>
      </c>
    </row>
    <row r="3" spans="1:20" x14ac:dyDescent="0.3">
      <c r="A3">
        <v>612</v>
      </c>
      <c r="B3" s="37">
        <v>40571</v>
      </c>
      <c r="C3">
        <v>1</v>
      </c>
      <c r="D3">
        <v>0</v>
      </c>
      <c r="E3">
        <v>1</v>
      </c>
      <c r="F3">
        <v>17</v>
      </c>
      <c r="G3" t="b">
        <v>0</v>
      </c>
      <c r="H3">
        <v>5</v>
      </c>
      <c r="I3">
        <v>1</v>
      </c>
      <c r="J3">
        <v>0.24</v>
      </c>
      <c r="K3">
        <v>0.2424</v>
      </c>
      <c r="L3">
        <v>0.75</v>
      </c>
      <c r="M3">
        <v>0.1343</v>
      </c>
      <c r="N3">
        <v>2</v>
      </c>
      <c r="O3">
        <v>147</v>
      </c>
      <c r="P3">
        <v>149</v>
      </c>
      <c r="Q3" t="s">
        <v>68</v>
      </c>
      <c r="R3" t="s">
        <v>55</v>
      </c>
    </row>
    <row r="4" spans="1:20" x14ac:dyDescent="0.3">
      <c r="A4">
        <v>613</v>
      </c>
      <c r="B4" s="37">
        <v>40571</v>
      </c>
      <c r="C4">
        <v>1</v>
      </c>
      <c r="D4">
        <v>0</v>
      </c>
      <c r="E4">
        <v>1</v>
      </c>
      <c r="F4">
        <v>18</v>
      </c>
      <c r="G4" t="b">
        <v>0</v>
      </c>
      <c r="H4">
        <v>5</v>
      </c>
      <c r="I4">
        <v>1</v>
      </c>
      <c r="J4">
        <v>0.24</v>
      </c>
      <c r="K4">
        <v>0.2273</v>
      </c>
      <c r="L4">
        <v>0.75</v>
      </c>
      <c r="M4">
        <v>0.19400000000000001</v>
      </c>
      <c r="N4">
        <v>2</v>
      </c>
      <c r="O4">
        <v>107</v>
      </c>
      <c r="P4">
        <v>109</v>
      </c>
      <c r="Q4" t="s">
        <v>68</v>
      </c>
      <c r="R4" t="s">
        <v>55</v>
      </c>
    </row>
    <row r="5" spans="1:20" x14ac:dyDescent="0.3">
      <c r="A5">
        <v>614</v>
      </c>
      <c r="B5" s="37">
        <v>40571</v>
      </c>
      <c r="C5">
        <v>1</v>
      </c>
      <c r="D5">
        <v>0</v>
      </c>
      <c r="E5">
        <v>1</v>
      </c>
      <c r="F5">
        <v>19</v>
      </c>
      <c r="G5" t="b">
        <v>0</v>
      </c>
      <c r="H5">
        <v>5</v>
      </c>
      <c r="I5">
        <v>2</v>
      </c>
      <c r="J5">
        <v>0.24</v>
      </c>
      <c r="K5">
        <v>0.2424</v>
      </c>
      <c r="L5">
        <v>0.75</v>
      </c>
      <c r="M5">
        <v>0.1343</v>
      </c>
      <c r="N5">
        <v>5</v>
      </c>
      <c r="O5">
        <v>84</v>
      </c>
      <c r="P5">
        <v>89</v>
      </c>
      <c r="Q5" t="s">
        <v>71</v>
      </c>
      <c r="R5" t="s">
        <v>55</v>
      </c>
    </row>
    <row r="6" spans="1:20" x14ac:dyDescent="0.3">
      <c r="A6">
        <v>615</v>
      </c>
      <c r="B6" s="37">
        <v>40571</v>
      </c>
      <c r="C6">
        <v>1</v>
      </c>
      <c r="D6">
        <v>0</v>
      </c>
      <c r="E6">
        <v>1</v>
      </c>
      <c r="F6">
        <v>20</v>
      </c>
      <c r="G6" t="b">
        <v>0</v>
      </c>
      <c r="H6">
        <v>5</v>
      </c>
      <c r="I6">
        <v>2</v>
      </c>
      <c r="J6">
        <v>0.24</v>
      </c>
      <c r="K6">
        <v>0.2273</v>
      </c>
      <c r="L6">
        <v>0.7</v>
      </c>
      <c r="M6">
        <v>0.19400000000000001</v>
      </c>
      <c r="N6">
        <v>1</v>
      </c>
      <c r="O6">
        <v>61</v>
      </c>
      <c r="P6">
        <v>62</v>
      </c>
      <c r="Q6" t="s">
        <v>71</v>
      </c>
      <c r="R6" t="s">
        <v>55</v>
      </c>
    </row>
    <row r="7" spans="1:20" x14ac:dyDescent="0.3">
      <c r="A7">
        <v>616</v>
      </c>
      <c r="B7" s="37">
        <v>40571</v>
      </c>
      <c r="C7">
        <v>1</v>
      </c>
      <c r="D7">
        <v>0</v>
      </c>
      <c r="E7">
        <v>1</v>
      </c>
      <c r="F7">
        <v>21</v>
      </c>
      <c r="G7" t="b">
        <v>0</v>
      </c>
      <c r="H7">
        <v>5</v>
      </c>
      <c r="I7">
        <v>2</v>
      </c>
      <c r="J7">
        <v>0.22</v>
      </c>
      <c r="K7">
        <v>0.2273</v>
      </c>
      <c r="L7">
        <v>0.75</v>
      </c>
      <c r="M7">
        <v>0.1343</v>
      </c>
      <c r="N7">
        <v>1</v>
      </c>
      <c r="O7">
        <v>57</v>
      </c>
      <c r="P7">
        <v>58</v>
      </c>
      <c r="Q7" t="s">
        <v>71</v>
      </c>
      <c r="R7" t="s">
        <v>55</v>
      </c>
    </row>
    <row r="8" spans="1:20" x14ac:dyDescent="0.3">
      <c r="A8">
        <v>617</v>
      </c>
      <c r="B8" s="37">
        <v>40571</v>
      </c>
      <c r="C8">
        <v>1</v>
      </c>
      <c r="D8">
        <v>0</v>
      </c>
      <c r="E8">
        <v>1</v>
      </c>
      <c r="F8">
        <v>22</v>
      </c>
      <c r="G8" t="b">
        <v>0</v>
      </c>
      <c r="H8">
        <v>5</v>
      </c>
      <c r="I8">
        <v>1</v>
      </c>
      <c r="J8">
        <v>0.24</v>
      </c>
      <c r="K8">
        <v>0.21210000000000001</v>
      </c>
      <c r="L8">
        <v>0.65</v>
      </c>
      <c r="M8">
        <v>0.35820000000000002</v>
      </c>
      <c r="N8">
        <v>0</v>
      </c>
      <c r="O8">
        <v>26</v>
      </c>
      <c r="P8">
        <v>26</v>
      </c>
      <c r="Q8" t="s">
        <v>71</v>
      </c>
      <c r="R8" t="s">
        <v>55</v>
      </c>
    </row>
    <row r="9" spans="1:20" x14ac:dyDescent="0.3">
      <c r="A9">
        <v>618</v>
      </c>
      <c r="B9" s="37">
        <v>40571</v>
      </c>
      <c r="C9">
        <v>1</v>
      </c>
      <c r="D9">
        <v>0</v>
      </c>
      <c r="E9">
        <v>1</v>
      </c>
      <c r="F9">
        <v>23</v>
      </c>
      <c r="G9" t="b">
        <v>0</v>
      </c>
      <c r="H9">
        <v>5</v>
      </c>
      <c r="I9">
        <v>1</v>
      </c>
      <c r="J9">
        <v>0.24</v>
      </c>
      <c r="K9">
        <v>0.2273</v>
      </c>
      <c r="L9">
        <v>0.6</v>
      </c>
      <c r="M9">
        <v>0.22389999999999999</v>
      </c>
      <c r="N9">
        <v>1</v>
      </c>
      <c r="O9">
        <v>22</v>
      </c>
      <c r="P9">
        <v>23</v>
      </c>
      <c r="Q9" t="s">
        <v>71</v>
      </c>
      <c r="R9" t="s">
        <v>55</v>
      </c>
    </row>
    <row r="10" spans="1:20" x14ac:dyDescent="0.3">
      <c r="A10">
        <v>619</v>
      </c>
      <c r="B10" s="37">
        <v>40572</v>
      </c>
      <c r="C10">
        <v>1</v>
      </c>
      <c r="D10">
        <v>0</v>
      </c>
      <c r="E10">
        <v>1</v>
      </c>
      <c r="F10">
        <v>0</v>
      </c>
      <c r="G10" t="b">
        <v>0</v>
      </c>
      <c r="H10">
        <v>6</v>
      </c>
      <c r="I10">
        <v>1</v>
      </c>
      <c r="J10">
        <v>0.22</v>
      </c>
      <c r="K10">
        <v>0.19700000000000001</v>
      </c>
      <c r="L10">
        <v>0.64</v>
      </c>
      <c r="M10">
        <v>0.35820000000000002</v>
      </c>
      <c r="N10">
        <v>2</v>
      </c>
      <c r="O10">
        <v>26</v>
      </c>
      <c r="P10">
        <v>28</v>
      </c>
      <c r="Q10" t="s">
        <v>72</v>
      </c>
      <c r="R10" t="s">
        <v>49</v>
      </c>
    </row>
    <row r="11" spans="1:20" x14ac:dyDescent="0.3">
      <c r="A11">
        <v>620</v>
      </c>
      <c r="B11" s="37">
        <v>40572</v>
      </c>
      <c r="C11">
        <v>1</v>
      </c>
      <c r="D11">
        <v>0</v>
      </c>
      <c r="E11">
        <v>1</v>
      </c>
      <c r="F11">
        <v>1</v>
      </c>
      <c r="G11" t="b">
        <v>0</v>
      </c>
      <c r="H11">
        <v>6</v>
      </c>
      <c r="I11">
        <v>1</v>
      </c>
      <c r="J11">
        <v>0.22</v>
      </c>
      <c r="K11">
        <v>0.2273</v>
      </c>
      <c r="L11">
        <v>0.64</v>
      </c>
      <c r="M11">
        <v>0.19400000000000001</v>
      </c>
      <c r="N11">
        <v>0</v>
      </c>
      <c r="O11">
        <v>20</v>
      </c>
      <c r="P11">
        <v>20</v>
      </c>
      <c r="Q11" t="s">
        <v>72</v>
      </c>
      <c r="R11" t="s">
        <v>49</v>
      </c>
    </row>
    <row r="12" spans="1:20" x14ac:dyDescent="0.3">
      <c r="A12">
        <v>621</v>
      </c>
      <c r="B12" s="37">
        <v>40572</v>
      </c>
      <c r="C12">
        <v>1</v>
      </c>
      <c r="D12">
        <v>0</v>
      </c>
      <c r="E12">
        <v>1</v>
      </c>
      <c r="F12">
        <v>2</v>
      </c>
      <c r="G12" t="b">
        <v>0</v>
      </c>
      <c r="H12">
        <v>6</v>
      </c>
      <c r="I12">
        <v>1</v>
      </c>
      <c r="J12">
        <v>0.22</v>
      </c>
      <c r="K12">
        <v>0.2273</v>
      </c>
      <c r="L12">
        <v>0.64</v>
      </c>
      <c r="M12">
        <v>0.16420000000000001</v>
      </c>
      <c r="N12">
        <v>0</v>
      </c>
      <c r="O12">
        <v>15</v>
      </c>
      <c r="P12">
        <v>15</v>
      </c>
      <c r="Q12" t="s">
        <v>72</v>
      </c>
      <c r="R12" t="s">
        <v>49</v>
      </c>
    </row>
    <row r="13" spans="1:20" x14ac:dyDescent="0.3">
      <c r="A13">
        <v>622</v>
      </c>
      <c r="B13" s="37">
        <v>40572</v>
      </c>
      <c r="C13">
        <v>1</v>
      </c>
      <c r="D13">
        <v>0</v>
      </c>
      <c r="E13">
        <v>1</v>
      </c>
      <c r="F13">
        <v>3</v>
      </c>
      <c r="G13" t="b">
        <v>0</v>
      </c>
      <c r="H13">
        <v>6</v>
      </c>
      <c r="I13">
        <v>1</v>
      </c>
      <c r="J13">
        <v>0.2</v>
      </c>
      <c r="K13">
        <v>0.21210000000000001</v>
      </c>
      <c r="L13">
        <v>0.64</v>
      </c>
      <c r="M13">
        <v>0.1343</v>
      </c>
      <c r="N13">
        <v>3</v>
      </c>
      <c r="O13">
        <v>5</v>
      </c>
      <c r="P13">
        <v>8</v>
      </c>
      <c r="Q13" t="s">
        <v>72</v>
      </c>
      <c r="R13" t="s">
        <v>49</v>
      </c>
    </row>
    <row r="14" spans="1:20" x14ac:dyDescent="0.3">
      <c r="A14">
        <v>623</v>
      </c>
      <c r="B14" s="37">
        <v>40572</v>
      </c>
      <c r="C14">
        <v>1</v>
      </c>
      <c r="D14">
        <v>0</v>
      </c>
      <c r="E14">
        <v>1</v>
      </c>
      <c r="F14">
        <v>4</v>
      </c>
      <c r="G14" t="b">
        <v>0</v>
      </c>
      <c r="H14">
        <v>6</v>
      </c>
      <c r="I14">
        <v>1</v>
      </c>
      <c r="J14">
        <v>0.16</v>
      </c>
      <c r="K14">
        <v>0.18179999999999999</v>
      </c>
      <c r="L14">
        <v>0.69</v>
      </c>
      <c r="M14">
        <v>0.1045</v>
      </c>
      <c r="N14">
        <v>1</v>
      </c>
      <c r="O14">
        <v>2</v>
      </c>
      <c r="P14">
        <v>3</v>
      </c>
      <c r="Q14" t="s">
        <v>72</v>
      </c>
      <c r="R14" t="s">
        <v>49</v>
      </c>
    </row>
    <row r="15" spans="1:20" x14ac:dyDescent="0.3">
      <c r="A15">
        <v>624</v>
      </c>
      <c r="B15" s="37">
        <v>40572</v>
      </c>
      <c r="C15">
        <v>1</v>
      </c>
      <c r="D15">
        <v>0</v>
      </c>
      <c r="E15">
        <v>1</v>
      </c>
      <c r="F15">
        <v>6</v>
      </c>
      <c r="G15" t="b">
        <v>0</v>
      </c>
      <c r="H15">
        <v>6</v>
      </c>
      <c r="I15">
        <v>1</v>
      </c>
      <c r="J15">
        <v>0.16</v>
      </c>
      <c r="K15">
        <v>0.18179999999999999</v>
      </c>
      <c r="L15">
        <v>0.64</v>
      </c>
      <c r="M15">
        <v>0.1343</v>
      </c>
      <c r="N15">
        <v>0</v>
      </c>
      <c r="O15">
        <v>2</v>
      </c>
      <c r="P15">
        <v>2</v>
      </c>
      <c r="Q15" t="s">
        <v>72</v>
      </c>
      <c r="R15" t="s">
        <v>49</v>
      </c>
    </row>
    <row r="16" spans="1:20" x14ac:dyDescent="0.3">
      <c r="A16">
        <v>625</v>
      </c>
      <c r="B16" s="37">
        <v>40572</v>
      </c>
      <c r="C16">
        <v>1</v>
      </c>
      <c r="D16">
        <v>0</v>
      </c>
      <c r="E16">
        <v>1</v>
      </c>
      <c r="F16">
        <v>7</v>
      </c>
      <c r="G16" t="b">
        <v>0</v>
      </c>
      <c r="H16">
        <v>6</v>
      </c>
      <c r="I16">
        <v>1</v>
      </c>
      <c r="J16">
        <v>0.16</v>
      </c>
      <c r="K16">
        <v>0.18179999999999999</v>
      </c>
      <c r="L16">
        <v>0.59</v>
      </c>
      <c r="M16">
        <v>0.1045</v>
      </c>
      <c r="N16">
        <v>1</v>
      </c>
      <c r="O16">
        <v>4</v>
      </c>
      <c r="P16">
        <v>5</v>
      </c>
      <c r="Q16" t="s">
        <v>72</v>
      </c>
      <c r="R16" t="s">
        <v>49</v>
      </c>
    </row>
    <row r="17" spans="1:18" x14ac:dyDescent="0.3">
      <c r="A17">
        <v>626</v>
      </c>
      <c r="B17" s="37">
        <v>40572</v>
      </c>
      <c r="C17">
        <v>1</v>
      </c>
      <c r="D17">
        <v>0</v>
      </c>
      <c r="E17">
        <v>1</v>
      </c>
      <c r="F17">
        <v>8</v>
      </c>
      <c r="G17" t="b">
        <v>0</v>
      </c>
      <c r="H17">
        <v>6</v>
      </c>
      <c r="I17">
        <v>1</v>
      </c>
      <c r="J17">
        <v>0.18</v>
      </c>
      <c r="K17">
        <v>0.19700000000000001</v>
      </c>
      <c r="L17">
        <v>0.55000000000000004</v>
      </c>
      <c r="M17">
        <v>0.16420000000000001</v>
      </c>
      <c r="N17">
        <v>3</v>
      </c>
      <c r="O17">
        <v>31</v>
      </c>
      <c r="P17">
        <v>34</v>
      </c>
      <c r="Q17" t="s">
        <v>72</v>
      </c>
      <c r="R17" t="s">
        <v>49</v>
      </c>
    </row>
    <row r="18" spans="1:18" x14ac:dyDescent="0.3">
      <c r="A18">
        <v>627</v>
      </c>
      <c r="B18" s="37">
        <v>40572</v>
      </c>
      <c r="C18">
        <v>1</v>
      </c>
      <c r="D18">
        <v>0</v>
      </c>
      <c r="E18">
        <v>1</v>
      </c>
      <c r="F18">
        <v>9</v>
      </c>
      <c r="G18" t="b">
        <v>0</v>
      </c>
      <c r="H18">
        <v>6</v>
      </c>
      <c r="I18">
        <v>1</v>
      </c>
      <c r="J18">
        <v>0.18</v>
      </c>
      <c r="K18">
        <v>0.21210000000000001</v>
      </c>
      <c r="L18">
        <v>0.59</v>
      </c>
      <c r="M18">
        <v>8.9599999999999999E-2</v>
      </c>
      <c r="N18">
        <v>0</v>
      </c>
      <c r="O18">
        <v>34</v>
      </c>
      <c r="P18">
        <v>34</v>
      </c>
      <c r="Q18" t="s">
        <v>72</v>
      </c>
      <c r="R18" t="s">
        <v>49</v>
      </c>
    </row>
    <row r="19" spans="1:18" x14ac:dyDescent="0.3">
      <c r="A19">
        <v>628</v>
      </c>
      <c r="B19" s="37">
        <v>40572</v>
      </c>
      <c r="C19">
        <v>1</v>
      </c>
      <c r="D19">
        <v>0</v>
      </c>
      <c r="E19">
        <v>1</v>
      </c>
      <c r="F19">
        <v>10</v>
      </c>
      <c r="G19" t="b">
        <v>0</v>
      </c>
      <c r="H19">
        <v>6</v>
      </c>
      <c r="I19">
        <v>2</v>
      </c>
      <c r="J19">
        <v>0.18</v>
      </c>
      <c r="K19">
        <v>0.21210000000000001</v>
      </c>
      <c r="L19">
        <v>0.64</v>
      </c>
      <c r="M19">
        <v>0.1045</v>
      </c>
      <c r="N19">
        <v>4</v>
      </c>
      <c r="O19">
        <v>51</v>
      </c>
      <c r="P19">
        <v>55</v>
      </c>
      <c r="Q19" t="s">
        <v>72</v>
      </c>
      <c r="R19" t="s">
        <v>49</v>
      </c>
    </row>
    <row r="20" spans="1:18" x14ac:dyDescent="0.3">
      <c r="A20">
        <v>629</v>
      </c>
      <c r="B20" s="37">
        <v>40572</v>
      </c>
      <c r="C20">
        <v>1</v>
      </c>
      <c r="D20">
        <v>0</v>
      </c>
      <c r="E20">
        <v>1</v>
      </c>
      <c r="F20">
        <v>11</v>
      </c>
      <c r="G20" t="b">
        <v>0</v>
      </c>
      <c r="H20">
        <v>6</v>
      </c>
      <c r="I20">
        <v>2</v>
      </c>
      <c r="J20">
        <v>0.18</v>
      </c>
      <c r="K20">
        <v>0.19700000000000001</v>
      </c>
      <c r="L20">
        <v>0.64</v>
      </c>
      <c r="M20">
        <v>0.1343</v>
      </c>
      <c r="N20">
        <v>4</v>
      </c>
      <c r="O20">
        <v>60</v>
      </c>
      <c r="P20">
        <v>64</v>
      </c>
      <c r="Q20" t="s">
        <v>72</v>
      </c>
      <c r="R20" t="s">
        <v>49</v>
      </c>
    </row>
    <row r="21" spans="1:18" x14ac:dyDescent="0.3">
      <c r="A21">
        <v>630</v>
      </c>
      <c r="B21" s="37">
        <v>40572</v>
      </c>
      <c r="C21">
        <v>1</v>
      </c>
      <c r="D21">
        <v>0</v>
      </c>
      <c r="E21">
        <v>1</v>
      </c>
      <c r="F21">
        <v>12</v>
      </c>
      <c r="G21" t="b">
        <v>0</v>
      </c>
      <c r="H21">
        <v>6</v>
      </c>
      <c r="I21">
        <v>2</v>
      </c>
      <c r="J21">
        <v>0.2</v>
      </c>
      <c r="K21">
        <v>0.19700000000000001</v>
      </c>
      <c r="L21">
        <v>0.59</v>
      </c>
      <c r="M21">
        <v>0.19400000000000001</v>
      </c>
      <c r="N21">
        <v>12</v>
      </c>
      <c r="O21">
        <v>66</v>
      </c>
      <c r="P21">
        <v>78</v>
      </c>
      <c r="Q21" t="s">
        <v>72</v>
      </c>
      <c r="R21" t="s">
        <v>49</v>
      </c>
    </row>
    <row r="22" spans="1:18" x14ac:dyDescent="0.3">
      <c r="A22">
        <v>631</v>
      </c>
      <c r="B22" s="37">
        <v>40572</v>
      </c>
      <c r="C22">
        <v>1</v>
      </c>
      <c r="D22">
        <v>0</v>
      </c>
      <c r="E22">
        <v>1</v>
      </c>
      <c r="F22">
        <v>13</v>
      </c>
      <c r="G22" t="b">
        <v>0</v>
      </c>
      <c r="H22">
        <v>6</v>
      </c>
      <c r="I22">
        <v>2</v>
      </c>
      <c r="J22">
        <v>0.22</v>
      </c>
      <c r="K22">
        <v>0.2273</v>
      </c>
      <c r="L22">
        <v>0.55000000000000004</v>
      </c>
      <c r="M22">
        <v>0.16420000000000001</v>
      </c>
      <c r="N22">
        <v>9</v>
      </c>
      <c r="O22">
        <v>56</v>
      </c>
      <c r="P22">
        <v>65</v>
      </c>
      <c r="Q22" t="s">
        <v>68</v>
      </c>
      <c r="R22" t="s">
        <v>49</v>
      </c>
    </row>
    <row r="23" spans="1:18" x14ac:dyDescent="0.3">
      <c r="A23">
        <v>632</v>
      </c>
      <c r="B23" s="37">
        <v>40572</v>
      </c>
      <c r="C23">
        <v>1</v>
      </c>
      <c r="D23">
        <v>0</v>
      </c>
      <c r="E23">
        <v>1</v>
      </c>
      <c r="F23">
        <v>14</v>
      </c>
      <c r="G23" t="b">
        <v>0</v>
      </c>
      <c r="H23">
        <v>6</v>
      </c>
      <c r="I23">
        <v>2</v>
      </c>
      <c r="J23">
        <v>0.22</v>
      </c>
      <c r="K23">
        <v>0.2273</v>
      </c>
      <c r="L23">
        <v>0.6</v>
      </c>
      <c r="M23">
        <v>0.1343</v>
      </c>
      <c r="N23">
        <v>10</v>
      </c>
      <c r="O23">
        <v>89</v>
      </c>
      <c r="P23">
        <v>99</v>
      </c>
      <c r="Q23" t="s">
        <v>68</v>
      </c>
      <c r="R23" t="s">
        <v>49</v>
      </c>
    </row>
    <row r="24" spans="1:18" x14ac:dyDescent="0.3">
      <c r="A24">
        <v>633</v>
      </c>
      <c r="B24" s="37">
        <v>40572</v>
      </c>
      <c r="C24">
        <v>1</v>
      </c>
      <c r="D24">
        <v>0</v>
      </c>
      <c r="E24">
        <v>1</v>
      </c>
      <c r="F24">
        <v>15</v>
      </c>
      <c r="G24" t="b">
        <v>0</v>
      </c>
      <c r="H24">
        <v>6</v>
      </c>
      <c r="I24">
        <v>1</v>
      </c>
      <c r="J24">
        <v>0.22</v>
      </c>
      <c r="K24">
        <v>0.21210000000000001</v>
      </c>
      <c r="L24">
        <v>0.69</v>
      </c>
      <c r="M24">
        <v>0.25369999999999998</v>
      </c>
      <c r="N24">
        <v>22</v>
      </c>
      <c r="O24">
        <v>98</v>
      </c>
      <c r="P24">
        <v>120</v>
      </c>
      <c r="Q24" t="s">
        <v>68</v>
      </c>
      <c r="R24" t="s">
        <v>49</v>
      </c>
    </row>
    <row r="25" spans="1:18" x14ac:dyDescent="0.3">
      <c r="A25">
        <v>634</v>
      </c>
      <c r="B25" s="37">
        <v>40572</v>
      </c>
      <c r="C25">
        <v>1</v>
      </c>
      <c r="D25">
        <v>0</v>
      </c>
      <c r="E25">
        <v>1</v>
      </c>
      <c r="F25">
        <v>16</v>
      </c>
      <c r="G25" t="b">
        <v>0</v>
      </c>
      <c r="H25">
        <v>6</v>
      </c>
      <c r="I25">
        <v>1</v>
      </c>
      <c r="J25">
        <v>0.24</v>
      </c>
      <c r="K25">
        <v>0.2424</v>
      </c>
      <c r="L25">
        <v>0.6</v>
      </c>
      <c r="M25">
        <v>0.16420000000000001</v>
      </c>
      <c r="N25">
        <v>19</v>
      </c>
      <c r="O25">
        <v>88</v>
      </c>
      <c r="P25">
        <v>107</v>
      </c>
      <c r="Q25" t="s">
        <v>68</v>
      </c>
      <c r="R25" t="s">
        <v>49</v>
      </c>
    </row>
    <row r="26" spans="1:18" x14ac:dyDescent="0.3">
      <c r="A26">
        <v>635</v>
      </c>
      <c r="B26" s="37">
        <v>40572</v>
      </c>
      <c r="C26">
        <v>1</v>
      </c>
      <c r="D26">
        <v>0</v>
      </c>
      <c r="E26">
        <v>1</v>
      </c>
      <c r="F26">
        <v>17</v>
      </c>
      <c r="G26" t="b">
        <v>0</v>
      </c>
      <c r="H26">
        <v>6</v>
      </c>
      <c r="I26">
        <v>1</v>
      </c>
      <c r="J26">
        <v>0.24</v>
      </c>
      <c r="K26">
        <v>0.28789999999999999</v>
      </c>
      <c r="L26">
        <v>0.6</v>
      </c>
      <c r="M26">
        <v>0</v>
      </c>
      <c r="N26">
        <v>9</v>
      </c>
      <c r="O26">
        <v>82</v>
      </c>
      <c r="P26">
        <v>91</v>
      </c>
      <c r="Q26" t="s">
        <v>68</v>
      </c>
      <c r="R26" t="s">
        <v>49</v>
      </c>
    </row>
    <row r="27" spans="1:18" x14ac:dyDescent="0.3">
      <c r="A27">
        <v>636</v>
      </c>
      <c r="B27" s="37">
        <v>40572</v>
      </c>
      <c r="C27">
        <v>1</v>
      </c>
      <c r="D27">
        <v>0</v>
      </c>
      <c r="E27">
        <v>1</v>
      </c>
      <c r="F27">
        <v>18</v>
      </c>
      <c r="G27" t="b">
        <v>0</v>
      </c>
      <c r="H27">
        <v>6</v>
      </c>
      <c r="I27">
        <v>1</v>
      </c>
      <c r="J27">
        <v>0.22</v>
      </c>
      <c r="K27">
        <v>0.2273</v>
      </c>
      <c r="L27">
        <v>0.69</v>
      </c>
      <c r="M27">
        <v>0.1343</v>
      </c>
      <c r="N27">
        <v>9</v>
      </c>
      <c r="O27">
        <v>59</v>
      </c>
      <c r="P27">
        <v>68</v>
      </c>
      <c r="Q27" t="s">
        <v>68</v>
      </c>
      <c r="R27" t="s">
        <v>49</v>
      </c>
    </row>
    <row r="28" spans="1:18" x14ac:dyDescent="0.3">
      <c r="A28">
        <v>637</v>
      </c>
      <c r="B28" s="37">
        <v>40572</v>
      </c>
      <c r="C28">
        <v>1</v>
      </c>
      <c r="D28">
        <v>0</v>
      </c>
      <c r="E28">
        <v>1</v>
      </c>
      <c r="F28">
        <v>19</v>
      </c>
      <c r="G28" t="b">
        <v>0</v>
      </c>
      <c r="H28">
        <v>6</v>
      </c>
      <c r="I28">
        <v>2</v>
      </c>
      <c r="J28">
        <v>0.22</v>
      </c>
      <c r="K28">
        <v>0.21210000000000001</v>
      </c>
      <c r="L28">
        <v>0.69</v>
      </c>
      <c r="M28">
        <v>0.25369999999999998</v>
      </c>
      <c r="N28">
        <v>6</v>
      </c>
      <c r="O28">
        <v>52</v>
      </c>
      <c r="P28">
        <v>58</v>
      </c>
      <c r="Q28" t="s">
        <v>71</v>
      </c>
      <c r="R28" t="s">
        <v>49</v>
      </c>
    </row>
    <row r="29" spans="1:18" x14ac:dyDescent="0.3">
      <c r="A29">
        <v>638</v>
      </c>
      <c r="B29" s="37">
        <v>40572</v>
      </c>
      <c r="C29">
        <v>1</v>
      </c>
      <c r="D29">
        <v>0</v>
      </c>
      <c r="E29">
        <v>1</v>
      </c>
      <c r="F29">
        <v>20</v>
      </c>
      <c r="G29" t="b">
        <v>0</v>
      </c>
      <c r="H29">
        <v>6</v>
      </c>
      <c r="I29">
        <v>1</v>
      </c>
      <c r="J29">
        <v>0.18</v>
      </c>
      <c r="K29">
        <v>0.21210000000000001</v>
      </c>
      <c r="L29">
        <v>0.74</v>
      </c>
      <c r="M29">
        <v>8.9599999999999999E-2</v>
      </c>
      <c r="N29">
        <v>1</v>
      </c>
      <c r="O29">
        <v>42</v>
      </c>
      <c r="P29">
        <v>43</v>
      </c>
      <c r="Q29" t="s">
        <v>71</v>
      </c>
      <c r="R29" t="s">
        <v>49</v>
      </c>
    </row>
    <row r="30" spans="1:18" x14ac:dyDescent="0.3">
      <c r="A30">
        <v>639</v>
      </c>
      <c r="B30" s="37">
        <v>40572</v>
      </c>
      <c r="C30">
        <v>1</v>
      </c>
      <c r="D30">
        <v>0</v>
      </c>
      <c r="E30">
        <v>1</v>
      </c>
      <c r="F30">
        <v>21</v>
      </c>
      <c r="G30" t="b">
        <v>0</v>
      </c>
      <c r="H30">
        <v>6</v>
      </c>
      <c r="I30">
        <v>1</v>
      </c>
      <c r="J30">
        <v>0.18</v>
      </c>
      <c r="K30">
        <v>0.21210000000000001</v>
      </c>
      <c r="L30">
        <v>0.74</v>
      </c>
      <c r="M30">
        <v>8.9599999999999999E-2</v>
      </c>
      <c r="N30">
        <v>1</v>
      </c>
      <c r="O30">
        <v>35</v>
      </c>
      <c r="P30">
        <v>36</v>
      </c>
      <c r="Q30" t="s">
        <v>71</v>
      </c>
      <c r="R30" t="s">
        <v>49</v>
      </c>
    </row>
    <row r="31" spans="1:18" x14ac:dyDescent="0.3">
      <c r="A31">
        <v>640</v>
      </c>
      <c r="B31" s="37">
        <v>40572</v>
      </c>
      <c r="C31">
        <v>1</v>
      </c>
      <c r="D31">
        <v>0</v>
      </c>
      <c r="E31">
        <v>1</v>
      </c>
      <c r="F31">
        <v>22</v>
      </c>
      <c r="G31" t="b">
        <v>0</v>
      </c>
      <c r="H31">
        <v>6</v>
      </c>
      <c r="I31">
        <v>1</v>
      </c>
      <c r="J31">
        <v>0.16</v>
      </c>
      <c r="K31">
        <v>0.19700000000000001</v>
      </c>
      <c r="L31">
        <v>0.8</v>
      </c>
      <c r="M31">
        <v>8.9599999999999999E-2</v>
      </c>
      <c r="N31">
        <v>4</v>
      </c>
      <c r="O31">
        <v>28</v>
      </c>
      <c r="P31">
        <v>32</v>
      </c>
      <c r="Q31" t="s">
        <v>71</v>
      </c>
      <c r="R31" t="s">
        <v>49</v>
      </c>
    </row>
    <row r="32" spans="1:18" x14ac:dyDescent="0.3">
      <c r="A32">
        <v>641</v>
      </c>
      <c r="B32" s="37">
        <v>40572</v>
      </c>
      <c r="C32">
        <v>1</v>
      </c>
      <c r="D32">
        <v>0</v>
      </c>
      <c r="E32">
        <v>1</v>
      </c>
      <c r="F32">
        <v>23</v>
      </c>
      <c r="G32" t="b">
        <v>0</v>
      </c>
      <c r="H32">
        <v>6</v>
      </c>
      <c r="I32">
        <v>1</v>
      </c>
      <c r="J32">
        <v>0.16</v>
      </c>
      <c r="K32">
        <v>0.19700000000000001</v>
      </c>
      <c r="L32">
        <v>0.8</v>
      </c>
      <c r="M32">
        <v>8.9599999999999999E-2</v>
      </c>
      <c r="N32">
        <v>3</v>
      </c>
      <c r="O32">
        <v>30</v>
      </c>
      <c r="P32">
        <v>33</v>
      </c>
      <c r="Q32" t="s">
        <v>71</v>
      </c>
      <c r="R32" t="s">
        <v>49</v>
      </c>
    </row>
    <row r="33" spans="1:18" x14ac:dyDescent="0.3">
      <c r="A33">
        <v>642</v>
      </c>
      <c r="B33" s="37">
        <v>40573</v>
      </c>
      <c r="C33">
        <v>1</v>
      </c>
      <c r="D33">
        <v>0</v>
      </c>
      <c r="E33">
        <v>1</v>
      </c>
      <c r="F33">
        <v>0</v>
      </c>
      <c r="G33" t="b">
        <v>0</v>
      </c>
      <c r="H33">
        <v>0</v>
      </c>
      <c r="I33">
        <v>1</v>
      </c>
      <c r="J33">
        <v>0.16</v>
      </c>
      <c r="K33">
        <v>0.18179999999999999</v>
      </c>
      <c r="L33">
        <v>0.8</v>
      </c>
      <c r="M33">
        <v>0.1045</v>
      </c>
      <c r="N33">
        <v>0</v>
      </c>
      <c r="O33">
        <v>33</v>
      </c>
      <c r="P33">
        <v>33</v>
      </c>
      <c r="Q33" t="s">
        <v>72</v>
      </c>
      <c r="R33" t="s">
        <v>50</v>
      </c>
    </row>
    <row r="34" spans="1:18" x14ac:dyDescent="0.3">
      <c r="A34">
        <v>643</v>
      </c>
      <c r="B34" s="37">
        <v>40573</v>
      </c>
      <c r="C34">
        <v>1</v>
      </c>
      <c r="D34">
        <v>0</v>
      </c>
      <c r="E34">
        <v>1</v>
      </c>
      <c r="F34">
        <v>1</v>
      </c>
      <c r="G34" t="b">
        <v>0</v>
      </c>
      <c r="H34">
        <v>0</v>
      </c>
      <c r="I34">
        <v>1</v>
      </c>
      <c r="J34">
        <v>0.14000000000000001</v>
      </c>
      <c r="K34">
        <v>0.21210000000000001</v>
      </c>
      <c r="L34">
        <v>0.8</v>
      </c>
      <c r="M34">
        <v>0</v>
      </c>
      <c r="N34">
        <v>7</v>
      </c>
      <c r="O34">
        <v>22</v>
      </c>
      <c r="P34">
        <v>29</v>
      </c>
      <c r="Q34" t="s">
        <v>72</v>
      </c>
      <c r="R34" t="s">
        <v>50</v>
      </c>
    </row>
    <row r="35" spans="1:18" x14ac:dyDescent="0.3">
      <c r="A35">
        <v>644</v>
      </c>
      <c r="B35" s="37">
        <v>40573</v>
      </c>
      <c r="C35">
        <v>1</v>
      </c>
      <c r="D35">
        <v>0</v>
      </c>
      <c r="E35">
        <v>1</v>
      </c>
      <c r="F35">
        <v>2</v>
      </c>
      <c r="G35" t="b">
        <v>0</v>
      </c>
      <c r="H35">
        <v>0</v>
      </c>
      <c r="I35">
        <v>1</v>
      </c>
      <c r="J35">
        <v>0.16</v>
      </c>
      <c r="K35">
        <v>0.2273</v>
      </c>
      <c r="L35">
        <v>0.8</v>
      </c>
      <c r="M35">
        <v>0</v>
      </c>
      <c r="N35">
        <v>1</v>
      </c>
      <c r="O35">
        <v>10</v>
      </c>
      <c r="P35">
        <v>11</v>
      </c>
      <c r="Q35" t="s">
        <v>72</v>
      </c>
      <c r="R35" t="s">
        <v>50</v>
      </c>
    </row>
    <row r="36" spans="1:18" x14ac:dyDescent="0.3">
      <c r="A36">
        <v>645</v>
      </c>
      <c r="B36" s="37">
        <v>40573</v>
      </c>
      <c r="C36">
        <v>1</v>
      </c>
      <c r="D36">
        <v>0</v>
      </c>
      <c r="E36">
        <v>1</v>
      </c>
      <c r="F36">
        <v>3</v>
      </c>
      <c r="G36" t="b">
        <v>0</v>
      </c>
      <c r="H36">
        <v>0</v>
      </c>
      <c r="I36">
        <v>1</v>
      </c>
      <c r="J36">
        <v>0.14000000000000001</v>
      </c>
      <c r="K36">
        <v>0.21210000000000001</v>
      </c>
      <c r="L36">
        <v>0.93</v>
      </c>
      <c r="M36">
        <v>0</v>
      </c>
      <c r="N36">
        <v>1</v>
      </c>
      <c r="O36">
        <v>7</v>
      </c>
      <c r="P36">
        <v>8</v>
      </c>
      <c r="Q36" t="s">
        <v>72</v>
      </c>
      <c r="R36" t="s">
        <v>50</v>
      </c>
    </row>
    <row r="37" spans="1:18" x14ac:dyDescent="0.3">
      <c r="A37">
        <v>646</v>
      </c>
      <c r="B37" s="37">
        <v>40573</v>
      </c>
      <c r="C37">
        <v>1</v>
      </c>
      <c r="D37">
        <v>0</v>
      </c>
      <c r="E37">
        <v>1</v>
      </c>
      <c r="F37">
        <v>4</v>
      </c>
      <c r="G37" t="b">
        <v>0</v>
      </c>
      <c r="H37">
        <v>0</v>
      </c>
      <c r="I37">
        <v>1</v>
      </c>
      <c r="J37">
        <v>0.14000000000000001</v>
      </c>
      <c r="K37">
        <v>0.21210000000000001</v>
      </c>
      <c r="L37">
        <v>0.93</v>
      </c>
      <c r="M37">
        <v>0</v>
      </c>
      <c r="N37">
        <v>0</v>
      </c>
      <c r="O37">
        <v>1</v>
      </c>
      <c r="P37">
        <v>1</v>
      </c>
      <c r="Q37" t="s">
        <v>72</v>
      </c>
      <c r="R37" t="s">
        <v>50</v>
      </c>
    </row>
    <row r="38" spans="1:18" x14ac:dyDescent="0.3">
      <c r="A38">
        <v>647</v>
      </c>
      <c r="B38" s="37">
        <v>40573</v>
      </c>
      <c r="C38">
        <v>1</v>
      </c>
      <c r="D38">
        <v>0</v>
      </c>
      <c r="E38">
        <v>1</v>
      </c>
      <c r="F38">
        <v>5</v>
      </c>
      <c r="G38" t="b">
        <v>0</v>
      </c>
      <c r="H38">
        <v>0</v>
      </c>
      <c r="I38">
        <v>1</v>
      </c>
      <c r="J38">
        <v>0.14000000000000001</v>
      </c>
      <c r="K38">
        <v>0.21210000000000001</v>
      </c>
      <c r="L38">
        <v>0.86</v>
      </c>
      <c r="M38">
        <v>0</v>
      </c>
      <c r="N38">
        <v>0</v>
      </c>
      <c r="O38">
        <v>3</v>
      </c>
      <c r="P38">
        <v>3</v>
      </c>
      <c r="Q38" t="s">
        <v>72</v>
      </c>
      <c r="R38" t="s">
        <v>50</v>
      </c>
    </row>
    <row r="39" spans="1:18" x14ac:dyDescent="0.3">
      <c r="A39">
        <v>648</v>
      </c>
      <c r="B39" s="37">
        <v>40573</v>
      </c>
      <c r="C39">
        <v>1</v>
      </c>
      <c r="D39">
        <v>0</v>
      </c>
      <c r="E39">
        <v>1</v>
      </c>
      <c r="F39">
        <v>7</v>
      </c>
      <c r="G39" t="b">
        <v>0</v>
      </c>
      <c r="H39">
        <v>0</v>
      </c>
      <c r="I39">
        <v>1</v>
      </c>
      <c r="J39">
        <v>0.14000000000000001</v>
      </c>
      <c r="K39">
        <v>0.21210000000000001</v>
      </c>
      <c r="L39">
        <v>0.86</v>
      </c>
      <c r="M39">
        <v>0</v>
      </c>
      <c r="N39">
        <v>0</v>
      </c>
      <c r="O39">
        <v>3</v>
      </c>
      <c r="P39">
        <v>3</v>
      </c>
      <c r="Q39" t="s">
        <v>72</v>
      </c>
      <c r="R39" t="s">
        <v>50</v>
      </c>
    </row>
    <row r="40" spans="1:18" x14ac:dyDescent="0.3">
      <c r="A40">
        <v>649</v>
      </c>
      <c r="B40" s="37">
        <v>40573</v>
      </c>
      <c r="C40">
        <v>1</v>
      </c>
      <c r="D40">
        <v>0</v>
      </c>
      <c r="E40">
        <v>1</v>
      </c>
      <c r="F40">
        <v>8</v>
      </c>
      <c r="G40" t="b">
        <v>0</v>
      </c>
      <c r="H40">
        <v>0</v>
      </c>
      <c r="I40">
        <v>2</v>
      </c>
      <c r="J40">
        <v>0.14000000000000001</v>
      </c>
      <c r="K40">
        <v>0.21210000000000001</v>
      </c>
      <c r="L40">
        <v>0.86</v>
      </c>
      <c r="M40">
        <v>0</v>
      </c>
      <c r="N40">
        <v>1</v>
      </c>
      <c r="O40">
        <v>11</v>
      </c>
      <c r="P40">
        <v>12</v>
      </c>
      <c r="Q40" t="s">
        <v>72</v>
      </c>
      <c r="R40" t="s">
        <v>50</v>
      </c>
    </row>
    <row r="41" spans="1:18" x14ac:dyDescent="0.3">
      <c r="A41">
        <v>650</v>
      </c>
      <c r="B41" s="37">
        <v>40573</v>
      </c>
      <c r="C41">
        <v>1</v>
      </c>
      <c r="D41">
        <v>0</v>
      </c>
      <c r="E41">
        <v>1</v>
      </c>
      <c r="F41">
        <v>9</v>
      </c>
      <c r="G41" t="b">
        <v>0</v>
      </c>
      <c r="H41">
        <v>0</v>
      </c>
      <c r="I41">
        <v>2</v>
      </c>
      <c r="J41">
        <v>0.16</v>
      </c>
      <c r="K41">
        <v>0.2273</v>
      </c>
      <c r="L41">
        <v>0.8</v>
      </c>
      <c r="M41">
        <v>0</v>
      </c>
      <c r="N41">
        <v>4</v>
      </c>
      <c r="O41">
        <v>34</v>
      </c>
      <c r="P41">
        <v>38</v>
      </c>
      <c r="Q41" t="s">
        <v>72</v>
      </c>
      <c r="R41" t="s">
        <v>50</v>
      </c>
    </row>
    <row r="42" spans="1:18" x14ac:dyDescent="0.3">
      <c r="A42">
        <v>651</v>
      </c>
      <c r="B42" s="37">
        <v>40573</v>
      </c>
      <c r="C42">
        <v>1</v>
      </c>
      <c r="D42">
        <v>0</v>
      </c>
      <c r="E42">
        <v>1</v>
      </c>
      <c r="F42">
        <v>10</v>
      </c>
      <c r="G42" t="b">
        <v>0</v>
      </c>
      <c r="H42">
        <v>0</v>
      </c>
      <c r="I42">
        <v>2</v>
      </c>
      <c r="J42">
        <v>0.18</v>
      </c>
      <c r="K42">
        <v>0.2424</v>
      </c>
      <c r="L42">
        <v>0.8</v>
      </c>
      <c r="M42">
        <v>0</v>
      </c>
      <c r="N42">
        <v>7</v>
      </c>
      <c r="O42">
        <v>57</v>
      </c>
      <c r="P42">
        <v>64</v>
      </c>
      <c r="Q42" t="s">
        <v>72</v>
      </c>
      <c r="R42" t="s">
        <v>50</v>
      </c>
    </row>
    <row r="43" spans="1:18" x14ac:dyDescent="0.3">
      <c r="A43">
        <v>652</v>
      </c>
      <c r="B43" s="37">
        <v>40573</v>
      </c>
      <c r="C43">
        <v>1</v>
      </c>
      <c r="D43">
        <v>0</v>
      </c>
      <c r="E43">
        <v>1</v>
      </c>
      <c r="F43">
        <v>11</v>
      </c>
      <c r="G43" t="b">
        <v>0</v>
      </c>
      <c r="H43">
        <v>0</v>
      </c>
      <c r="I43">
        <v>1</v>
      </c>
      <c r="J43">
        <v>0.22</v>
      </c>
      <c r="K43">
        <v>0.2727</v>
      </c>
      <c r="L43">
        <v>0.75</v>
      </c>
      <c r="M43">
        <v>0</v>
      </c>
      <c r="N43">
        <v>9</v>
      </c>
      <c r="O43">
        <v>50</v>
      </c>
      <c r="P43">
        <v>59</v>
      </c>
      <c r="Q43" t="s">
        <v>72</v>
      </c>
      <c r="R43" t="s">
        <v>50</v>
      </c>
    </row>
    <row r="44" spans="1:18" x14ac:dyDescent="0.3">
      <c r="A44">
        <v>653</v>
      </c>
      <c r="B44" s="37">
        <v>40573</v>
      </c>
      <c r="C44">
        <v>1</v>
      </c>
      <c r="D44">
        <v>0</v>
      </c>
      <c r="E44">
        <v>1</v>
      </c>
      <c r="F44">
        <v>12</v>
      </c>
      <c r="G44" t="b">
        <v>0</v>
      </c>
      <c r="H44">
        <v>0</v>
      </c>
      <c r="I44">
        <v>1</v>
      </c>
      <c r="J44">
        <v>0.3</v>
      </c>
      <c r="K44">
        <v>0.31819999999999998</v>
      </c>
      <c r="L44">
        <v>0.52</v>
      </c>
      <c r="M44">
        <v>0.1045</v>
      </c>
      <c r="N44">
        <v>10</v>
      </c>
      <c r="O44">
        <v>87</v>
      </c>
      <c r="P44">
        <v>97</v>
      </c>
      <c r="Q44" t="s">
        <v>72</v>
      </c>
      <c r="R44" t="s">
        <v>50</v>
      </c>
    </row>
    <row r="45" spans="1:18" x14ac:dyDescent="0.3">
      <c r="A45">
        <v>654</v>
      </c>
      <c r="B45" s="37">
        <v>40573</v>
      </c>
      <c r="C45">
        <v>1</v>
      </c>
      <c r="D45">
        <v>0</v>
      </c>
      <c r="E45">
        <v>1</v>
      </c>
      <c r="F45">
        <v>13</v>
      </c>
      <c r="G45" t="b">
        <v>0</v>
      </c>
      <c r="H45">
        <v>0</v>
      </c>
      <c r="I45">
        <v>1</v>
      </c>
      <c r="J45">
        <v>0.28000000000000003</v>
      </c>
      <c r="K45">
        <v>0.28789999999999999</v>
      </c>
      <c r="L45">
        <v>0.61</v>
      </c>
      <c r="M45">
        <v>0.1045</v>
      </c>
      <c r="N45">
        <v>13</v>
      </c>
      <c r="O45">
        <v>71</v>
      </c>
      <c r="P45">
        <v>84</v>
      </c>
      <c r="Q45" t="s">
        <v>68</v>
      </c>
      <c r="R45" t="s">
        <v>50</v>
      </c>
    </row>
    <row r="46" spans="1:18" x14ac:dyDescent="0.3">
      <c r="A46">
        <v>655</v>
      </c>
      <c r="B46" s="37">
        <v>40573</v>
      </c>
      <c r="C46">
        <v>1</v>
      </c>
      <c r="D46">
        <v>0</v>
      </c>
      <c r="E46">
        <v>1</v>
      </c>
      <c r="F46">
        <v>14</v>
      </c>
      <c r="G46" t="b">
        <v>0</v>
      </c>
      <c r="H46">
        <v>0</v>
      </c>
      <c r="I46">
        <v>1</v>
      </c>
      <c r="J46">
        <v>0.28000000000000003</v>
      </c>
      <c r="K46">
        <v>0.30299999999999999</v>
      </c>
      <c r="L46">
        <v>0.61</v>
      </c>
      <c r="M46">
        <v>8.9599999999999999E-2</v>
      </c>
      <c r="N46">
        <v>18</v>
      </c>
      <c r="O46">
        <v>104</v>
      </c>
      <c r="P46">
        <v>122</v>
      </c>
      <c r="Q46" t="s">
        <v>68</v>
      </c>
      <c r="R46" t="s">
        <v>50</v>
      </c>
    </row>
    <row r="47" spans="1:18" x14ac:dyDescent="0.3">
      <c r="A47">
        <v>656</v>
      </c>
      <c r="B47" s="37">
        <v>40573</v>
      </c>
      <c r="C47">
        <v>1</v>
      </c>
      <c r="D47">
        <v>0</v>
      </c>
      <c r="E47">
        <v>1</v>
      </c>
      <c r="F47">
        <v>15</v>
      </c>
      <c r="G47" t="b">
        <v>0</v>
      </c>
      <c r="H47">
        <v>0</v>
      </c>
      <c r="I47">
        <v>1</v>
      </c>
      <c r="J47">
        <v>0.3</v>
      </c>
      <c r="K47">
        <v>0.33329999999999999</v>
      </c>
      <c r="L47">
        <v>0.56000000000000005</v>
      </c>
      <c r="M47">
        <v>0</v>
      </c>
      <c r="N47">
        <v>14</v>
      </c>
      <c r="O47">
        <v>95</v>
      </c>
      <c r="P47">
        <v>109</v>
      </c>
      <c r="Q47" t="s">
        <v>68</v>
      </c>
      <c r="R47" t="s">
        <v>50</v>
      </c>
    </row>
    <row r="48" spans="1:18" x14ac:dyDescent="0.3">
      <c r="A48">
        <v>657</v>
      </c>
      <c r="B48" s="37">
        <v>40573</v>
      </c>
      <c r="C48">
        <v>1</v>
      </c>
      <c r="D48">
        <v>0</v>
      </c>
      <c r="E48">
        <v>1</v>
      </c>
      <c r="F48">
        <v>16</v>
      </c>
      <c r="G48" t="b">
        <v>0</v>
      </c>
      <c r="H48">
        <v>0</v>
      </c>
      <c r="I48">
        <v>1</v>
      </c>
      <c r="J48">
        <v>0.3</v>
      </c>
      <c r="K48">
        <v>0.33329999999999999</v>
      </c>
      <c r="L48">
        <v>0.56000000000000005</v>
      </c>
      <c r="M48">
        <v>0</v>
      </c>
      <c r="N48">
        <v>19</v>
      </c>
      <c r="O48">
        <v>104</v>
      </c>
      <c r="P48">
        <v>123</v>
      </c>
      <c r="Q48" t="s">
        <v>68</v>
      </c>
      <c r="R48" t="s">
        <v>50</v>
      </c>
    </row>
    <row r="49" spans="1:18" x14ac:dyDescent="0.3">
      <c r="A49">
        <v>658</v>
      </c>
      <c r="B49" s="37">
        <v>40573</v>
      </c>
      <c r="C49">
        <v>1</v>
      </c>
      <c r="D49">
        <v>0</v>
      </c>
      <c r="E49">
        <v>1</v>
      </c>
      <c r="F49">
        <v>17</v>
      </c>
      <c r="G49" t="b">
        <v>0</v>
      </c>
      <c r="H49">
        <v>0</v>
      </c>
      <c r="I49">
        <v>1</v>
      </c>
      <c r="J49">
        <v>0.3</v>
      </c>
      <c r="K49">
        <v>0.28789999999999999</v>
      </c>
      <c r="L49">
        <v>0.56000000000000005</v>
      </c>
      <c r="M49">
        <v>0.19400000000000001</v>
      </c>
      <c r="N49">
        <v>6</v>
      </c>
      <c r="O49">
        <v>71</v>
      </c>
      <c r="P49">
        <v>77</v>
      </c>
      <c r="Q49" t="s">
        <v>68</v>
      </c>
      <c r="R49" t="s">
        <v>50</v>
      </c>
    </row>
    <row r="50" spans="1:18" x14ac:dyDescent="0.3">
      <c r="A50">
        <v>659</v>
      </c>
      <c r="B50" s="37">
        <v>40573</v>
      </c>
      <c r="C50">
        <v>1</v>
      </c>
      <c r="D50">
        <v>0</v>
      </c>
      <c r="E50">
        <v>1</v>
      </c>
      <c r="F50">
        <v>18</v>
      </c>
      <c r="G50" t="b">
        <v>0</v>
      </c>
      <c r="H50">
        <v>0</v>
      </c>
      <c r="I50">
        <v>1</v>
      </c>
      <c r="J50">
        <v>0.26</v>
      </c>
      <c r="K50">
        <v>0.2576</v>
      </c>
      <c r="L50">
        <v>0.65</v>
      </c>
      <c r="M50">
        <v>0.16420000000000001</v>
      </c>
      <c r="N50">
        <v>8</v>
      </c>
      <c r="O50">
        <v>57</v>
      </c>
      <c r="P50">
        <v>65</v>
      </c>
      <c r="Q50" t="s">
        <v>68</v>
      </c>
      <c r="R50" t="s">
        <v>50</v>
      </c>
    </row>
    <row r="51" spans="1:18" x14ac:dyDescent="0.3">
      <c r="A51">
        <v>660</v>
      </c>
      <c r="B51" s="37">
        <v>40573</v>
      </c>
      <c r="C51">
        <v>1</v>
      </c>
      <c r="D51">
        <v>0</v>
      </c>
      <c r="E51">
        <v>1</v>
      </c>
      <c r="F51">
        <v>19</v>
      </c>
      <c r="G51" t="b">
        <v>0</v>
      </c>
      <c r="H51">
        <v>0</v>
      </c>
      <c r="I51">
        <v>1</v>
      </c>
      <c r="J51">
        <v>0.26</v>
      </c>
      <c r="K51">
        <v>0.2576</v>
      </c>
      <c r="L51">
        <v>0.65</v>
      </c>
      <c r="M51">
        <v>0.19400000000000001</v>
      </c>
      <c r="N51">
        <v>9</v>
      </c>
      <c r="O51">
        <v>46</v>
      </c>
      <c r="P51">
        <v>55</v>
      </c>
      <c r="Q51" t="s">
        <v>71</v>
      </c>
      <c r="R51" t="s">
        <v>50</v>
      </c>
    </row>
    <row r="52" spans="1:18" x14ac:dyDescent="0.3">
      <c r="A52">
        <v>661</v>
      </c>
      <c r="B52" s="37">
        <v>40573</v>
      </c>
      <c r="C52">
        <v>1</v>
      </c>
      <c r="D52">
        <v>0</v>
      </c>
      <c r="E52">
        <v>1</v>
      </c>
      <c r="F52">
        <v>20</v>
      </c>
      <c r="G52" t="b">
        <v>0</v>
      </c>
      <c r="H52">
        <v>0</v>
      </c>
      <c r="I52">
        <v>2</v>
      </c>
      <c r="J52">
        <v>0.26</v>
      </c>
      <c r="K52">
        <v>0.2727</v>
      </c>
      <c r="L52">
        <v>0.65</v>
      </c>
      <c r="M52">
        <v>0.1045</v>
      </c>
      <c r="N52">
        <v>3</v>
      </c>
      <c r="O52">
        <v>30</v>
      </c>
      <c r="P52">
        <v>33</v>
      </c>
      <c r="Q52" t="s">
        <v>71</v>
      </c>
      <c r="R52" t="s">
        <v>50</v>
      </c>
    </row>
    <row r="53" spans="1:18" x14ac:dyDescent="0.3">
      <c r="A53">
        <v>662</v>
      </c>
      <c r="B53" s="37">
        <v>40573</v>
      </c>
      <c r="C53">
        <v>1</v>
      </c>
      <c r="D53">
        <v>0</v>
      </c>
      <c r="E53">
        <v>1</v>
      </c>
      <c r="F53">
        <v>21</v>
      </c>
      <c r="G53" t="b">
        <v>0</v>
      </c>
      <c r="H53">
        <v>0</v>
      </c>
      <c r="I53">
        <v>2</v>
      </c>
      <c r="J53">
        <v>0.24</v>
      </c>
      <c r="K53">
        <v>0.2424</v>
      </c>
      <c r="L53">
        <v>0.7</v>
      </c>
      <c r="M53">
        <v>0.16420000000000001</v>
      </c>
      <c r="N53">
        <v>3</v>
      </c>
      <c r="O53">
        <v>25</v>
      </c>
      <c r="P53">
        <v>28</v>
      </c>
      <c r="Q53" t="s">
        <v>71</v>
      </c>
      <c r="R53" t="s">
        <v>50</v>
      </c>
    </row>
    <row r="54" spans="1:18" x14ac:dyDescent="0.3">
      <c r="A54">
        <v>663</v>
      </c>
      <c r="B54" s="37">
        <v>40573</v>
      </c>
      <c r="C54">
        <v>1</v>
      </c>
      <c r="D54">
        <v>0</v>
      </c>
      <c r="E54">
        <v>1</v>
      </c>
      <c r="F54">
        <v>22</v>
      </c>
      <c r="G54" t="b">
        <v>0</v>
      </c>
      <c r="H54">
        <v>0</v>
      </c>
      <c r="I54">
        <v>2</v>
      </c>
      <c r="J54">
        <v>0.24</v>
      </c>
      <c r="K54">
        <v>0.2273</v>
      </c>
      <c r="L54">
        <v>0.7</v>
      </c>
      <c r="M54">
        <v>0.19400000000000001</v>
      </c>
      <c r="N54">
        <v>2</v>
      </c>
      <c r="O54">
        <v>19</v>
      </c>
      <c r="P54">
        <v>21</v>
      </c>
      <c r="Q54" t="s">
        <v>71</v>
      </c>
      <c r="R54" t="s">
        <v>50</v>
      </c>
    </row>
    <row r="55" spans="1:18" x14ac:dyDescent="0.3">
      <c r="A55">
        <v>664</v>
      </c>
      <c r="B55" s="37">
        <v>40573</v>
      </c>
      <c r="C55">
        <v>1</v>
      </c>
      <c r="D55">
        <v>0</v>
      </c>
      <c r="E55">
        <v>1</v>
      </c>
      <c r="F55">
        <v>23</v>
      </c>
      <c r="G55" t="b">
        <v>0</v>
      </c>
      <c r="H55">
        <v>0</v>
      </c>
      <c r="I55">
        <v>2</v>
      </c>
      <c r="J55">
        <v>0.24</v>
      </c>
      <c r="K55">
        <v>0.21210000000000001</v>
      </c>
      <c r="L55">
        <v>0.65</v>
      </c>
      <c r="M55">
        <v>0.28360000000000002</v>
      </c>
      <c r="N55">
        <v>5</v>
      </c>
      <c r="O55">
        <v>16</v>
      </c>
      <c r="P55">
        <v>21</v>
      </c>
      <c r="Q55" t="s">
        <v>71</v>
      </c>
      <c r="R55" t="s">
        <v>50</v>
      </c>
    </row>
    <row r="56" spans="1:18" x14ac:dyDescent="0.3">
      <c r="A56">
        <v>665</v>
      </c>
      <c r="B56" s="37">
        <v>40574</v>
      </c>
      <c r="C56">
        <v>1</v>
      </c>
      <c r="D56">
        <v>0</v>
      </c>
      <c r="E56">
        <v>1</v>
      </c>
      <c r="F56">
        <v>0</v>
      </c>
      <c r="G56" t="b">
        <v>0</v>
      </c>
      <c r="H56">
        <v>1</v>
      </c>
      <c r="I56">
        <v>2</v>
      </c>
      <c r="J56">
        <v>0.24</v>
      </c>
      <c r="K56">
        <v>0.2273</v>
      </c>
      <c r="L56">
        <v>0.65</v>
      </c>
      <c r="M56">
        <v>0.22389999999999999</v>
      </c>
      <c r="N56">
        <v>1</v>
      </c>
      <c r="O56">
        <v>6</v>
      </c>
      <c r="P56">
        <v>7</v>
      </c>
      <c r="Q56" t="s">
        <v>72</v>
      </c>
      <c r="R56" t="s">
        <v>51</v>
      </c>
    </row>
    <row r="57" spans="1:18" x14ac:dyDescent="0.3">
      <c r="A57">
        <v>666</v>
      </c>
      <c r="B57" s="37">
        <v>40574</v>
      </c>
      <c r="C57">
        <v>1</v>
      </c>
      <c r="D57">
        <v>0</v>
      </c>
      <c r="E57">
        <v>1</v>
      </c>
      <c r="F57">
        <v>1</v>
      </c>
      <c r="G57" t="b">
        <v>0</v>
      </c>
      <c r="H57">
        <v>1</v>
      </c>
      <c r="I57">
        <v>1</v>
      </c>
      <c r="J57">
        <v>0.22</v>
      </c>
      <c r="K57">
        <v>0.21210000000000001</v>
      </c>
      <c r="L57">
        <v>0.64</v>
      </c>
      <c r="M57">
        <v>0.25369999999999998</v>
      </c>
      <c r="N57">
        <v>2</v>
      </c>
      <c r="O57">
        <v>5</v>
      </c>
      <c r="P57">
        <v>7</v>
      </c>
      <c r="Q57" t="s">
        <v>72</v>
      </c>
      <c r="R57" t="s">
        <v>51</v>
      </c>
    </row>
    <row r="58" spans="1:18" x14ac:dyDescent="0.3">
      <c r="A58">
        <v>667</v>
      </c>
      <c r="B58" s="37">
        <v>40574</v>
      </c>
      <c r="C58">
        <v>1</v>
      </c>
      <c r="D58">
        <v>0</v>
      </c>
      <c r="E58">
        <v>1</v>
      </c>
      <c r="F58">
        <v>2</v>
      </c>
      <c r="G58" t="b">
        <v>0</v>
      </c>
      <c r="H58">
        <v>1</v>
      </c>
      <c r="I58">
        <v>1</v>
      </c>
      <c r="J58">
        <v>0.22</v>
      </c>
      <c r="K58">
        <v>0.2273</v>
      </c>
      <c r="L58">
        <v>0.64</v>
      </c>
      <c r="M58">
        <v>0.19400000000000001</v>
      </c>
      <c r="N58">
        <v>0</v>
      </c>
      <c r="O58">
        <v>1</v>
      </c>
      <c r="P58">
        <v>1</v>
      </c>
      <c r="Q58" t="s">
        <v>72</v>
      </c>
      <c r="R58" t="s">
        <v>51</v>
      </c>
    </row>
    <row r="59" spans="1:18" x14ac:dyDescent="0.3">
      <c r="A59">
        <v>668</v>
      </c>
      <c r="B59" s="37">
        <v>40574</v>
      </c>
      <c r="C59">
        <v>1</v>
      </c>
      <c r="D59">
        <v>0</v>
      </c>
      <c r="E59">
        <v>1</v>
      </c>
      <c r="F59">
        <v>3</v>
      </c>
      <c r="G59" t="b">
        <v>0</v>
      </c>
      <c r="H59">
        <v>1</v>
      </c>
      <c r="I59">
        <v>1</v>
      </c>
      <c r="J59">
        <v>0.22</v>
      </c>
      <c r="K59">
        <v>0.2273</v>
      </c>
      <c r="L59">
        <v>0.64</v>
      </c>
      <c r="M59">
        <v>0.19400000000000001</v>
      </c>
      <c r="N59">
        <v>0</v>
      </c>
      <c r="O59">
        <v>2</v>
      </c>
      <c r="P59">
        <v>2</v>
      </c>
      <c r="Q59" t="s">
        <v>72</v>
      </c>
      <c r="R59" t="s">
        <v>51</v>
      </c>
    </row>
    <row r="60" spans="1:18" x14ac:dyDescent="0.3">
      <c r="A60">
        <v>669</v>
      </c>
      <c r="B60" s="37">
        <v>40574</v>
      </c>
      <c r="C60">
        <v>1</v>
      </c>
      <c r="D60">
        <v>0</v>
      </c>
      <c r="E60">
        <v>1</v>
      </c>
      <c r="F60">
        <v>4</v>
      </c>
      <c r="G60" t="b">
        <v>0</v>
      </c>
      <c r="H60">
        <v>1</v>
      </c>
      <c r="I60">
        <v>1</v>
      </c>
      <c r="J60">
        <v>0.2</v>
      </c>
      <c r="K60">
        <v>0.19700000000000001</v>
      </c>
      <c r="L60">
        <v>0.59</v>
      </c>
      <c r="M60">
        <v>0.22389999999999999</v>
      </c>
      <c r="N60">
        <v>0</v>
      </c>
      <c r="O60">
        <v>2</v>
      </c>
      <c r="P60">
        <v>2</v>
      </c>
      <c r="Q60" t="s">
        <v>72</v>
      </c>
      <c r="R60" t="s">
        <v>51</v>
      </c>
    </row>
    <row r="61" spans="1:18" x14ac:dyDescent="0.3">
      <c r="A61">
        <v>670</v>
      </c>
      <c r="B61" s="37">
        <v>40574</v>
      </c>
      <c r="C61">
        <v>1</v>
      </c>
      <c r="D61">
        <v>0</v>
      </c>
      <c r="E61">
        <v>1</v>
      </c>
      <c r="F61">
        <v>5</v>
      </c>
      <c r="G61" t="b">
        <v>0</v>
      </c>
      <c r="H61">
        <v>1</v>
      </c>
      <c r="I61">
        <v>1</v>
      </c>
      <c r="J61">
        <v>0.18</v>
      </c>
      <c r="K61">
        <v>0.16669999999999999</v>
      </c>
      <c r="L61">
        <v>0.64</v>
      </c>
      <c r="M61">
        <v>0.28360000000000002</v>
      </c>
      <c r="N61">
        <v>0</v>
      </c>
      <c r="O61">
        <v>8</v>
      </c>
      <c r="P61">
        <v>8</v>
      </c>
      <c r="Q61" t="s">
        <v>72</v>
      </c>
      <c r="R61" t="s">
        <v>51</v>
      </c>
    </row>
    <row r="62" spans="1:18" x14ac:dyDescent="0.3">
      <c r="A62">
        <v>671</v>
      </c>
      <c r="B62" s="37">
        <v>40574</v>
      </c>
      <c r="C62">
        <v>1</v>
      </c>
      <c r="D62">
        <v>0</v>
      </c>
      <c r="E62">
        <v>1</v>
      </c>
      <c r="F62">
        <v>6</v>
      </c>
      <c r="G62" t="b">
        <v>0</v>
      </c>
      <c r="H62">
        <v>1</v>
      </c>
      <c r="I62">
        <v>1</v>
      </c>
      <c r="J62">
        <v>0.16</v>
      </c>
      <c r="K62">
        <v>0.13639999999999999</v>
      </c>
      <c r="L62">
        <v>0.69</v>
      </c>
      <c r="M62">
        <v>0.32840000000000003</v>
      </c>
      <c r="N62">
        <v>0</v>
      </c>
      <c r="O62">
        <v>37</v>
      </c>
      <c r="P62">
        <v>37</v>
      </c>
      <c r="Q62" t="s">
        <v>72</v>
      </c>
      <c r="R62" t="s">
        <v>51</v>
      </c>
    </row>
    <row r="63" spans="1:18" x14ac:dyDescent="0.3">
      <c r="A63">
        <v>672</v>
      </c>
      <c r="B63" s="37">
        <v>40574</v>
      </c>
      <c r="C63">
        <v>1</v>
      </c>
      <c r="D63">
        <v>0</v>
      </c>
      <c r="E63">
        <v>1</v>
      </c>
      <c r="F63">
        <v>7</v>
      </c>
      <c r="G63" t="b">
        <v>0</v>
      </c>
      <c r="H63">
        <v>1</v>
      </c>
      <c r="I63">
        <v>2</v>
      </c>
      <c r="J63">
        <v>0.16</v>
      </c>
      <c r="K63">
        <v>0.13639999999999999</v>
      </c>
      <c r="L63">
        <v>0.64</v>
      </c>
      <c r="M63">
        <v>0.28360000000000002</v>
      </c>
      <c r="N63">
        <v>1</v>
      </c>
      <c r="O63">
        <v>71</v>
      </c>
      <c r="P63">
        <v>72</v>
      </c>
      <c r="Q63" t="s">
        <v>72</v>
      </c>
      <c r="R63" t="s">
        <v>51</v>
      </c>
    </row>
    <row r="64" spans="1:18" x14ac:dyDescent="0.3">
      <c r="A64">
        <v>673</v>
      </c>
      <c r="B64" s="37">
        <v>40574</v>
      </c>
      <c r="C64">
        <v>1</v>
      </c>
      <c r="D64">
        <v>0</v>
      </c>
      <c r="E64">
        <v>1</v>
      </c>
      <c r="F64">
        <v>8</v>
      </c>
      <c r="G64" t="b">
        <v>0</v>
      </c>
      <c r="H64">
        <v>1</v>
      </c>
      <c r="I64">
        <v>2</v>
      </c>
      <c r="J64">
        <v>0.16</v>
      </c>
      <c r="K64">
        <v>0.13639999999999999</v>
      </c>
      <c r="L64">
        <v>0.59</v>
      </c>
      <c r="M64">
        <v>0.28360000000000002</v>
      </c>
      <c r="N64">
        <v>3</v>
      </c>
      <c r="O64">
        <v>182</v>
      </c>
      <c r="P64">
        <v>185</v>
      </c>
      <c r="Q64" t="s">
        <v>72</v>
      </c>
      <c r="R64" t="s">
        <v>51</v>
      </c>
    </row>
    <row r="65" spans="1:18" x14ac:dyDescent="0.3">
      <c r="A65">
        <v>674</v>
      </c>
      <c r="B65" s="37">
        <v>40574</v>
      </c>
      <c r="C65">
        <v>1</v>
      </c>
      <c r="D65">
        <v>0</v>
      </c>
      <c r="E65">
        <v>1</v>
      </c>
      <c r="F65">
        <v>9</v>
      </c>
      <c r="G65" t="b">
        <v>0</v>
      </c>
      <c r="H65">
        <v>1</v>
      </c>
      <c r="I65">
        <v>2</v>
      </c>
      <c r="J65">
        <v>0.16</v>
      </c>
      <c r="K65">
        <v>0.13639999999999999</v>
      </c>
      <c r="L65">
        <v>0.59</v>
      </c>
      <c r="M65">
        <v>0.29849999999999999</v>
      </c>
      <c r="N65">
        <v>0</v>
      </c>
      <c r="O65">
        <v>112</v>
      </c>
      <c r="P65">
        <v>112</v>
      </c>
      <c r="Q65" t="s">
        <v>72</v>
      </c>
      <c r="R65" t="s">
        <v>51</v>
      </c>
    </row>
    <row r="66" spans="1:18" x14ac:dyDescent="0.3">
      <c r="A66">
        <v>675</v>
      </c>
      <c r="B66" s="37">
        <v>40574</v>
      </c>
      <c r="C66">
        <v>1</v>
      </c>
      <c r="D66">
        <v>0</v>
      </c>
      <c r="E66">
        <v>1</v>
      </c>
      <c r="F66">
        <v>10</v>
      </c>
      <c r="G66" t="b">
        <v>0</v>
      </c>
      <c r="H66">
        <v>1</v>
      </c>
      <c r="I66">
        <v>2</v>
      </c>
      <c r="J66">
        <v>0.16</v>
      </c>
      <c r="K66">
        <v>0.1515</v>
      </c>
      <c r="L66">
        <v>0.59</v>
      </c>
      <c r="M66">
        <v>0.19400000000000001</v>
      </c>
      <c r="N66">
        <v>1</v>
      </c>
      <c r="O66">
        <v>68</v>
      </c>
      <c r="P66">
        <v>69</v>
      </c>
      <c r="Q66" t="s">
        <v>72</v>
      </c>
      <c r="R66" t="s">
        <v>51</v>
      </c>
    </row>
    <row r="67" spans="1:18" x14ac:dyDescent="0.3">
      <c r="A67">
        <v>676</v>
      </c>
      <c r="B67" s="37">
        <v>40574</v>
      </c>
      <c r="C67">
        <v>1</v>
      </c>
      <c r="D67">
        <v>0</v>
      </c>
      <c r="E67">
        <v>1</v>
      </c>
      <c r="F67">
        <v>11</v>
      </c>
      <c r="G67" t="b">
        <v>0</v>
      </c>
      <c r="H67">
        <v>1</v>
      </c>
      <c r="I67">
        <v>2</v>
      </c>
      <c r="J67">
        <v>0.16</v>
      </c>
      <c r="K67">
        <v>0.1515</v>
      </c>
      <c r="L67">
        <v>0.59</v>
      </c>
      <c r="M67">
        <v>0.19400000000000001</v>
      </c>
      <c r="N67">
        <v>2</v>
      </c>
      <c r="O67">
        <v>46</v>
      </c>
      <c r="P67">
        <v>48</v>
      </c>
      <c r="Q67" t="s">
        <v>72</v>
      </c>
      <c r="R67" t="s">
        <v>51</v>
      </c>
    </row>
    <row r="68" spans="1:18" x14ac:dyDescent="0.3">
      <c r="A68">
        <v>677</v>
      </c>
      <c r="B68" s="37">
        <v>40574</v>
      </c>
      <c r="C68">
        <v>1</v>
      </c>
      <c r="D68">
        <v>0</v>
      </c>
      <c r="E68">
        <v>1</v>
      </c>
      <c r="F68">
        <v>12</v>
      </c>
      <c r="G68" t="b">
        <v>0</v>
      </c>
      <c r="H68">
        <v>1</v>
      </c>
      <c r="I68">
        <v>2</v>
      </c>
      <c r="J68">
        <v>0.18</v>
      </c>
      <c r="K68">
        <v>0.21210000000000001</v>
      </c>
      <c r="L68">
        <v>0.55000000000000004</v>
      </c>
      <c r="M68">
        <v>0.1045</v>
      </c>
      <c r="N68">
        <v>6</v>
      </c>
      <c r="O68">
        <v>62</v>
      </c>
      <c r="P68">
        <v>68</v>
      </c>
      <c r="Q68" t="s">
        <v>72</v>
      </c>
      <c r="R68" t="s">
        <v>51</v>
      </c>
    </row>
    <row r="69" spans="1:18" x14ac:dyDescent="0.3">
      <c r="A69">
        <v>678</v>
      </c>
      <c r="B69" s="37">
        <v>40574</v>
      </c>
      <c r="C69">
        <v>1</v>
      </c>
      <c r="D69">
        <v>0</v>
      </c>
      <c r="E69">
        <v>1</v>
      </c>
      <c r="F69">
        <v>13</v>
      </c>
      <c r="G69" t="b">
        <v>0</v>
      </c>
      <c r="H69">
        <v>1</v>
      </c>
      <c r="I69">
        <v>2</v>
      </c>
      <c r="J69">
        <v>0.16</v>
      </c>
      <c r="K69">
        <v>0.2273</v>
      </c>
      <c r="L69">
        <v>0.59</v>
      </c>
      <c r="M69">
        <v>0</v>
      </c>
      <c r="N69">
        <v>2</v>
      </c>
      <c r="O69">
        <v>52</v>
      </c>
      <c r="P69">
        <v>54</v>
      </c>
      <c r="Q69" t="s">
        <v>68</v>
      </c>
      <c r="R69" t="s">
        <v>51</v>
      </c>
    </row>
    <row r="70" spans="1:18" x14ac:dyDescent="0.3">
      <c r="A70">
        <v>679</v>
      </c>
      <c r="B70" s="37">
        <v>40574</v>
      </c>
      <c r="C70">
        <v>1</v>
      </c>
      <c r="D70">
        <v>0</v>
      </c>
      <c r="E70">
        <v>1</v>
      </c>
      <c r="F70">
        <v>14</v>
      </c>
      <c r="G70" t="b">
        <v>0</v>
      </c>
      <c r="H70">
        <v>1</v>
      </c>
      <c r="I70">
        <v>2</v>
      </c>
      <c r="J70">
        <v>0.18</v>
      </c>
      <c r="K70">
        <v>0.19700000000000001</v>
      </c>
      <c r="L70">
        <v>0.55000000000000004</v>
      </c>
      <c r="M70">
        <v>0.1343</v>
      </c>
      <c r="N70">
        <v>1</v>
      </c>
      <c r="O70">
        <v>85</v>
      </c>
      <c r="P70">
        <v>86</v>
      </c>
      <c r="Q70" t="s">
        <v>68</v>
      </c>
      <c r="R70" t="s">
        <v>51</v>
      </c>
    </row>
    <row r="71" spans="1:18" x14ac:dyDescent="0.3">
      <c r="A71">
        <v>680</v>
      </c>
      <c r="B71" s="37">
        <v>40574</v>
      </c>
      <c r="C71">
        <v>1</v>
      </c>
      <c r="D71">
        <v>0</v>
      </c>
      <c r="E71">
        <v>1</v>
      </c>
      <c r="F71">
        <v>15</v>
      </c>
      <c r="G71" t="b">
        <v>0</v>
      </c>
      <c r="H71">
        <v>1</v>
      </c>
      <c r="I71">
        <v>2</v>
      </c>
      <c r="J71">
        <v>0.16</v>
      </c>
      <c r="K71">
        <v>0.18179999999999999</v>
      </c>
      <c r="L71">
        <v>0.59</v>
      </c>
      <c r="M71">
        <v>0.1343</v>
      </c>
      <c r="N71">
        <v>3</v>
      </c>
      <c r="O71">
        <v>41</v>
      </c>
      <c r="P71">
        <v>44</v>
      </c>
      <c r="Q71" t="s">
        <v>68</v>
      </c>
      <c r="R71" t="s">
        <v>51</v>
      </c>
    </row>
    <row r="72" spans="1:18" x14ac:dyDescent="0.3">
      <c r="A72">
        <v>681</v>
      </c>
      <c r="B72" s="37">
        <v>40574</v>
      </c>
      <c r="C72">
        <v>1</v>
      </c>
      <c r="D72">
        <v>0</v>
      </c>
      <c r="E72">
        <v>1</v>
      </c>
      <c r="F72">
        <v>16</v>
      </c>
      <c r="G72" t="b">
        <v>0</v>
      </c>
      <c r="H72">
        <v>1</v>
      </c>
      <c r="I72">
        <v>2</v>
      </c>
      <c r="J72">
        <v>0.16</v>
      </c>
      <c r="K72">
        <v>0.18179999999999999</v>
      </c>
      <c r="L72">
        <v>0.56000000000000005</v>
      </c>
      <c r="M72">
        <v>0.19400000000000001</v>
      </c>
      <c r="N72">
        <v>3</v>
      </c>
      <c r="O72">
        <v>83</v>
      </c>
      <c r="P72">
        <v>86</v>
      </c>
      <c r="Q72" t="s">
        <v>68</v>
      </c>
      <c r="R72" t="s">
        <v>51</v>
      </c>
    </row>
    <row r="73" spans="1:18" x14ac:dyDescent="0.3">
      <c r="A73">
        <v>682</v>
      </c>
      <c r="B73" s="37">
        <v>40574</v>
      </c>
      <c r="C73">
        <v>1</v>
      </c>
      <c r="D73">
        <v>0</v>
      </c>
      <c r="E73">
        <v>1</v>
      </c>
      <c r="F73">
        <v>17</v>
      </c>
      <c r="G73" t="b">
        <v>0</v>
      </c>
      <c r="H73">
        <v>1</v>
      </c>
      <c r="I73">
        <v>2</v>
      </c>
      <c r="J73">
        <v>0.16</v>
      </c>
      <c r="K73">
        <v>0.1515</v>
      </c>
      <c r="L73">
        <v>0.59</v>
      </c>
      <c r="M73">
        <v>0.19400000000000001</v>
      </c>
      <c r="N73">
        <v>6</v>
      </c>
      <c r="O73">
        <v>155</v>
      </c>
      <c r="P73">
        <v>161</v>
      </c>
      <c r="Q73" t="s">
        <v>68</v>
      </c>
      <c r="R73" t="s">
        <v>51</v>
      </c>
    </row>
    <row r="74" spans="1:18" x14ac:dyDescent="0.3">
      <c r="A74">
        <v>683</v>
      </c>
      <c r="B74" s="37">
        <v>40574</v>
      </c>
      <c r="C74">
        <v>1</v>
      </c>
      <c r="D74">
        <v>0</v>
      </c>
      <c r="E74">
        <v>1</v>
      </c>
      <c r="F74">
        <v>18</v>
      </c>
      <c r="G74" t="b">
        <v>0</v>
      </c>
      <c r="H74">
        <v>1</v>
      </c>
      <c r="I74">
        <v>2</v>
      </c>
      <c r="J74">
        <v>0.16</v>
      </c>
      <c r="K74">
        <v>0.1515</v>
      </c>
      <c r="L74">
        <v>0.55000000000000004</v>
      </c>
      <c r="M74">
        <v>0.22389999999999999</v>
      </c>
      <c r="N74">
        <v>3</v>
      </c>
      <c r="O74">
        <v>153</v>
      </c>
      <c r="P74">
        <v>156</v>
      </c>
      <c r="Q74" t="s">
        <v>68</v>
      </c>
      <c r="R74" t="s">
        <v>51</v>
      </c>
    </row>
    <row r="75" spans="1:18" x14ac:dyDescent="0.3">
      <c r="A75">
        <v>684</v>
      </c>
      <c r="B75" s="37">
        <v>40574</v>
      </c>
      <c r="C75">
        <v>1</v>
      </c>
      <c r="D75">
        <v>0</v>
      </c>
      <c r="E75">
        <v>1</v>
      </c>
      <c r="F75">
        <v>19</v>
      </c>
      <c r="G75" t="b">
        <v>0</v>
      </c>
      <c r="H75">
        <v>1</v>
      </c>
      <c r="I75">
        <v>1</v>
      </c>
      <c r="J75">
        <v>0.3</v>
      </c>
      <c r="K75">
        <v>0.31819999999999998</v>
      </c>
      <c r="L75">
        <v>0.61</v>
      </c>
      <c r="M75">
        <v>0.1045</v>
      </c>
      <c r="N75">
        <v>3</v>
      </c>
      <c r="O75">
        <v>108</v>
      </c>
      <c r="P75">
        <v>111</v>
      </c>
      <c r="Q75" t="s">
        <v>71</v>
      </c>
      <c r="R75" t="s">
        <v>51</v>
      </c>
    </row>
    <row r="76" spans="1:18" x14ac:dyDescent="0.3">
      <c r="A76">
        <v>685</v>
      </c>
      <c r="B76" s="37">
        <v>40574</v>
      </c>
      <c r="C76">
        <v>1</v>
      </c>
      <c r="D76">
        <v>0</v>
      </c>
      <c r="E76">
        <v>1</v>
      </c>
      <c r="F76">
        <v>20</v>
      </c>
      <c r="G76" t="b">
        <v>0</v>
      </c>
      <c r="H76">
        <v>1</v>
      </c>
      <c r="I76">
        <v>3</v>
      </c>
      <c r="J76">
        <v>0.16</v>
      </c>
      <c r="K76">
        <v>0.16669999999999999</v>
      </c>
      <c r="L76">
        <v>0.59</v>
      </c>
      <c r="M76">
        <v>0.16420000000000001</v>
      </c>
      <c r="N76">
        <v>0</v>
      </c>
      <c r="O76">
        <v>78</v>
      </c>
      <c r="P76">
        <v>78</v>
      </c>
      <c r="Q76" t="s">
        <v>71</v>
      </c>
      <c r="R76" t="s">
        <v>51</v>
      </c>
    </row>
    <row r="77" spans="1:18" x14ac:dyDescent="0.3">
      <c r="A77">
        <v>686</v>
      </c>
      <c r="B77" s="37">
        <v>40574</v>
      </c>
      <c r="C77">
        <v>1</v>
      </c>
      <c r="D77">
        <v>0</v>
      </c>
      <c r="E77">
        <v>1</v>
      </c>
      <c r="F77">
        <v>21</v>
      </c>
      <c r="G77" t="b">
        <v>0</v>
      </c>
      <c r="H77">
        <v>1</v>
      </c>
      <c r="I77">
        <v>3</v>
      </c>
      <c r="J77">
        <v>0.16</v>
      </c>
      <c r="K77">
        <v>0.19700000000000001</v>
      </c>
      <c r="L77">
        <v>0.59</v>
      </c>
      <c r="M77">
        <v>8.9599999999999999E-2</v>
      </c>
      <c r="N77">
        <v>3</v>
      </c>
      <c r="O77">
        <v>53</v>
      </c>
      <c r="P77">
        <v>56</v>
      </c>
      <c r="Q77" t="s">
        <v>71</v>
      </c>
      <c r="R77" t="s">
        <v>51</v>
      </c>
    </row>
    <row r="78" spans="1:18" x14ac:dyDescent="0.3">
      <c r="A78">
        <v>687</v>
      </c>
      <c r="B78" s="37">
        <v>40574</v>
      </c>
      <c r="C78">
        <v>1</v>
      </c>
      <c r="D78">
        <v>0</v>
      </c>
      <c r="E78">
        <v>1</v>
      </c>
      <c r="F78">
        <v>22</v>
      </c>
      <c r="G78" t="b">
        <v>0</v>
      </c>
      <c r="H78">
        <v>1</v>
      </c>
      <c r="I78">
        <v>2</v>
      </c>
      <c r="J78">
        <v>0.16</v>
      </c>
      <c r="K78">
        <v>0.18179999999999999</v>
      </c>
      <c r="L78">
        <v>0.59</v>
      </c>
      <c r="M78">
        <v>0.1045</v>
      </c>
      <c r="N78">
        <v>0</v>
      </c>
      <c r="O78">
        <v>34</v>
      </c>
      <c r="P78">
        <v>34</v>
      </c>
      <c r="Q78" t="s">
        <v>71</v>
      </c>
      <c r="R78" t="s">
        <v>51</v>
      </c>
    </row>
    <row r="79" spans="1:18" x14ac:dyDescent="0.3">
      <c r="A79">
        <v>688</v>
      </c>
      <c r="B79" s="37">
        <v>40574</v>
      </c>
      <c r="C79">
        <v>1</v>
      </c>
      <c r="D79">
        <v>0</v>
      </c>
      <c r="E79">
        <v>1</v>
      </c>
      <c r="F79">
        <v>23</v>
      </c>
      <c r="G79" t="b">
        <v>0</v>
      </c>
      <c r="H79">
        <v>1</v>
      </c>
      <c r="I79">
        <v>2</v>
      </c>
      <c r="J79">
        <v>0.16</v>
      </c>
      <c r="K79">
        <v>0.19700000000000001</v>
      </c>
      <c r="L79">
        <v>0.64</v>
      </c>
      <c r="M79">
        <v>8.9599999999999999E-2</v>
      </c>
      <c r="N79">
        <v>2</v>
      </c>
      <c r="O79">
        <v>15</v>
      </c>
      <c r="P79">
        <v>17</v>
      </c>
      <c r="Q79" t="s">
        <v>71</v>
      </c>
      <c r="R79" t="s">
        <v>51</v>
      </c>
    </row>
    <row r="80" spans="1:18" x14ac:dyDescent="0.3">
      <c r="A80">
        <v>689</v>
      </c>
      <c r="B80" s="37">
        <v>40575</v>
      </c>
      <c r="C80">
        <v>1</v>
      </c>
      <c r="D80">
        <v>0</v>
      </c>
      <c r="E80">
        <v>2</v>
      </c>
      <c r="F80">
        <v>0</v>
      </c>
      <c r="G80" t="b">
        <v>0</v>
      </c>
      <c r="H80">
        <v>2</v>
      </c>
      <c r="I80">
        <v>2</v>
      </c>
      <c r="J80">
        <v>0.16</v>
      </c>
      <c r="K80">
        <v>0.18179999999999999</v>
      </c>
      <c r="L80">
        <v>0.64</v>
      </c>
      <c r="M80">
        <v>0.1045</v>
      </c>
      <c r="N80">
        <v>2</v>
      </c>
      <c r="O80">
        <v>6</v>
      </c>
      <c r="P80">
        <v>8</v>
      </c>
      <c r="Q80" t="s">
        <v>72</v>
      </c>
      <c r="R80" t="s">
        <v>52</v>
      </c>
    </row>
    <row r="81" spans="1:18" x14ac:dyDescent="0.3">
      <c r="A81">
        <v>690</v>
      </c>
      <c r="B81" s="37">
        <v>40575</v>
      </c>
      <c r="C81">
        <v>1</v>
      </c>
      <c r="D81">
        <v>0</v>
      </c>
      <c r="E81">
        <v>2</v>
      </c>
      <c r="F81">
        <v>1</v>
      </c>
      <c r="G81" t="b">
        <v>0</v>
      </c>
      <c r="H81">
        <v>2</v>
      </c>
      <c r="I81">
        <v>2</v>
      </c>
      <c r="J81">
        <v>0.16</v>
      </c>
      <c r="K81">
        <v>0.18179999999999999</v>
      </c>
      <c r="L81">
        <v>0.69</v>
      </c>
      <c r="M81">
        <v>0.1045</v>
      </c>
      <c r="N81">
        <v>0</v>
      </c>
      <c r="O81">
        <v>3</v>
      </c>
      <c r="P81">
        <v>3</v>
      </c>
      <c r="Q81" t="s">
        <v>72</v>
      </c>
      <c r="R81" t="s">
        <v>52</v>
      </c>
    </row>
    <row r="82" spans="1:18" x14ac:dyDescent="0.3">
      <c r="A82">
        <v>691</v>
      </c>
      <c r="B82" s="37">
        <v>40575</v>
      </c>
      <c r="C82">
        <v>1</v>
      </c>
      <c r="D82">
        <v>0</v>
      </c>
      <c r="E82">
        <v>2</v>
      </c>
      <c r="F82">
        <v>2</v>
      </c>
      <c r="G82" t="b">
        <v>0</v>
      </c>
      <c r="H82">
        <v>2</v>
      </c>
      <c r="I82">
        <v>2</v>
      </c>
      <c r="J82">
        <v>0.16</v>
      </c>
      <c r="K82">
        <v>0.2273</v>
      </c>
      <c r="L82">
        <v>0.69</v>
      </c>
      <c r="M82">
        <v>0</v>
      </c>
      <c r="N82">
        <v>0</v>
      </c>
      <c r="O82">
        <v>2</v>
      </c>
      <c r="P82">
        <v>2</v>
      </c>
      <c r="Q82" t="s">
        <v>72</v>
      </c>
      <c r="R82" t="s">
        <v>52</v>
      </c>
    </row>
    <row r="83" spans="1:18" x14ac:dyDescent="0.3">
      <c r="A83">
        <v>692</v>
      </c>
      <c r="B83" s="37">
        <v>40575</v>
      </c>
      <c r="C83">
        <v>1</v>
      </c>
      <c r="D83">
        <v>0</v>
      </c>
      <c r="E83">
        <v>2</v>
      </c>
      <c r="F83">
        <v>3</v>
      </c>
      <c r="G83" t="b">
        <v>0</v>
      </c>
      <c r="H83">
        <v>2</v>
      </c>
      <c r="I83">
        <v>2</v>
      </c>
      <c r="J83">
        <v>0.16</v>
      </c>
      <c r="K83">
        <v>0.2273</v>
      </c>
      <c r="L83">
        <v>0.69</v>
      </c>
      <c r="M83">
        <v>0</v>
      </c>
      <c r="N83">
        <v>0</v>
      </c>
      <c r="O83">
        <v>2</v>
      </c>
      <c r="P83">
        <v>2</v>
      </c>
      <c r="Q83" t="s">
        <v>72</v>
      </c>
      <c r="R83" t="s">
        <v>52</v>
      </c>
    </row>
    <row r="84" spans="1:18" x14ac:dyDescent="0.3">
      <c r="A84">
        <v>693</v>
      </c>
      <c r="B84" s="37">
        <v>40575</v>
      </c>
      <c r="C84">
        <v>1</v>
      </c>
      <c r="D84">
        <v>0</v>
      </c>
      <c r="E84">
        <v>2</v>
      </c>
      <c r="F84">
        <v>5</v>
      </c>
      <c r="G84" t="b">
        <v>0</v>
      </c>
      <c r="H84">
        <v>2</v>
      </c>
      <c r="I84">
        <v>3</v>
      </c>
      <c r="J84">
        <v>0.14000000000000001</v>
      </c>
      <c r="K84">
        <v>0.21210000000000001</v>
      </c>
      <c r="L84">
        <v>0.93</v>
      </c>
      <c r="M84">
        <v>0</v>
      </c>
      <c r="N84">
        <v>0</v>
      </c>
      <c r="O84">
        <v>3</v>
      </c>
      <c r="P84">
        <v>3</v>
      </c>
      <c r="Q84" t="s">
        <v>72</v>
      </c>
      <c r="R84" t="s">
        <v>52</v>
      </c>
    </row>
    <row r="85" spans="1:18" x14ac:dyDescent="0.3">
      <c r="A85">
        <v>694</v>
      </c>
      <c r="B85" s="37">
        <v>40575</v>
      </c>
      <c r="C85">
        <v>1</v>
      </c>
      <c r="D85">
        <v>0</v>
      </c>
      <c r="E85">
        <v>2</v>
      </c>
      <c r="F85">
        <v>6</v>
      </c>
      <c r="G85" t="b">
        <v>0</v>
      </c>
      <c r="H85">
        <v>2</v>
      </c>
      <c r="I85">
        <v>3</v>
      </c>
      <c r="J85">
        <v>0.14000000000000001</v>
      </c>
      <c r="K85">
        <v>0.21210000000000001</v>
      </c>
      <c r="L85">
        <v>0.93</v>
      </c>
      <c r="M85">
        <v>0</v>
      </c>
      <c r="N85">
        <v>0</v>
      </c>
      <c r="O85">
        <v>22</v>
      </c>
      <c r="P85">
        <v>22</v>
      </c>
      <c r="Q85" t="s">
        <v>72</v>
      </c>
      <c r="R85" t="s">
        <v>52</v>
      </c>
    </row>
    <row r="86" spans="1:18" x14ac:dyDescent="0.3">
      <c r="A86">
        <v>695</v>
      </c>
      <c r="B86" s="37">
        <v>40575</v>
      </c>
      <c r="C86">
        <v>1</v>
      </c>
      <c r="D86">
        <v>0</v>
      </c>
      <c r="E86">
        <v>2</v>
      </c>
      <c r="F86">
        <v>7</v>
      </c>
      <c r="G86" t="b">
        <v>0</v>
      </c>
      <c r="H86">
        <v>2</v>
      </c>
      <c r="I86">
        <v>3</v>
      </c>
      <c r="J86">
        <v>0.16</v>
      </c>
      <c r="K86">
        <v>0.2273</v>
      </c>
      <c r="L86">
        <v>0.93</v>
      </c>
      <c r="M86">
        <v>0</v>
      </c>
      <c r="N86">
        <v>0</v>
      </c>
      <c r="O86">
        <v>52</v>
      </c>
      <c r="P86">
        <v>52</v>
      </c>
      <c r="Q86" t="s">
        <v>72</v>
      </c>
      <c r="R86" t="s">
        <v>52</v>
      </c>
    </row>
    <row r="87" spans="1:18" x14ac:dyDescent="0.3">
      <c r="A87">
        <v>696</v>
      </c>
      <c r="B87" s="37">
        <v>40575</v>
      </c>
      <c r="C87">
        <v>1</v>
      </c>
      <c r="D87">
        <v>0</v>
      </c>
      <c r="E87">
        <v>2</v>
      </c>
      <c r="F87">
        <v>8</v>
      </c>
      <c r="G87" t="b">
        <v>0</v>
      </c>
      <c r="H87">
        <v>2</v>
      </c>
      <c r="I87">
        <v>3</v>
      </c>
      <c r="J87">
        <v>0.16</v>
      </c>
      <c r="K87">
        <v>0.2273</v>
      </c>
      <c r="L87">
        <v>0.93</v>
      </c>
      <c r="M87">
        <v>0</v>
      </c>
      <c r="N87">
        <v>3</v>
      </c>
      <c r="O87">
        <v>132</v>
      </c>
      <c r="P87">
        <v>135</v>
      </c>
      <c r="Q87" t="s">
        <v>72</v>
      </c>
      <c r="R87" t="s">
        <v>52</v>
      </c>
    </row>
    <row r="88" spans="1:18" x14ac:dyDescent="0.3">
      <c r="A88">
        <v>697</v>
      </c>
      <c r="B88" s="37">
        <v>40575</v>
      </c>
      <c r="C88">
        <v>1</v>
      </c>
      <c r="D88">
        <v>0</v>
      </c>
      <c r="E88">
        <v>2</v>
      </c>
      <c r="F88">
        <v>9</v>
      </c>
      <c r="G88" t="b">
        <v>0</v>
      </c>
      <c r="H88">
        <v>2</v>
      </c>
      <c r="I88">
        <v>2</v>
      </c>
      <c r="J88">
        <v>0.16</v>
      </c>
      <c r="K88">
        <v>0.2273</v>
      </c>
      <c r="L88">
        <v>0.93</v>
      </c>
      <c r="M88">
        <v>0</v>
      </c>
      <c r="N88">
        <v>2</v>
      </c>
      <c r="O88">
        <v>114</v>
      </c>
      <c r="P88">
        <v>116</v>
      </c>
      <c r="Q88" t="s">
        <v>72</v>
      </c>
      <c r="R88" t="s">
        <v>52</v>
      </c>
    </row>
    <row r="89" spans="1:18" x14ac:dyDescent="0.3">
      <c r="A89">
        <v>698</v>
      </c>
      <c r="B89" s="37">
        <v>40575</v>
      </c>
      <c r="C89">
        <v>1</v>
      </c>
      <c r="D89">
        <v>0</v>
      </c>
      <c r="E89">
        <v>2</v>
      </c>
      <c r="F89">
        <v>10</v>
      </c>
      <c r="G89" t="b">
        <v>0</v>
      </c>
      <c r="H89">
        <v>2</v>
      </c>
      <c r="I89">
        <v>2</v>
      </c>
      <c r="J89">
        <v>0.16</v>
      </c>
      <c r="K89">
        <v>0.2273</v>
      </c>
      <c r="L89">
        <v>0.93</v>
      </c>
      <c r="M89">
        <v>0</v>
      </c>
      <c r="N89">
        <v>0</v>
      </c>
      <c r="O89">
        <v>47</v>
      </c>
      <c r="P89">
        <v>47</v>
      </c>
      <c r="Q89" t="s">
        <v>72</v>
      </c>
      <c r="R89" t="s">
        <v>52</v>
      </c>
    </row>
    <row r="90" spans="1:18" x14ac:dyDescent="0.3">
      <c r="A90">
        <v>699</v>
      </c>
      <c r="B90" s="37">
        <v>40575</v>
      </c>
      <c r="C90">
        <v>1</v>
      </c>
      <c r="D90">
        <v>0</v>
      </c>
      <c r="E90">
        <v>2</v>
      </c>
      <c r="F90">
        <v>11</v>
      </c>
      <c r="G90" t="b">
        <v>0</v>
      </c>
      <c r="H90">
        <v>2</v>
      </c>
      <c r="I90">
        <v>2</v>
      </c>
      <c r="J90">
        <v>0.18</v>
      </c>
      <c r="K90">
        <v>0.2424</v>
      </c>
      <c r="L90">
        <v>0.86</v>
      </c>
      <c r="M90">
        <v>0</v>
      </c>
      <c r="N90">
        <v>2</v>
      </c>
      <c r="O90">
        <v>49</v>
      </c>
      <c r="P90">
        <v>51</v>
      </c>
      <c r="Q90" t="s">
        <v>72</v>
      </c>
      <c r="R90" t="s">
        <v>52</v>
      </c>
    </row>
    <row r="91" spans="1:18" x14ac:dyDescent="0.3">
      <c r="A91">
        <v>700</v>
      </c>
      <c r="B91" s="37">
        <v>40575</v>
      </c>
      <c r="C91">
        <v>1</v>
      </c>
      <c r="D91">
        <v>0</v>
      </c>
      <c r="E91">
        <v>2</v>
      </c>
      <c r="F91">
        <v>12</v>
      </c>
      <c r="G91" t="b">
        <v>0</v>
      </c>
      <c r="H91">
        <v>2</v>
      </c>
      <c r="I91">
        <v>2</v>
      </c>
      <c r="J91">
        <v>0.2</v>
      </c>
      <c r="K91">
        <v>0.2576</v>
      </c>
      <c r="L91">
        <v>0.86</v>
      </c>
      <c r="M91">
        <v>0</v>
      </c>
      <c r="N91">
        <v>2</v>
      </c>
      <c r="O91">
        <v>53</v>
      </c>
      <c r="P91">
        <v>55</v>
      </c>
      <c r="Q91" t="s">
        <v>72</v>
      </c>
      <c r="R91" t="s">
        <v>52</v>
      </c>
    </row>
    <row r="92" spans="1:18" x14ac:dyDescent="0.3">
      <c r="A92">
        <v>701</v>
      </c>
      <c r="B92" s="37">
        <v>40575</v>
      </c>
      <c r="C92">
        <v>1</v>
      </c>
      <c r="D92">
        <v>0</v>
      </c>
      <c r="E92">
        <v>2</v>
      </c>
      <c r="F92">
        <v>13</v>
      </c>
      <c r="G92" t="b">
        <v>0</v>
      </c>
      <c r="H92">
        <v>2</v>
      </c>
      <c r="I92">
        <v>2</v>
      </c>
      <c r="J92">
        <v>0.2</v>
      </c>
      <c r="K92">
        <v>0.2576</v>
      </c>
      <c r="L92">
        <v>0.86</v>
      </c>
      <c r="M92">
        <v>0</v>
      </c>
      <c r="N92">
        <v>3</v>
      </c>
      <c r="O92">
        <v>49</v>
      </c>
      <c r="P92">
        <v>52</v>
      </c>
      <c r="Q92" t="s">
        <v>68</v>
      </c>
      <c r="R92" t="s">
        <v>52</v>
      </c>
    </row>
    <row r="93" spans="1:18" x14ac:dyDescent="0.3">
      <c r="A93">
        <v>702</v>
      </c>
      <c r="B93" s="37">
        <v>40575</v>
      </c>
      <c r="C93">
        <v>1</v>
      </c>
      <c r="D93">
        <v>0</v>
      </c>
      <c r="E93">
        <v>2</v>
      </c>
      <c r="F93">
        <v>14</v>
      </c>
      <c r="G93" t="b">
        <v>0</v>
      </c>
      <c r="H93">
        <v>2</v>
      </c>
      <c r="I93">
        <v>2</v>
      </c>
      <c r="J93">
        <v>0.22</v>
      </c>
      <c r="K93">
        <v>0.2576</v>
      </c>
      <c r="L93">
        <v>0.8</v>
      </c>
      <c r="M93">
        <v>8.9599999999999999E-2</v>
      </c>
      <c r="N93">
        <v>5</v>
      </c>
      <c r="O93">
        <v>49</v>
      </c>
      <c r="P93">
        <v>54</v>
      </c>
      <c r="Q93" t="s">
        <v>68</v>
      </c>
      <c r="R93" t="s">
        <v>52</v>
      </c>
    </row>
    <row r="94" spans="1:18" x14ac:dyDescent="0.3">
      <c r="A94">
        <v>703</v>
      </c>
      <c r="B94" s="37">
        <v>40575</v>
      </c>
      <c r="C94">
        <v>1</v>
      </c>
      <c r="D94">
        <v>0</v>
      </c>
      <c r="E94">
        <v>2</v>
      </c>
      <c r="F94">
        <v>15</v>
      </c>
      <c r="G94" t="b">
        <v>0</v>
      </c>
      <c r="H94">
        <v>2</v>
      </c>
      <c r="I94">
        <v>2</v>
      </c>
      <c r="J94">
        <v>0.24</v>
      </c>
      <c r="K94">
        <v>0.28789999999999999</v>
      </c>
      <c r="L94">
        <v>0.75</v>
      </c>
      <c r="M94">
        <v>0</v>
      </c>
      <c r="N94">
        <v>7</v>
      </c>
      <c r="O94">
        <v>45</v>
      </c>
      <c r="P94">
        <v>52</v>
      </c>
      <c r="Q94" t="s">
        <v>68</v>
      </c>
      <c r="R94" t="s">
        <v>52</v>
      </c>
    </row>
    <row r="95" spans="1:18" x14ac:dyDescent="0.3">
      <c r="A95">
        <v>704</v>
      </c>
      <c r="B95" s="37">
        <v>40575</v>
      </c>
      <c r="C95">
        <v>1</v>
      </c>
      <c r="D95">
        <v>0</v>
      </c>
      <c r="E95">
        <v>2</v>
      </c>
      <c r="F95">
        <v>16</v>
      </c>
      <c r="G95" t="b">
        <v>0</v>
      </c>
      <c r="H95">
        <v>2</v>
      </c>
      <c r="I95">
        <v>2</v>
      </c>
      <c r="J95">
        <v>0.24</v>
      </c>
      <c r="K95">
        <v>0.2424</v>
      </c>
      <c r="L95">
        <v>0.75</v>
      </c>
      <c r="M95">
        <v>0.1343</v>
      </c>
      <c r="N95">
        <v>3</v>
      </c>
      <c r="O95">
        <v>61</v>
      </c>
      <c r="P95">
        <v>64</v>
      </c>
      <c r="Q95" t="s">
        <v>68</v>
      </c>
      <c r="R95" t="s">
        <v>52</v>
      </c>
    </row>
    <row r="96" spans="1:18" x14ac:dyDescent="0.3">
      <c r="A96">
        <v>705</v>
      </c>
      <c r="B96" s="37">
        <v>40575</v>
      </c>
      <c r="C96">
        <v>1</v>
      </c>
      <c r="D96">
        <v>0</v>
      </c>
      <c r="E96">
        <v>2</v>
      </c>
      <c r="F96">
        <v>17</v>
      </c>
      <c r="G96" t="b">
        <v>0</v>
      </c>
      <c r="H96">
        <v>2</v>
      </c>
      <c r="I96">
        <v>2</v>
      </c>
      <c r="J96">
        <v>0.24</v>
      </c>
      <c r="K96">
        <v>0.28789999999999999</v>
      </c>
      <c r="L96">
        <v>0.75</v>
      </c>
      <c r="M96">
        <v>0</v>
      </c>
      <c r="N96">
        <v>4</v>
      </c>
      <c r="O96">
        <v>172</v>
      </c>
      <c r="P96">
        <v>176</v>
      </c>
      <c r="Q96" t="s">
        <v>68</v>
      </c>
      <c r="R96" t="s">
        <v>52</v>
      </c>
    </row>
    <row r="97" spans="1:18" x14ac:dyDescent="0.3">
      <c r="A97">
        <v>706</v>
      </c>
      <c r="B97" s="37">
        <v>40575</v>
      </c>
      <c r="C97">
        <v>1</v>
      </c>
      <c r="D97">
        <v>0</v>
      </c>
      <c r="E97">
        <v>2</v>
      </c>
      <c r="F97">
        <v>18</v>
      </c>
      <c r="G97" t="b">
        <v>0</v>
      </c>
      <c r="H97">
        <v>2</v>
      </c>
      <c r="I97">
        <v>2</v>
      </c>
      <c r="J97">
        <v>0.24</v>
      </c>
      <c r="K97">
        <v>0.2576</v>
      </c>
      <c r="L97">
        <v>0.81</v>
      </c>
      <c r="M97">
        <v>0.1045</v>
      </c>
      <c r="N97">
        <v>3</v>
      </c>
      <c r="O97">
        <v>165</v>
      </c>
      <c r="P97">
        <v>168</v>
      </c>
      <c r="Q97" t="s">
        <v>68</v>
      </c>
      <c r="R97" t="s">
        <v>52</v>
      </c>
    </row>
    <row r="98" spans="1:18" x14ac:dyDescent="0.3">
      <c r="A98">
        <v>707</v>
      </c>
      <c r="B98" s="37">
        <v>40575</v>
      </c>
      <c r="C98">
        <v>1</v>
      </c>
      <c r="D98">
        <v>0</v>
      </c>
      <c r="E98">
        <v>2</v>
      </c>
      <c r="F98">
        <v>19</v>
      </c>
      <c r="G98" t="b">
        <v>0</v>
      </c>
      <c r="H98">
        <v>2</v>
      </c>
      <c r="I98">
        <v>2</v>
      </c>
      <c r="J98">
        <v>0.24</v>
      </c>
      <c r="K98">
        <v>0.2424</v>
      </c>
      <c r="L98">
        <v>0.81</v>
      </c>
      <c r="M98">
        <v>0.1343</v>
      </c>
      <c r="N98">
        <v>3</v>
      </c>
      <c r="O98">
        <v>105</v>
      </c>
      <c r="P98">
        <v>108</v>
      </c>
      <c r="Q98" t="s">
        <v>71</v>
      </c>
      <c r="R98" t="s">
        <v>52</v>
      </c>
    </row>
    <row r="99" spans="1:18" x14ac:dyDescent="0.3">
      <c r="A99">
        <v>708</v>
      </c>
      <c r="B99" s="37">
        <v>40575</v>
      </c>
      <c r="C99">
        <v>1</v>
      </c>
      <c r="D99">
        <v>0</v>
      </c>
      <c r="E99">
        <v>2</v>
      </c>
      <c r="F99">
        <v>20</v>
      </c>
      <c r="G99" t="b">
        <v>0</v>
      </c>
      <c r="H99">
        <v>2</v>
      </c>
      <c r="I99">
        <v>2</v>
      </c>
      <c r="J99">
        <v>0.22</v>
      </c>
      <c r="K99">
        <v>0.2273</v>
      </c>
      <c r="L99">
        <v>0.87</v>
      </c>
      <c r="M99">
        <v>0.1343</v>
      </c>
      <c r="N99">
        <v>5</v>
      </c>
      <c r="O99">
        <v>69</v>
      </c>
      <c r="P99">
        <v>74</v>
      </c>
      <c r="Q99" t="s">
        <v>71</v>
      </c>
      <c r="R99" t="s">
        <v>52</v>
      </c>
    </row>
    <row r="100" spans="1:18" x14ac:dyDescent="0.3">
      <c r="A100">
        <v>709</v>
      </c>
      <c r="B100" s="37">
        <v>40575</v>
      </c>
      <c r="C100">
        <v>1</v>
      </c>
      <c r="D100">
        <v>0</v>
      </c>
      <c r="E100">
        <v>2</v>
      </c>
      <c r="F100">
        <v>21</v>
      </c>
      <c r="G100" t="b">
        <v>0</v>
      </c>
      <c r="H100">
        <v>2</v>
      </c>
      <c r="I100">
        <v>2</v>
      </c>
      <c r="J100">
        <v>0.22</v>
      </c>
      <c r="K100">
        <v>0.2273</v>
      </c>
      <c r="L100">
        <v>0.87</v>
      </c>
      <c r="M100">
        <v>0.1343</v>
      </c>
      <c r="N100">
        <v>0</v>
      </c>
      <c r="O100">
        <v>64</v>
      </c>
      <c r="P100">
        <v>64</v>
      </c>
      <c r="Q100" t="s">
        <v>71</v>
      </c>
      <c r="R100" t="s">
        <v>52</v>
      </c>
    </row>
    <row r="101" spans="1:18" x14ac:dyDescent="0.3">
      <c r="A101">
        <v>710</v>
      </c>
      <c r="B101" s="37">
        <v>40575</v>
      </c>
      <c r="C101">
        <v>1</v>
      </c>
      <c r="D101">
        <v>0</v>
      </c>
      <c r="E101">
        <v>2</v>
      </c>
      <c r="F101">
        <v>22</v>
      </c>
      <c r="G101" t="b">
        <v>0</v>
      </c>
      <c r="H101">
        <v>2</v>
      </c>
      <c r="I101">
        <v>2</v>
      </c>
      <c r="J101">
        <v>0.22</v>
      </c>
      <c r="K101">
        <v>0.2576</v>
      </c>
      <c r="L101">
        <v>0.87</v>
      </c>
      <c r="M101">
        <v>8.9599999999999999E-2</v>
      </c>
      <c r="N101">
        <v>2</v>
      </c>
      <c r="O101">
        <v>34</v>
      </c>
      <c r="P101">
        <v>36</v>
      </c>
      <c r="Q101" t="s">
        <v>71</v>
      </c>
      <c r="R101" t="s">
        <v>52</v>
      </c>
    </row>
    <row r="102" spans="1:18" x14ac:dyDescent="0.3">
      <c r="A102">
        <v>711</v>
      </c>
      <c r="B102" s="37">
        <v>40575</v>
      </c>
      <c r="C102">
        <v>1</v>
      </c>
      <c r="D102">
        <v>0</v>
      </c>
      <c r="E102">
        <v>2</v>
      </c>
      <c r="F102">
        <v>23</v>
      </c>
      <c r="G102" t="b">
        <v>0</v>
      </c>
      <c r="H102">
        <v>2</v>
      </c>
      <c r="I102">
        <v>3</v>
      </c>
      <c r="J102">
        <v>0.2</v>
      </c>
      <c r="K102">
        <v>0.19700000000000001</v>
      </c>
      <c r="L102">
        <v>0.93</v>
      </c>
      <c r="M102">
        <v>0.19400000000000001</v>
      </c>
      <c r="N102">
        <v>1</v>
      </c>
      <c r="O102">
        <v>15</v>
      </c>
      <c r="P102">
        <v>16</v>
      </c>
      <c r="Q102" t="s">
        <v>71</v>
      </c>
      <c r="R102" t="s">
        <v>52</v>
      </c>
    </row>
    <row r="103" spans="1:18" x14ac:dyDescent="0.3">
      <c r="A103">
        <v>712</v>
      </c>
      <c r="B103" s="37">
        <v>40576</v>
      </c>
      <c r="C103">
        <v>1</v>
      </c>
      <c r="D103">
        <v>0</v>
      </c>
      <c r="E103">
        <v>2</v>
      </c>
      <c r="F103">
        <v>0</v>
      </c>
      <c r="G103" t="b">
        <v>0</v>
      </c>
      <c r="H103">
        <v>3</v>
      </c>
      <c r="I103">
        <v>3</v>
      </c>
      <c r="J103">
        <v>0.22</v>
      </c>
      <c r="K103">
        <v>0.2424</v>
      </c>
      <c r="L103">
        <v>0.93</v>
      </c>
      <c r="M103">
        <v>0.1045</v>
      </c>
      <c r="N103">
        <v>0</v>
      </c>
      <c r="O103">
        <v>2</v>
      </c>
      <c r="P103">
        <v>2</v>
      </c>
      <c r="Q103" t="s">
        <v>72</v>
      </c>
      <c r="R103" t="s">
        <v>53</v>
      </c>
    </row>
    <row r="104" spans="1:18" x14ac:dyDescent="0.3">
      <c r="A104">
        <v>713</v>
      </c>
      <c r="B104" s="37">
        <v>40576</v>
      </c>
      <c r="C104">
        <v>1</v>
      </c>
      <c r="D104">
        <v>0</v>
      </c>
      <c r="E104">
        <v>2</v>
      </c>
      <c r="F104">
        <v>1</v>
      </c>
      <c r="G104" t="b">
        <v>0</v>
      </c>
      <c r="H104">
        <v>3</v>
      </c>
      <c r="I104">
        <v>3</v>
      </c>
      <c r="J104">
        <v>0.22</v>
      </c>
      <c r="K104">
        <v>0.2273</v>
      </c>
      <c r="L104">
        <v>0.93</v>
      </c>
      <c r="M104">
        <v>0.19400000000000001</v>
      </c>
      <c r="N104">
        <v>0</v>
      </c>
      <c r="O104">
        <v>3</v>
      </c>
      <c r="P104">
        <v>3</v>
      </c>
      <c r="Q104" t="s">
        <v>72</v>
      </c>
      <c r="R104" t="s">
        <v>53</v>
      </c>
    </row>
    <row r="105" spans="1:18" x14ac:dyDescent="0.3">
      <c r="A105">
        <v>714</v>
      </c>
      <c r="B105" s="37">
        <v>40576</v>
      </c>
      <c r="C105">
        <v>1</v>
      </c>
      <c r="D105">
        <v>0</v>
      </c>
      <c r="E105">
        <v>2</v>
      </c>
      <c r="F105">
        <v>2</v>
      </c>
      <c r="G105" t="b">
        <v>0</v>
      </c>
      <c r="H105">
        <v>3</v>
      </c>
      <c r="I105">
        <v>3</v>
      </c>
      <c r="J105">
        <v>0.22</v>
      </c>
      <c r="K105">
        <v>0.2273</v>
      </c>
      <c r="L105">
        <v>0.93</v>
      </c>
      <c r="M105">
        <v>0.1343</v>
      </c>
      <c r="N105">
        <v>4</v>
      </c>
      <c r="O105">
        <v>0</v>
      </c>
      <c r="P105">
        <v>4</v>
      </c>
      <c r="Q105" t="s">
        <v>72</v>
      </c>
      <c r="R105" t="s">
        <v>53</v>
      </c>
    </row>
    <row r="106" spans="1:18" x14ac:dyDescent="0.3">
      <c r="A106">
        <v>715</v>
      </c>
      <c r="B106" s="37">
        <v>40576</v>
      </c>
      <c r="C106">
        <v>1</v>
      </c>
      <c r="D106">
        <v>0</v>
      </c>
      <c r="E106">
        <v>2</v>
      </c>
      <c r="F106">
        <v>3</v>
      </c>
      <c r="G106" t="b">
        <v>0</v>
      </c>
      <c r="H106">
        <v>3</v>
      </c>
      <c r="I106">
        <v>3</v>
      </c>
      <c r="J106">
        <v>0.22</v>
      </c>
      <c r="K106">
        <v>0.2273</v>
      </c>
      <c r="L106">
        <v>0.93</v>
      </c>
      <c r="M106">
        <v>0.1343</v>
      </c>
      <c r="N106">
        <v>0</v>
      </c>
      <c r="O106">
        <v>1</v>
      </c>
      <c r="P106">
        <v>1</v>
      </c>
      <c r="Q106" t="s">
        <v>72</v>
      </c>
      <c r="R106" t="s">
        <v>53</v>
      </c>
    </row>
    <row r="107" spans="1:18" x14ac:dyDescent="0.3">
      <c r="A107">
        <v>716</v>
      </c>
      <c r="B107" s="37">
        <v>40576</v>
      </c>
      <c r="C107">
        <v>1</v>
      </c>
      <c r="D107">
        <v>0</v>
      </c>
      <c r="E107">
        <v>2</v>
      </c>
      <c r="F107">
        <v>4</v>
      </c>
      <c r="G107" t="b">
        <v>0</v>
      </c>
      <c r="H107">
        <v>3</v>
      </c>
      <c r="I107">
        <v>3</v>
      </c>
      <c r="J107">
        <v>0.22</v>
      </c>
      <c r="K107">
        <v>0.21210000000000001</v>
      </c>
      <c r="L107">
        <v>0.93</v>
      </c>
      <c r="M107">
        <v>0.28360000000000002</v>
      </c>
      <c r="N107">
        <v>0</v>
      </c>
      <c r="O107">
        <v>1</v>
      </c>
      <c r="P107">
        <v>1</v>
      </c>
      <c r="Q107" t="s">
        <v>72</v>
      </c>
      <c r="R107" t="s">
        <v>53</v>
      </c>
    </row>
    <row r="108" spans="1:18" x14ac:dyDescent="0.3">
      <c r="A108">
        <v>717</v>
      </c>
      <c r="B108" s="37">
        <v>40576</v>
      </c>
      <c r="C108">
        <v>1</v>
      </c>
      <c r="D108">
        <v>0</v>
      </c>
      <c r="E108">
        <v>2</v>
      </c>
      <c r="F108">
        <v>5</v>
      </c>
      <c r="G108" t="b">
        <v>0</v>
      </c>
      <c r="H108">
        <v>3</v>
      </c>
      <c r="I108">
        <v>3</v>
      </c>
      <c r="J108">
        <v>0.22</v>
      </c>
      <c r="K108">
        <v>0.2424</v>
      </c>
      <c r="L108">
        <v>0.93</v>
      </c>
      <c r="M108">
        <v>0.1045</v>
      </c>
      <c r="N108">
        <v>0</v>
      </c>
      <c r="O108">
        <v>3</v>
      </c>
      <c r="P108">
        <v>3</v>
      </c>
      <c r="Q108" t="s">
        <v>72</v>
      </c>
      <c r="R108" t="s">
        <v>53</v>
      </c>
    </row>
    <row r="109" spans="1:18" x14ac:dyDescent="0.3">
      <c r="A109">
        <v>718</v>
      </c>
      <c r="B109" s="37">
        <v>40576</v>
      </c>
      <c r="C109">
        <v>1</v>
      </c>
      <c r="D109">
        <v>0</v>
      </c>
      <c r="E109">
        <v>2</v>
      </c>
      <c r="F109">
        <v>6</v>
      </c>
      <c r="G109" t="b">
        <v>0</v>
      </c>
      <c r="H109">
        <v>3</v>
      </c>
      <c r="I109">
        <v>3</v>
      </c>
      <c r="J109">
        <v>0.22</v>
      </c>
      <c r="K109">
        <v>0.2424</v>
      </c>
      <c r="L109">
        <v>0.93</v>
      </c>
      <c r="M109">
        <v>0.1045</v>
      </c>
      <c r="N109">
        <v>1</v>
      </c>
      <c r="O109">
        <v>17</v>
      </c>
      <c r="P109">
        <v>18</v>
      </c>
      <c r="Q109" t="s">
        <v>72</v>
      </c>
      <c r="R109" t="s">
        <v>53</v>
      </c>
    </row>
    <row r="110" spans="1:18" x14ac:dyDescent="0.3">
      <c r="A110">
        <v>719</v>
      </c>
      <c r="B110" s="37">
        <v>40576</v>
      </c>
      <c r="C110">
        <v>1</v>
      </c>
      <c r="D110">
        <v>0</v>
      </c>
      <c r="E110">
        <v>2</v>
      </c>
      <c r="F110">
        <v>7</v>
      </c>
      <c r="G110" t="b">
        <v>0</v>
      </c>
      <c r="H110">
        <v>3</v>
      </c>
      <c r="I110">
        <v>3</v>
      </c>
      <c r="J110">
        <v>0.22</v>
      </c>
      <c r="K110">
        <v>0.21210000000000001</v>
      </c>
      <c r="L110">
        <v>0.93</v>
      </c>
      <c r="M110">
        <v>0.22389999999999999</v>
      </c>
      <c r="N110">
        <v>1</v>
      </c>
      <c r="O110">
        <v>48</v>
      </c>
      <c r="P110">
        <v>49</v>
      </c>
      <c r="Q110" t="s">
        <v>72</v>
      </c>
      <c r="R110" t="s">
        <v>53</v>
      </c>
    </row>
    <row r="111" spans="1:18" x14ac:dyDescent="0.3">
      <c r="A111">
        <v>720</v>
      </c>
      <c r="B111" s="37">
        <v>40576</v>
      </c>
      <c r="C111">
        <v>1</v>
      </c>
      <c r="D111">
        <v>0</v>
      </c>
      <c r="E111">
        <v>2</v>
      </c>
      <c r="F111">
        <v>8</v>
      </c>
      <c r="G111" t="b">
        <v>0</v>
      </c>
      <c r="H111">
        <v>3</v>
      </c>
      <c r="I111">
        <v>3</v>
      </c>
      <c r="J111">
        <v>0.22</v>
      </c>
      <c r="K111">
        <v>0.21210000000000001</v>
      </c>
      <c r="L111">
        <v>0.93</v>
      </c>
      <c r="M111">
        <v>0.22389999999999999</v>
      </c>
      <c r="N111">
        <v>1</v>
      </c>
      <c r="O111">
        <v>154</v>
      </c>
      <c r="P111">
        <v>155</v>
      </c>
      <c r="Q111" t="s">
        <v>72</v>
      </c>
      <c r="R111" t="s">
        <v>53</v>
      </c>
    </row>
    <row r="112" spans="1:18" x14ac:dyDescent="0.3">
      <c r="A112">
        <v>721</v>
      </c>
      <c r="B112" s="37">
        <v>40576</v>
      </c>
      <c r="C112">
        <v>1</v>
      </c>
      <c r="D112">
        <v>0</v>
      </c>
      <c r="E112">
        <v>2</v>
      </c>
      <c r="F112">
        <v>9</v>
      </c>
      <c r="G112" t="b">
        <v>0</v>
      </c>
      <c r="H112">
        <v>3</v>
      </c>
      <c r="I112">
        <v>2</v>
      </c>
      <c r="J112">
        <v>0.24</v>
      </c>
      <c r="K112">
        <v>0.2576</v>
      </c>
      <c r="L112">
        <v>0.93</v>
      </c>
      <c r="M112">
        <v>8.9599999999999999E-2</v>
      </c>
      <c r="N112">
        <v>4</v>
      </c>
      <c r="O112">
        <v>119</v>
      </c>
      <c r="P112">
        <v>123</v>
      </c>
      <c r="Q112" t="s">
        <v>72</v>
      </c>
      <c r="R112" t="s">
        <v>53</v>
      </c>
    </row>
    <row r="113" spans="1:18" x14ac:dyDescent="0.3">
      <c r="A113">
        <v>722</v>
      </c>
      <c r="B113" s="37">
        <v>40576</v>
      </c>
      <c r="C113">
        <v>1</v>
      </c>
      <c r="D113">
        <v>0</v>
      </c>
      <c r="E113">
        <v>2</v>
      </c>
      <c r="F113">
        <v>10</v>
      </c>
      <c r="G113" t="b">
        <v>0</v>
      </c>
      <c r="H113">
        <v>3</v>
      </c>
      <c r="I113">
        <v>2</v>
      </c>
      <c r="J113">
        <v>0.22</v>
      </c>
      <c r="K113">
        <v>0.2727</v>
      </c>
      <c r="L113">
        <v>1</v>
      </c>
      <c r="M113">
        <v>0</v>
      </c>
      <c r="N113">
        <v>2</v>
      </c>
      <c r="O113">
        <v>59</v>
      </c>
      <c r="P113">
        <v>61</v>
      </c>
      <c r="Q113" t="s">
        <v>72</v>
      </c>
      <c r="R113" t="s">
        <v>53</v>
      </c>
    </row>
    <row r="114" spans="1:18" x14ac:dyDescent="0.3">
      <c r="A114">
        <v>723</v>
      </c>
      <c r="B114" s="37">
        <v>40576</v>
      </c>
      <c r="C114">
        <v>1</v>
      </c>
      <c r="D114">
        <v>0</v>
      </c>
      <c r="E114">
        <v>2</v>
      </c>
      <c r="F114">
        <v>11</v>
      </c>
      <c r="G114" t="b">
        <v>0</v>
      </c>
      <c r="H114">
        <v>3</v>
      </c>
      <c r="I114">
        <v>2</v>
      </c>
      <c r="J114">
        <v>0.24</v>
      </c>
      <c r="K114">
        <v>0.2273</v>
      </c>
      <c r="L114">
        <v>0.93</v>
      </c>
      <c r="M114">
        <v>0.19400000000000001</v>
      </c>
      <c r="N114">
        <v>5</v>
      </c>
      <c r="O114">
        <v>47</v>
      </c>
      <c r="P114">
        <v>52</v>
      </c>
      <c r="Q114" t="s">
        <v>72</v>
      </c>
      <c r="R114" t="s">
        <v>53</v>
      </c>
    </row>
    <row r="115" spans="1:18" x14ac:dyDescent="0.3">
      <c r="A115">
        <v>724</v>
      </c>
      <c r="B115" s="37">
        <v>40576</v>
      </c>
      <c r="C115">
        <v>1</v>
      </c>
      <c r="D115">
        <v>0</v>
      </c>
      <c r="E115">
        <v>2</v>
      </c>
      <c r="F115">
        <v>12</v>
      </c>
      <c r="G115" t="b">
        <v>0</v>
      </c>
      <c r="H115">
        <v>3</v>
      </c>
      <c r="I115">
        <v>2</v>
      </c>
      <c r="J115">
        <v>0.24</v>
      </c>
      <c r="K115">
        <v>0.2273</v>
      </c>
      <c r="L115">
        <v>0.93</v>
      </c>
      <c r="M115">
        <v>0.22389999999999999</v>
      </c>
      <c r="N115">
        <v>3</v>
      </c>
      <c r="O115">
        <v>61</v>
      </c>
      <c r="P115">
        <v>64</v>
      </c>
      <c r="Q115" t="s">
        <v>72</v>
      </c>
      <c r="R115" t="s">
        <v>53</v>
      </c>
    </row>
    <row r="116" spans="1:18" x14ac:dyDescent="0.3">
      <c r="A116">
        <v>725</v>
      </c>
      <c r="B116" s="37">
        <v>40576</v>
      </c>
      <c r="C116">
        <v>1</v>
      </c>
      <c r="D116">
        <v>0</v>
      </c>
      <c r="E116">
        <v>2</v>
      </c>
      <c r="F116">
        <v>13</v>
      </c>
      <c r="G116" t="b">
        <v>0</v>
      </c>
      <c r="H116">
        <v>3</v>
      </c>
      <c r="I116">
        <v>1</v>
      </c>
      <c r="J116">
        <v>0.34</v>
      </c>
      <c r="K116">
        <v>0.33329999999999999</v>
      </c>
      <c r="L116">
        <v>0.93</v>
      </c>
      <c r="M116">
        <v>0.16420000000000001</v>
      </c>
      <c r="N116">
        <v>1</v>
      </c>
      <c r="O116">
        <v>74</v>
      </c>
      <c r="P116">
        <v>75</v>
      </c>
      <c r="Q116" t="s">
        <v>68</v>
      </c>
      <c r="R116" t="s">
        <v>53</v>
      </c>
    </row>
    <row r="117" spans="1:18" x14ac:dyDescent="0.3">
      <c r="A117">
        <v>726</v>
      </c>
      <c r="B117" s="37">
        <v>40576</v>
      </c>
      <c r="C117">
        <v>1</v>
      </c>
      <c r="D117">
        <v>0</v>
      </c>
      <c r="E117">
        <v>2</v>
      </c>
      <c r="F117">
        <v>14</v>
      </c>
      <c r="G117" t="b">
        <v>0</v>
      </c>
      <c r="H117">
        <v>3</v>
      </c>
      <c r="I117">
        <v>1</v>
      </c>
      <c r="J117">
        <v>0.38</v>
      </c>
      <c r="K117">
        <v>0.39389999999999997</v>
      </c>
      <c r="L117">
        <v>0.82</v>
      </c>
      <c r="M117">
        <v>0.3881</v>
      </c>
      <c r="N117">
        <v>2</v>
      </c>
      <c r="O117">
        <v>61</v>
      </c>
      <c r="P117">
        <v>63</v>
      </c>
      <c r="Q117" t="s">
        <v>68</v>
      </c>
      <c r="R117" t="s">
        <v>53</v>
      </c>
    </row>
    <row r="118" spans="1:18" x14ac:dyDescent="0.3">
      <c r="A118">
        <v>727</v>
      </c>
      <c r="B118" s="37">
        <v>40576</v>
      </c>
      <c r="C118">
        <v>1</v>
      </c>
      <c r="D118">
        <v>0</v>
      </c>
      <c r="E118">
        <v>2</v>
      </c>
      <c r="F118">
        <v>15</v>
      </c>
      <c r="G118" t="b">
        <v>0</v>
      </c>
      <c r="H118">
        <v>3</v>
      </c>
      <c r="I118">
        <v>1</v>
      </c>
      <c r="J118">
        <v>0.38</v>
      </c>
      <c r="K118">
        <v>0.39389999999999997</v>
      </c>
      <c r="L118">
        <v>0.76</v>
      </c>
      <c r="M118">
        <v>0.32840000000000003</v>
      </c>
      <c r="N118">
        <v>10</v>
      </c>
      <c r="O118">
        <v>66</v>
      </c>
      <c r="P118">
        <v>76</v>
      </c>
      <c r="Q118" t="s">
        <v>68</v>
      </c>
      <c r="R118" t="s">
        <v>53</v>
      </c>
    </row>
    <row r="119" spans="1:18" x14ac:dyDescent="0.3">
      <c r="A119">
        <v>728</v>
      </c>
      <c r="B119" s="37">
        <v>40576</v>
      </c>
      <c r="C119">
        <v>1</v>
      </c>
      <c r="D119">
        <v>0</v>
      </c>
      <c r="E119">
        <v>2</v>
      </c>
      <c r="F119">
        <v>16</v>
      </c>
      <c r="G119" t="b">
        <v>0</v>
      </c>
      <c r="H119">
        <v>3</v>
      </c>
      <c r="I119">
        <v>1</v>
      </c>
      <c r="J119">
        <v>0.36</v>
      </c>
      <c r="K119">
        <v>0.33329999999999999</v>
      </c>
      <c r="L119">
        <v>0.71</v>
      </c>
      <c r="M119">
        <v>0.29849999999999999</v>
      </c>
      <c r="N119">
        <v>8</v>
      </c>
      <c r="O119">
        <v>95</v>
      </c>
      <c r="P119">
        <v>103</v>
      </c>
      <c r="Q119" t="s">
        <v>68</v>
      </c>
      <c r="R119" t="s">
        <v>53</v>
      </c>
    </row>
    <row r="120" spans="1:18" x14ac:dyDescent="0.3">
      <c r="A120">
        <v>729</v>
      </c>
      <c r="B120" s="37">
        <v>40576</v>
      </c>
      <c r="C120">
        <v>1</v>
      </c>
      <c r="D120">
        <v>0</v>
      </c>
      <c r="E120">
        <v>2</v>
      </c>
      <c r="F120">
        <v>17</v>
      </c>
      <c r="G120" t="b">
        <v>0</v>
      </c>
      <c r="H120">
        <v>3</v>
      </c>
      <c r="I120">
        <v>1</v>
      </c>
      <c r="J120">
        <v>0.36</v>
      </c>
      <c r="K120">
        <v>0.31819999999999998</v>
      </c>
      <c r="L120">
        <v>0.53</v>
      </c>
      <c r="M120">
        <v>0.52239999999999998</v>
      </c>
      <c r="N120">
        <v>7</v>
      </c>
      <c r="O120">
        <v>183</v>
      </c>
      <c r="P120">
        <v>190</v>
      </c>
      <c r="Q120" t="s">
        <v>68</v>
      </c>
      <c r="R120" t="s">
        <v>53</v>
      </c>
    </row>
    <row r="121" spans="1:18" x14ac:dyDescent="0.3">
      <c r="A121">
        <v>730</v>
      </c>
      <c r="B121" s="37">
        <v>40576</v>
      </c>
      <c r="C121">
        <v>1</v>
      </c>
      <c r="D121">
        <v>0</v>
      </c>
      <c r="E121">
        <v>2</v>
      </c>
      <c r="F121">
        <v>18</v>
      </c>
      <c r="G121" t="b">
        <v>0</v>
      </c>
      <c r="H121">
        <v>3</v>
      </c>
      <c r="I121">
        <v>1</v>
      </c>
      <c r="J121">
        <v>0.34</v>
      </c>
      <c r="K121">
        <v>0.28789999999999999</v>
      </c>
      <c r="L121">
        <v>0.42</v>
      </c>
      <c r="M121">
        <v>0.55220000000000002</v>
      </c>
      <c r="N121">
        <v>7</v>
      </c>
      <c r="O121">
        <v>175</v>
      </c>
      <c r="P121">
        <v>182</v>
      </c>
      <c r="Q121" t="s">
        <v>68</v>
      </c>
      <c r="R121" t="s">
        <v>53</v>
      </c>
    </row>
    <row r="122" spans="1:18" x14ac:dyDescent="0.3">
      <c r="A122">
        <v>731</v>
      </c>
      <c r="B122" s="37">
        <v>40576</v>
      </c>
      <c r="C122">
        <v>1</v>
      </c>
      <c r="D122">
        <v>0</v>
      </c>
      <c r="E122">
        <v>2</v>
      </c>
      <c r="F122">
        <v>19</v>
      </c>
      <c r="G122" t="b">
        <v>0</v>
      </c>
      <c r="H122">
        <v>3</v>
      </c>
      <c r="I122">
        <v>1</v>
      </c>
      <c r="J122">
        <v>0.28000000000000003</v>
      </c>
      <c r="K122">
        <v>0.2424</v>
      </c>
      <c r="L122">
        <v>0.45</v>
      </c>
      <c r="M122">
        <v>0.49249999999999999</v>
      </c>
      <c r="N122">
        <v>3</v>
      </c>
      <c r="O122">
        <v>88</v>
      </c>
      <c r="P122">
        <v>91</v>
      </c>
      <c r="Q122" t="s">
        <v>71</v>
      </c>
      <c r="R122" t="s">
        <v>53</v>
      </c>
    </row>
    <row r="123" spans="1:18" x14ac:dyDescent="0.3">
      <c r="A123">
        <v>732</v>
      </c>
      <c r="B123" s="37">
        <v>40576</v>
      </c>
      <c r="C123">
        <v>1</v>
      </c>
      <c r="D123">
        <v>0</v>
      </c>
      <c r="E123">
        <v>2</v>
      </c>
      <c r="F123">
        <v>20</v>
      </c>
      <c r="G123" t="b">
        <v>0</v>
      </c>
      <c r="H123">
        <v>3</v>
      </c>
      <c r="I123">
        <v>1</v>
      </c>
      <c r="J123">
        <v>0.24</v>
      </c>
      <c r="K123">
        <v>0.19700000000000001</v>
      </c>
      <c r="L123">
        <v>0.48</v>
      </c>
      <c r="M123">
        <v>0.55220000000000002</v>
      </c>
      <c r="N123">
        <v>4</v>
      </c>
      <c r="O123">
        <v>71</v>
      </c>
      <c r="P123">
        <v>75</v>
      </c>
      <c r="Q123" t="s">
        <v>71</v>
      </c>
      <c r="R123" t="s">
        <v>53</v>
      </c>
    </row>
    <row r="124" spans="1:18" x14ac:dyDescent="0.3">
      <c r="A124">
        <v>733</v>
      </c>
      <c r="B124" s="37">
        <v>40576</v>
      </c>
      <c r="C124">
        <v>1</v>
      </c>
      <c r="D124">
        <v>0</v>
      </c>
      <c r="E124">
        <v>2</v>
      </c>
      <c r="F124">
        <v>21</v>
      </c>
      <c r="G124" t="b">
        <v>0</v>
      </c>
      <c r="H124">
        <v>3</v>
      </c>
      <c r="I124">
        <v>1</v>
      </c>
      <c r="J124">
        <v>0.22</v>
      </c>
      <c r="K124">
        <v>0.19700000000000001</v>
      </c>
      <c r="L124">
        <v>0.47</v>
      </c>
      <c r="M124">
        <v>0.32840000000000003</v>
      </c>
      <c r="N124">
        <v>1</v>
      </c>
      <c r="O124">
        <v>62</v>
      </c>
      <c r="P124">
        <v>63</v>
      </c>
      <c r="Q124" t="s">
        <v>71</v>
      </c>
      <c r="R124" t="s">
        <v>53</v>
      </c>
    </row>
    <row r="125" spans="1:18" x14ac:dyDescent="0.3">
      <c r="A125">
        <v>734</v>
      </c>
      <c r="B125" s="37">
        <v>40576</v>
      </c>
      <c r="C125">
        <v>1</v>
      </c>
      <c r="D125">
        <v>0</v>
      </c>
      <c r="E125">
        <v>2</v>
      </c>
      <c r="F125">
        <v>22</v>
      </c>
      <c r="G125" t="b">
        <v>0</v>
      </c>
      <c r="H125">
        <v>3</v>
      </c>
      <c r="I125">
        <v>1</v>
      </c>
      <c r="J125">
        <v>0.22</v>
      </c>
      <c r="K125">
        <v>0.21210000000000001</v>
      </c>
      <c r="L125">
        <v>0.44</v>
      </c>
      <c r="M125">
        <v>0.25369999999999998</v>
      </c>
      <c r="N125">
        <v>5</v>
      </c>
      <c r="O125">
        <v>35</v>
      </c>
      <c r="P125">
        <v>40</v>
      </c>
      <c r="Q125" t="s">
        <v>71</v>
      </c>
      <c r="R125" t="s">
        <v>53</v>
      </c>
    </row>
    <row r="126" spans="1:18" x14ac:dyDescent="0.3">
      <c r="A126">
        <v>735</v>
      </c>
      <c r="B126" s="37">
        <v>40576</v>
      </c>
      <c r="C126">
        <v>1</v>
      </c>
      <c r="D126">
        <v>0</v>
      </c>
      <c r="E126">
        <v>2</v>
      </c>
      <c r="F126">
        <v>23</v>
      </c>
      <c r="G126" t="b">
        <v>0</v>
      </c>
      <c r="H126">
        <v>3</v>
      </c>
      <c r="I126">
        <v>1</v>
      </c>
      <c r="J126">
        <v>0.2</v>
      </c>
      <c r="K126">
        <v>0.16669999999999999</v>
      </c>
      <c r="L126">
        <v>0.44</v>
      </c>
      <c r="M126">
        <v>0.44779999999999998</v>
      </c>
      <c r="N126">
        <v>3</v>
      </c>
      <c r="O126">
        <v>29</v>
      </c>
      <c r="P126">
        <v>32</v>
      </c>
      <c r="Q126" t="s">
        <v>71</v>
      </c>
      <c r="R126" t="s">
        <v>53</v>
      </c>
    </row>
    <row r="127" spans="1:18" x14ac:dyDescent="0.3">
      <c r="A127">
        <v>736</v>
      </c>
      <c r="B127" s="37">
        <v>40577</v>
      </c>
      <c r="C127">
        <v>1</v>
      </c>
      <c r="D127">
        <v>0</v>
      </c>
      <c r="E127">
        <v>2</v>
      </c>
      <c r="F127">
        <v>0</v>
      </c>
      <c r="G127" t="b">
        <v>0</v>
      </c>
      <c r="H127">
        <v>4</v>
      </c>
      <c r="I127">
        <v>1</v>
      </c>
      <c r="J127">
        <v>0.2</v>
      </c>
      <c r="K127">
        <v>0.16669999999999999</v>
      </c>
      <c r="L127">
        <v>0.4</v>
      </c>
      <c r="M127">
        <v>0.44779999999999998</v>
      </c>
      <c r="N127">
        <v>1</v>
      </c>
      <c r="O127">
        <v>11</v>
      </c>
      <c r="P127">
        <v>12</v>
      </c>
      <c r="Q127" t="s">
        <v>72</v>
      </c>
      <c r="R127" t="s">
        <v>54</v>
      </c>
    </row>
    <row r="128" spans="1:18" x14ac:dyDescent="0.3">
      <c r="A128">
        <v>737</v>
      </c>
      <c r="B128" s="37">
        <v>40577</v>
      </c>
      <c r="C128">
        <v>1</v>
      </c>
      <c r="D128">
        <v>0</v>
      </c>
      <c r="E128">
        <v>2</v>
      </c>
      <c r="F128">
        <v>1</v>
      </c>
      <c r="G128" t="b">
        <v>0</v>
      </c>
      <c r="H128">
        <v>4</v>
      </c>
      <c r="I128">
        <v>1</v>
      </c>
      <c r="J128">
        <v>0.2</v>
      </c>
      <c r="K128">
        <v>0.1515</v>
      </c>
      <c r="L128">
        <v>0.44</v>
      </c>
      <c r="M128">
        <v>0.52239999999999998</v>
      </c>
      <c r="N128">
        <v>0</v>
      </c>
      <c r="O128">
        <v>5</v>
      </c>
      <c r="P128">
        <v>5</v>
      </c>
      <c r="Q128" t="s">
        <v>72</v>
      </c>
      <c r="R128" t="s">
        <v>54</v>
      </c>
    </row>
    <row r="129" spans="1:18" x14ac:dyDescent="0.3">
      <c r="A129">
        <v>738</v>
      </c>
      <c r="B129" s="37">
        <v>40577</v>
      </c>
      <c r="C129">
        <v>1</v>
      </c>
      <c r="D129">
        <v>0</v>
      </c>
      <c r="E129">
        <v>2</v>
      </c>
      <c r="F129">
        <v>2</v>
      </c>
      <c r="G129" t="b">
        <v>0</v>
      </c>
      <c r="H129">
        <v>4</v>
      </c>
      <c r="I129">
        <v>1</v>
      </c>
      <c r="J129">
        <v>0.18</v>
      </c>
      <c r="K129">
        <v>0.16669999999999999</v>
      </c>
      <c r="L129">
        <v>0.43</v>
      </c>
      <c r="M129">
        <v>0.25369999999999998</v>
      </c>
      <c r="N129">
        <v>0</v>
      </c>
      <c r="O129">
        <v>2</v>
      </c>
      <c r="P129">
        <v>2</v>
      </c>
      <c r="Q129" t="s">
        <v>72</v>
      </c>
      <c r="R129" t="s">
        <v>54</v>
      </c>
    </row>
    <row r="130" spans="1:18" x14ac:dyDescent="0.3">
      <c r="A130">
        <v>739</v>
      </c>
      <c r="B130" s="37">
        <v>40577</v>
      </c>
      <c r="C130">
        <v>1</v>
      </c>
      <c r="D130">
        <v>0</v>
      </c>
      <c r="E130">
        <v>2</v>
      </c>
      <c r="F130">
        <v>3</v>
      </c>
      <c r="G130" t="b">
        <v>0</v>
      </c>
      <c r="H130">
        <v>4</v>
      </c>
      <c r="I130">
        <v>1</v>
      </c>
      <c r="J130">
        <v>0.18</v>
      </c>
      <c r="K130">
        <v>0.16669999999999999</v>
      </c>
      <c r="L130">
        <v>0.43</v>
      </c>
      <c r="M130">
        <v>0.25369999999999998</v>
      </c>
      <c r="N130">
        <v>0</v>
      </c>
      <c r="O130">
        <v>1</v>
      </c>
      <c r="P130">
        <v>1</v>
      </c>
      <c r="Q130" t="s">
        <v>72</v>
      </c>
      <c r="R130" t="s">
        <v>54</v>
      </c>
    </row>
    <row r="131" spans="1:18" x14ac:dyDescent="0.3">
      <c r="A131">
        <v>740</v>
      </c>
      <c r="B131" s="37">
        <v>40577</v>
      </c>
      <c r="C131">
        <v>1</v>
      </c>
      <c r="D131">
        <v>0</v>
      </c>
      <c r="E131">
        <v>2</v>
      </c>
      <c r="F131">
        <v>5</v>
      </c>
      <c r="G131" t="b">
        <v>0</v>
      </c>
      <c r="H131">
        <v>4</v>
      </c>
      <c r="I131">
        <v>1</v>
      </c>
      <c r="J131">
        <v>0.16</v>
      </c>
      <c r="K131">
        <v>0.13639999999999999</v>
      </c>
      <c r="L131">
        <v>0.5</v>
      </c>
      <c r="M131">
        <v>0.29849999999999999</v>
      </c>
      <c r="N131">
        <v>0</v>
      </c>
      <c r="O131">
        <v>2</v>
      </c>
      <c r="P131">
        <v>2</v>
      </c>
      <c r="Q131" t="s">
        <v>72</v>
      </c>
      <c r="R131" t="s">
        <v>54</v>
      </c>
    </row>
    <row r="132" spans="1:18" x14ac:dyDescent="0.3">
      <c r="A132">
        <v>741</v>
      </c>
      <c r="B132" s="37">
        <v>40577</v>
      </c>
      <c r="C132">
        <v>1</v>
      </c>
      <c r="D132">
        <v>0</v>
      </c>
      <c r="E132">
        <v>2</v>
      </c>
      <c r="F132">
        <v>6</v>
      </c>
      <c r="G132" t="b">
        <v>0</v>
      </c>
      <c r="H132">
        <v>4</v>
      </c>
      <c r="I132">
        <v>1</v>
      </c>
      <c r="J132">
        <v>0.16</v>
      </c>
      <c r="K132">
        <v>0.13639999999999999</v>
      </c>
      <c r="L132">
        <v>0.43</v>
      </c>
      <c r="M132">
        <v>0.35820000000000002</v>
      </c>
      <c r="N132">
        <v>0</v>
      </c>
      <c r="O132">
        <v>39</v>
      </c>
      <c r="P132">
        <v>39</v>
      </c>
      <c r="Q132" t="s">
        <v>72</v>
      </c>
      <c r="R132" t="s">
        <v>54</v>
      </c>
    </row>
    <row r="133" spans="1:18" x14ac:dyDescent="0.3">
      <c r="A133">
        <v>742</v>
      </c>
      <c r="B133" s="37">
        <v>40577</v>
      </c>
      <c r="C133">
        <v>1</v>
      </c>
      <c r="D133">
        <v>0</v>
      </c>
      <c r="E133">
        <v>2</v>
      </c>
      <c r="F133">
        <v>7</v>
      </c>
      <c r="G133" t="b">
        <v>0</v>
      </c>
      <c r="H133">
        <v>4</v>
      </c>
      <c r="I133">
        <v>1</v>
      </c>
      <c r="J133">
        <v>0.14000000000000001</v>
      </c>
      <c r="K133">
        <v>0.1212</v>
      </c>
      <c r="L133">
        <v>0.5</v>
      </c>
      <c r="M133">
        <v>0.32840000000000003</v>
      </c>
      <c r="N133">
        <v>1</v>
      </c>
      <c r="O133">
        <v>86</v>
      </c>
      <c r="P133">
        <v>87</v>
      </c>
      <c r="Q133" t="s">
        <v>72</v>
      </c>
      <c r="R133" t="s">
        <v>54</v>
      </c>
    </row>
    <row r="134" spans="1:18" x14ac:dyDescent="0.3">
      <c r="A134">
        <v>743</v>
      </c>
      <c r="B134" s="37">
        <v>40577</v>
      </c>
      <c r="C134">
        <v>1</v>
      </c>
      <c r="D134">
        <v>0</v>
      </c>
      <c r="E134">
        <v>2</v>
      </c>
      <c r="F134">
        <v>8</v>
      </c>
      <c r="G134" t="b">
        <v>0</v>
      </c>
      <c r="H134">
        <v>4</v>
      </c>
      <c r="I134">
        <v>1</v>
      </c>
      <c r="J134">
        <v>0.14000000000000001</v>
      </c>
      <c r="K134">
        <v>0.1212</v>
      </c>
      <c r="L134">
        <v>0.5</v>
      </c>
      <c r="M134">
        <v>0.35820000000000002</v>
      </c>
      <c r="N134">
        <v>4</v>
      </c>
      <c r="O134">
        <v>184</v>
      </c>
      <c r="P134">
        <v>188</v>
      </c>
      <c r="Q134" t="s">
        <v>72</v>
      </c>
      <c r="R134" t="s">
        <v>54</v>
      </c>
    </row>
    <row r="135" spans="1:18" x14ac:dyDescent="0.3">
      <c r="A135">
        <v>744</v>
      </c>
      <c r="B135" s="37">
        <v>40577</v>
      </c>
      <c r="C135">
        <v>1</v>
      </c>
      <c r="D135">
        <v>0</v>
      </c>
      <c r="E135">
        <v>2</v>
      </c>
      <c r="F135">
        <v>9</v>
      </c>
      <c r="G135" t="b">
        <v>0</v>
      </c>
      <c r="H135">
        <v>4</v>
      </c>
      <c r="I135">
        <v>1</v>
      </c>
      <c r="J135">
        <v>0.16</v>
      </c>
      <c r="K135">
        <v>0.13639999999999999</v>
      </c>
      <c r="L135">
        <v>0.47</v>
      </c>
      <c r="M135">
        <v>0.29849999999999999</v>
      </c>
      <c r="N135">
        <v>6</v>
      </c>
      <c r="O135">
        <v>127</v>
      </c>
      <c r="P135">
        <v>133</v>
      </c>
      <c r="Q135" t="s">
        <v>72</v>
      </c>
      <c r="R135" t="s">
        <v>54</v>
      </c>
    </row>
    <row r="136" spans="1:18" x14ac:dyDescent="0.3">
      <c r="A136">
        <v>745</v>
      </c>
      <c r="B136" s="37">
        <v>40577</v>
      </c>
      <c r="C136">
        <v>1</v>
      </c>
      <c r="D136">
        <v>0</v>
      </c>
      <c r="E136">
        <v>2</v>
      </c>
      <c r="F136">
        <v>10</v>
      </c>
      <c r="G136" t="b">
        <v>0</v>
      </c>
      <c r="H136">
        <v>4</v>
      </c>
      <c r="I136">
        <v>1</v>
      </c>
      <c r="J136">
        <v>0.18</v>
      </c>
      <c r="K136">
        <v>0.1515</v>
      </c>
      <c r="L136">
        <v>0.43</v>
      </c>
      <c r="M136">
        <v>0.32840000000000003</v>
      </c>
      <c r="N136">
        <v>2</v>
      </c>
      <c r="O136">
        <v>50</v>
      </c>
      <c r="P136">
        <v>52</v>
      </c>
      <c r="Q136" t="s">
        <v>72</v>
      </c>
      <c r="R136" t="s">
        <v>54</v>
      </c>
    </row>
    <row r="137" spans="1:18" x14ac:dyDescent="0.3">
      <c r="A137">
        <v>746</v>
      </c>
      <c r="B137" s="37">
        <v>40577</v>
      </c>
      <c r="C137">
        <v>1</v>
      </c>
      <c r="D137">
        <v>0</v>
      </c>
      <c r="E137">
        <v>2</v>
      </c>
      <c r="F137">
        <v>11</v>
      </c>
      <c r="G137" t="b">
        <v>0</v>
      </c>
      <c r="H137">
        <v>4</v>
      </c>
      <c r="I137">
        <v>1</v>
      </c>
      <c r="J137">
        <v>0.18</v>
      </c>
      <c r="K137">
        <v>0.13639999999999999</v>
      </c>
      <c r="L137">
        <v>0.43</v>
      </c>
      <c r="M137">
        <v>0.44779999999999998</v>
      </c>
      <c r="N137">
        <v>9</v>
      </c>
      <c r="O137">
        <v>55</v>
      </c>
      <c r="P137">
        <v>64</v>
      </c>
      <c r="Q137" t="s">
        <v>72</v>
      </c>
      <c r="R137" t="s">
        <v>54</v>
      </c>
    </row>
    <row r="138" spans="1:18" x14ac:dyDescent="0.3">
      <c r="A138">
        <v>747</v>
      </c>
      <c r="B138" s="37">
        <v>40577</v>
      </c>
      <c r="C138">
        <v>1</v>
      </c>
      <c r="D138">
        <v>0</v>
      </c>
      <c r="E138">
        <v>2</v>
      </c>
      <c r="F138">
        <v>12</v>
      </c>
      <c r="G138" t="b">
        <v>0</v>
      </c>
      <c r="H138">
        <v>4</v>
      </c>
      <c r="I138">
        <v>1</v>
      </c>
      <c r="J138">
        <v>0.2</v>
      </c>
      <c r="K138">
        <v>0.18179999999999999</v>
      </c>
      <c r="L138">
        <v>0.4</v>
      </c>
      <c r="M138">
        <v>0.35820000000000002</v>
      </c>
      <c r="N138">
        <v>2</v>
      </c>
      <c r="O138">
        <v>67</v>
      </c>
      <c r="P138">
        <v>69</v>
      </c>
      <c r="Q138" t="s">
        <v>72</v>
      </c>
      <c r="R138" t="s">
        <v>54</v>
      </c>
    </row>
    <row r="139" spans="1:18" x14ac:dyDescent="0.3">
      <c r="A139">
        <v>748</v>
      </c>
      <c r="B139" s="37">
        <v>40577</v>
      </c>
      <c r="C139">
        <v>1</v>
      </c>
      <c r="D139">
        <v>0</v>
      </c>
      <c r="E139">
        <v>2</v>
      </c>
      <c r="F139">
        <v>13</v>
      </c>
      <c r="G139" t="b">
        <v>0</v>
      </c>
      <c r="H139">
        <v>4</v>
      </c>
      <c r="I139">
        <v>1</v>
      </c>
      <c r="J139">
        <v>0.2</v>
      </c>
      <c r="K139">
        <v>0.16669999999999999</v>
      </c>
      <c r="L139">
        <v>0.4</v>
      </c>
      <c r="M139">
        <v>0.41789999999999999</v>
      </c>
      <c r="N139">
        <v>4</v>
      </c>
      <c r="O139">
        <v>47</v>
      </c>
      <c r="P139">
        <v>51</v>
      </c>
      <c r="Q139" t="s">
        <v>68</v>
      </c>
      <c r="R139" t="s">
        <v>54</v>
      </c>
    </row>
    <row r="140" spans="1:18" x14ac:dyDescent="0.3">
      <c r="A140">
        <v>749</v>
      </c>
      <c r="B140" s="37">
        <v>40577</v>
      </c>
      <c r="C140">
        <v>1</v>
      </c>
      <c r="D140">
        <v>0</v>
      </c>
      <c r="E140">
        <v>2</v>
      </c>
      <c r="F140">
        <v>14</v>
      </c>
      <c r="G140" t="b">
        <v>0</v>
      </c>
      <c r="H140">
        <v>4</v>
      </c>
      <c r="I140">
        <v>1</v>
      </c>
      <c r="J140">
        <v>0.22</v>
      </c>
      <c r="K140">
        <v>0.19700000000000001</v>
      </c>
      <c r="L140">
        <v>0.37</v>
      </c>
      <c r="M140">
        <v>0.3881</v>
      </c>
      <c r="N140">
        <v>4</v>
      </c>
      <c r="O140">
        <v>43</v>
      </c>
      <c r="P140">
        <v>47</v>
      </c>
      <c r="Q140" t="s">
        <v>68</v>
      </c>
      <c r="R140" t="s">
        <v>54</v>
      </c>
    </row>
    <row r="141" spans="1:18" x14ac:dyDescent="0.3">
      <c r="A141">
        <v>750</v>
      </c>
      <c r="B141" s="37">
        <v>40577</v>
      </c>
      <c r="C141">
        <v>1</v>
      </c>
      <c r="D141">
        <v>0</v>
      </c>
      <c r="E141">
        <v>2</v>
      </c>
      <c r="F141">
        <v>15</v>
      </c>
      <c r="G141" t="b">
        <v>0</v>
      </c>
      <c r="H141">
        <v>4</v>
      </c>
      <c r="I141">
        <v>1</v>
      </c>
      <c r="J141">
        <v>0.22</v>
      </c>
      <c r="K141">
        <v>0.19700000000000001</v>
      </c>
      <c r="L141">
        <v>0.37</v>
      </c>
      <c r="M141">
        <v>0.32840000000000003</v>
      </c>
      <c r="N141">
        <v>4</v>
      </c>
      <c r="O141">
        <v>56</v>
      </c>
      <c r="P141">
        <v>60</v>
      </c>
      <c r="Q141" t="s">
        <v>68</v>
      </c>
      <c r="R141" t="s">
        <v>54</v>
      </c>
    </row>
    <row r="142" spans="1:18" x14ac:dyDescent="0.3">
      <c r="A142">
        <v>751</v>
      </c>
      <c r="B142" s="37">
        <v>40577</v>
      </c>
      <c r="C142">
        <v>1</v>
      </c>
      <c r="D142">
        <v>0</v>
      </c>
      <c r="E142">
        <v>2</v>
      </c>
      <c r="F142">
        <v>16</v>
      </c>
      <c r="G142" t="b">
        <v>0</v>
      </c>
      <c r="H142">
        <v>4</v>
      </c>
      <c r="I142">
        <v>1</v>
      </c>
      <c r="J142">
        <v>0.22</v>
      </c>
      <c r="K142">
        <v>0.21210000000000001</v>
      </c>
      <c r="L142">
        <v>0.37</v>
      </c>
      <c r="M142">
        <v>0.25369999999999998</v>
      </c>
      <c r="N142">
        <v>5</v>
      </c>
      <c r="O142">
        <v>73</v>
      </c>
      <c r="P142">
        <v>78</v>
      </c>
      <c r="Q142" t="s">
        <v>68</v>
      </c>
      <c r="R142" t="s">
        <v>54</v>
      </c>
    </row>
    <row r="143" spans="1:18" x14ac:dyDescent="0.3">
      <c r="A143">
        <v>752</v>
      </c>
      <c r="B143" s="37">
        <v>40577</v>
      </c>
      <c r="C143">
        <v>1</v>
      </c>
      <c r="D143">
        <v>0</v>
      </c>
      <c r="E143">
        <v>2</v>
      </c>
      <c r="F143">
        <v>17</v>
      </c>
      <c r="G143" t="b">
        <v>0</v>
      </c>
      <c r="H143">
        <v>4</v>
      </c>
      <c r="I143">
        <v>1</v>
      </c>
      <c r="J143">
        <v>0.2</v>
      </c>
      <c r="K143">
        <v>0.19700000000000001</v>
      </c>
      <c r="L143">
        <v>0.4</v>
      </c>
      <c r="M143">
        <v>0.19400000000000001</v>
      </c>
      <c r="N143">
        <v>5</v>
      </c>
      <c r="O143">
        <v>170</v>
      </c>
      <c r="P143">
        <v>175</v>
      </c>
      <c r="Q143" t="s">
        <v>68</v>
      </c>
      <c r="R143" t="s">
        <v>54</v>
      </c>
    </row>
    <row r="144" spans="1:18" x14ac:dyDescent="0.3">
      <c r="A144">
        <v>753</v>
      </c>
      <c r="B144" s="37">
        <v>40577</v>
      </c>
      <c r="C144">
        <v>1</v>
      </c>
      <c r="D144">
        <v>0</v>
      </c>
      <c r="E144">
        <v>2</v>
      </c>
      <c r="F144">
        <v>18</v>
      </c>
      <c r="G144" t="b">
        <v>0</v>
      </c>
      <c r="H144">
        <v>4</v>
      </c>
      <c r="I144">
        <v>1</v>
      </c>
      <c r="J144">
        <v>0.2</v>
      </c>
      <c r="K144">
        <v>0.21210000000000001</v>
      </c>
      <c r="L144">
        <v>0.4</v>
      </c>
      <c r="M144">
        <v>0.16420000000000001</v>
      </c>
      <c r="N144">
        <v>2</v>
      </c>
      <c r="O144">
        <v>145</v>
      </c>
      <c r="P144">
        <v>147</v>
      </c>
      <c r="Q144" t="s">
        <v>68</v>
      </c>
      <c r="R144" t="s">
        <v>54</v>
      </c>
    </row>
    <row r="145" spans="1:18" x14ac:dyDescent="0.3">
      <c r="A145">
        <v>754</v>
      </c>
      <c r="B145" s="37">
        <v>40577</v>
      </c>
      <c r="C145">
        <v>1</v>
      </c>
      <c r="D145">
        <v>0</v>
      </c>
      <c r="E145">
        <v>2</v>
      </c>
      <c r="F145">
        <v>19</v>
      </c>
      <c r="G145" t="b">
        <v>0</v>
      </c>
      <c r="H145">
        <v>4</v>
      </c>
      <c r="I145">
        <v>1</v>
      </c>
      <c r="J145">
        <v>0.2</v>
      </c>
      <c r="K145">
        <v>0.2576</v>
      </c>
      <c r="L145">
        <v>0.4</v>
      </c>
      <c r="M145">
        <v>0</v>
      </c>
      <c r="N145">
        <v>4</v>
      </c>
      <c r="O145">
        <v>92</v>
      </c>
      <c r="P145">
        <v>96</v>
      </c>
      <c r="Q145" t="s">
        <v>71</v>
      </c>
      <c r="R145" t="s">
        <v>54</v>
      </c>
    </row>
    <row r="146" spans="1:18" x14ac:dyDescent="0.3">
      <c r="A146">
        <v>755</v>
      </c>
      <c r="B146" s="37">
        <v>40577</v>
      </c>
      <c r="C146">
        <v>1</v>
      </c>
      <c r="D146">
        <v>0</v>
      </c>
      <c r="E146">
        <v>2</v>
      </c>
      <c r="F146">
        <v>20</v>
      </c>
      <c r="G146" t="b">
        <v>0</v>
      </c>
      <c r="H146">
        <v>4</v>
      </c>
      <c r="I146">
        <v>1</v>
      </c>
      <c r="J146">
        <v>0.2</v>
      </c>
      <c r="K146">
        <v>0.2273</v>
      </c>
      <c r="L146">
        <v>0.47</v>
      </c>
      <c r="M146">
        <v>8.9599999999999999E-2</v>
      </c>
      <c r="N146">
        <v>1</v>
      </c>
      <c r="O146">
        <v>108</v>
      </c>
      <c r="P146">
        <v>109</v>
      </c>
      <c r="Q146" t="s">
        <v>71</v>
      </c>
      <c r="R146" t="s">
        <v>54</v>
      </c>
    </row>
    <row r="147" spans="1:18" x14ac:dyDescent="0.3">
      <c r="A147">
        <v>756</v>
      </c>
      <c r="B147" s="37">
        <v>40577</v>
      </c>
      <c r="C147">
        <v>1</v>
      </c>
      <c r="D147">
        <v>0</v>
      </c>
      <c r="E147">
        <v>2</v>
      </c>
      <c r="F147">
        <v>21</v>
      </c>
      <c r="G147" t="b">
        <v>0</v>
      </c>
      <c r="H147">
        <v>4</v>
      </c>
      <c r="I147">
        <v>1</v>
      </c>
      <c r="J147">
        <v>0.18</v>
      </c>
      <c r="K147">
        <v>0.21210000000000001</v>
      </c>
      <c r="L147">
        <v>0.55000000000000004</v>
      </c>
      <c r="M147">
        <v>0.1045</v>
      </c>
      <c r="N147">
        <v>1</v>
      </c>
      <c r="O147">
        <v>53</v>
      </c>
      <c r="P147">
        <v>54</v>
      </c>
      <c r="Q147" t="s">
        <v>71</v>
      </c>
      <c r="R147" t="s">
        <v>54</v>
      </c>
    </row>
    <row r="148" spans="1:18" x14ac:dyDescent="0.3">
      <c r="A148">
        <v>757</v>
      </c>
      <c r="B148" s="37">
        <v>40577</v>
      </c>
      <c r="C148">
        <v>1</v>
      </c>
      <c r="D148">
        <v>0</v>
      </c>
      <c r="E148">
        <v>2</v>
      </c>
      <c r="F148">
        <v>22</v>
      </c>
      <c r="G148" t="b">
        <v>0</v>
      </c>
      <c r="H148">
        <v>4</v>
      </c>
      <c r="I148">
        <v>1</v>
      </c>
      <c r="J148">
        <v>0.18</v>
      </c>
      <c r="K148">
        <v>0.21210000000000001</v>
      </c>
      <c r="L148">
        <v>0.51</v>
      </c>
      <c r="M148">
        <v>8.9599999999999999E-2</v>
      </c>
      <c r="N148">
        <v>2</v>
      </c>
      <c r="O148">
        <v>39</v>
      </c>
      <c r="P148">
        <v>41</v>
      </c>
      <c r="Q148" t="s">
        <v>71</v>
      </c>
      <c r="R148" t="s">
        <v>54</v>
      </c>
    </row>
    <row r="149" spans="1:18" x14ac:dyDescent="0.3">
      <c r="A149">
        <v>758</v>
      </c>
      <c r="B149" s="37">
        <v>40577</v>
      </c>
      <c r="C149">
        <v>1</v>
      </c>
      <c r="D149">
        <v>0</v>
      </c>
      <c r="E149">
        <v>2</v>
      </c>
      <c r="F149">
        <v>23</v>
      </c>
      <c r="G149" t="b">
        <v>0</v>
      </c>
      <c r="H149">
        <v>4</v>
      </c>
      <c r="I149">
        <v>1</v>
      </c>
      <c r="J149">
        <v>0.2</v>
      </c>
      <c r="K149">
        <v>0.2273</v>
      </c>
      <c r="L149">
        <v>0.47</v>
      </c>
      <c r="M149">
        <v>0.1045</v>
      </c>
      <c r="N149">
        <v>4</v>
      </c>
      <c r="O149">
        <v>34</v>
      </c>
      <c r="P149">
        <v>38</v>
      </c>
      <c r="Q149" t="s">
        <v>71</v>
      </c>
      <c r="R149" t="s">
        <v>54</v>
      </c>
    </row>
    <row r="150" spans="1:18" x14ac:dyDescent="0.3">
      <c r="A150">
        <v>759</v>
      </c>
      <c r="B150" s="37">
        <v>40578</v>
      </c>
      <c r="C150">
        <v>1</v>
      </c>
      <c r="D150">
        <v>0</v>
      </c>
      <c r="E150">
        <v>2</v>
      </c>
      <c r="F150">
        <v>0</v>
      </c>
      <c r="G150" t="b">
        <v>0</v>
      </c>
      <c r="H150">
        <v>5</v>
      </c>
      <c r="I150">
        <v>2</v>
      </c>
      <c r="J150">
        <v>0.2</v>
      </c>
      <c r="K150">
        <v>0.2576</v>
      </c>
      <c r="L150">
        <v>0.44</v>
      </c>
      <c r="M150">
        <v>0</v>
      </c>
      <c r="N150">
        <v>3</v>
      </c>
      <c r="O150">
        <v>10</v>
      </c>
      <c r="P150">
        <v>13</v>
      </c>
      <c r="Q150" t="s">
        <v>72</v>
      </c>
      <c r="R150" t="s">
        <v>55</v>
      </c>
    </row>
    <row r="151" spans="1:18" x14ac:dyDescent="0.3">
      <c r="A151">
        <v>760</v>
      </c>
      <c r="B151" s="37">
        <v>40578</v>
      </c>
      <c r="C151">
        <v>1</v>
      </c>
      <c r="D151">
        <v>0</v>
      </c>
      <c r="E151">
        <v>2</v>
      </c>
      <c r="F151">
        <v>1</v>
      </c>
      <c r="G151" t="b">
        <v>0</v>
      </c>
      <c r="H151">
        <v>5</v>
      </c>
      <c r="I151">
        <v>2</v>
      </c>
      <c r="J151">
        <v>0.16</v>
      </c>
      <c r="K151">
        <v>0.2273</v>
      </c>
      <c r="L151">
        <v>0.59</v>
      </c>
      <c r="M151">
        <v>0</v>
      </c>
      <c r="N151">
        <v>0</v>
      </c>
      <c r="O151">
        <v>7</v>
      </c>
      <c r="P151">
        <v>7</v>
      </c>
      <c r="Q151" t="s">
        <v>72</v>
      </c>
      <c r="R151" t="s">
        <v>55</v>
      </c>
    </row>
    <row r="152" spans="1:18" x14ac:dyDescent="0.3">
      <c r="A152">
        <v>761</v>
      </c>
      <c r="B152" s="37">
        <v>40578</v>
      </c>
      <c r="C152">
        <v>1</v>
      </c>
      <c r="D152">
        <v>0</v>
      </c>
      <c r="E152">
        <v>2</v>
      </c>
      <c r="F152">
        <v>2</v>
      </c>
      <c r="G152" t="b">
        <v>0</v>
      </c>
      <c r="H152">
        <v>5</v>
      </c>
      <c r="I152">
        <v>2</v>
      </c>
      <c r="J152">
        <v>0.14000000000000001</v>
      </c>
      <c r="K152">
        <v>0.16669999999999999</v>
      </c>
      <c r="L152">
        <v>0.63</v>
      </c>
      <c r="M152">
        <v>0.1045</v>
      </c>
      <c r="N152">
        <v>0</v>
      </c>
      <c r="O152">
        <v>1</v>
      </c>
      <c r="P152">
        <v>1</v>
      </c>
      <c r="Q152" t="s">
        <v>72</v>
      </c>
      <c r="R152" t="s">
        <v>55</v>
      </c>
    </row>
    <row r="153" spans="1:18" x14ac:dyDescent="0.3">
      <c r="A153">
        <v>762</v>
      </c>
      <c r="B153" s="37">
        <v>40578</v>
      </c>
      <c r="C153">
        <v>1</v>
      </c>
      <c r="D153">
        <v>0</v>
      </c>
      <c r="E153">
        <v>2</v>
      </c>
      <c r="F153">
        <v>3</v>
      </c>
      <c r="G153" t="b">
        <v>0</v>
      </c>
      <c r="H153">
        <v>5</v>
      </c>
      <c r="I153">
        <v>2</v>
      </c>
      <c r="J153">
        <v>0.14000000000000001</v>
      </c>
      <c r="K153">
        <v>0.16669999999999999</v>
      </c>
      <c r="L153">
        <v>0.63</v>
      </c>
      <c r="M153">
        <v>0.1045</v>
      </c>
      <c r="N153">
        <v>0</v>
      </c>
      <c r="O153">
        <v>1</v>
      </c>
      <c r="P153">
        <v>1</v>
      </c>
      <c r="Q153" t="s">
        <v>72</v>
      </c>
      <c r="R153" t="s">
        <v>55</v>
      </c>
    </row>
    <row r="154" spans="1:18" x14ac:dyDescent="0.3">
      <c r="A154">
        <v>763</v>
      </c>
      <c r="B154" s="37">
        <v>40578</v>
      </c>
      <c r="C154">
        <v>1</v>
      </c>
      <c r="D154">
        <v>0</v>
      </c>
      <c r="E154">
        <v>2</v>
      </c>
      <c r="F154">
        <v>5</v>
      </c>
      <c r="G154" t="b">
        <v>0</v>
      </c>
      <c r="H154">
        <v>5</v>
      </c>
      <c r="I154">
        <v>2</v>
      </c>
      <c r="J154">
        <v>0.14000000000000001</v>
      </c>
      <c r="K154">
        <v>0.1515</v>
      </c>
      <c r="L154">
        <v>0.63</v>
      </c>
      <c r="M154">
        <v>0.1343</v>
      </c>
      <c r="N154">
        <v>0</v>
      </c>
      <c r="O154">
        <v>7</v>
      </c>
      <c r="P154">
        <v>7</v>
      </c>
      <c r="Q154" t="s">
        <v>72</v>
      </c>
      <c r="R154" t="s">
        <v>55</v>
      </c>
    </row>
    <row r="155" spans="1:18" x14ac:dyDescent="0.3">
      <c r="A155">
        <v>764</v>
      </c>
      <c r="B155" s="37">
        <v>40578</v>
      </c>
      <c r="C155">
        <v>1</v>
      </c>
      <c r="D155">
        <v>0</v>
      </c>
      <c r="E155">
        <v>2</v>
      </c>
      <c r="F155">
        <v>6</v>
      </c>
      <c r="G155" t="b">
        <v>0</v>
      </c>
      <c r="H155">
        <v>5</v>
      </c>
      <c r="I155">
        <v>2</v>
      </c>
      <c r="J155">
        <v>0.16</v>
      </c>
      <c r="K155">
        <v>0.2273</v>
      </c>
      <c r="L155">
        <v>0.55000000000000004</v>
      </c>
      <c r="M155">
        <v>0</v>
      </c>
      <c r="N155">
        <v>2</v>
      </c>
      <c r="O155">
        <v>26</v>
      </c>
      <c r="P155">
        <v>28</v>
      </c>
      <c r="Q155" t="s">
        <v>72</v>
      </c>
      <c r="R155" t="s">
        <v>55</v>
      </c>
    </row>
    <row r="156" spans="1:18" x14ac:dyDescent="0.3">
      <c r="A156">
        <v>765</v>
      </c>
      <c r="B156" s="37">
        <v>40578</v>
      </c>
      <c r="C156">
        <v>1</v>
      </c>
      <c r="D156">
        <v>0</v>
      </c>
      <c r="E156">
        <v>2</v>
      </c>
      <c r="F156">
        <v>7</v>
      </c>
      <c r="G156" t="b">
        <v>0</v>
      </c>
      <c r="H156">
        <v>5</v>
      </c>
      <c r="I156">
        <v>1</v>
      </c>
      <c r="J156">
        <v>0.14000000000000001</v>
      </c>
      <c r="K156">
        <v>0.21210000000000001</v>
      </c>
      <c r="L156">
        <v>0.59</v>
      </c>
      <c r="M156">
        <v>0</v>
      </c>
      <c r="N156">
        <v>0</v>
      </c>
      <c r="O156">
        <v>87</v>
      </c>
      <c r="P156">
        <v>87</v>
      </c>
      <c r="Q156" t="s">
        <v>72</v>
      </c>
      <c r="R156" t="s">
        <v>55</v>
      </c>
    </row>
    <row r="157" spans="1:18" x14ac:dyDescent="0.3">
      <c r="A157">
        <v>766</v>
      </c>
      <c r="B157" s="37">
        <v>40578</v>
      </c>
      <c r="C157">
        <v>1</v>
      </c>
      <c r="D157">
        <v>0</v>
      </c>
      <c r="E157">
        <v>2</v>
      </c>
      <c r="F157">
        <v>8</v>
      </c>
      <c r="G157" t="b">
        <v>0</v>
      </c>
      <c r="H157">
        <v>5</v>
      </c>
      <c r="I157">
        <v>1</v>
      </c>
      <c r="J157">
        <v>0.14000000000000001</v>
      </c>
      <c r="K157">
        <v>0.1515</v>
      </c>
      <c r="L157">
        <v>0.74</v>
      </c>
      <c r="M157">
        <v>0.1343</v>
      </c>
      <c r="N157">
        <v>3</v>
      </c>
      <c r="O157">
        <v>217</v>
      </c>
      <c r="P157">
        <v>220</v>
      </c>
      <c r="Q157" t="s">
        <v>72</v>
      </c>
      <c r="R157" t="s">
        <v>55</v>
      </c>
    </row>
    <row r="158" spans="1:18" x14ac:dyDescent="0.3">
      <c r="A158">
        <v>767</v>
      </c>
      <c r="B158" s="37">
        <v>40578</v>
      </c>
      <c r="C158">
        <v>1</v>
      </c>
      <c r="D158">
        <v>0</v>
      </c>
      <c r="E158">
        <v>2</v>
      </c>
      <c r="F158">
        <v>9</v>
      </c>
      <c r="G158" t="b">
        <v>0</v>
      </c>
      <c r="H158">
        <v>5</v>
      </c>
      <c r="I158">
        <v>2</v>
      </c>
      <c r="J158">
        <v>0.16</v>
      </c>
      <c r="K158">
        <v>0.18179999999999999</v>
      </c>
      <c r="L158">
        <v>0.8</v>
      </c>
      <c r="M158">
        <v>0.1343</v>
      </c>
      <c r="N158">
        <v>3</v>
      </c>
      <c r="O158">
        <v>124</v>
      </c>
      <c r="P158">
        <v>127</v>
      </c>
      <c r="Q158" t="s">
        <v>72</v>
      </c>
      <c r="R158" t="s">
        <v>55</v>
      </c>
    </row>
    <row r="159" spans="1:18" x14ac:dyDescent="0.3">
      <c r="A159">
        <v>768</v>
      </c>
      <c r="B159" s="37">
        <v>40578</v>
      </c>
      <c r="C159">
        <v>1</v>
      </c>
      <c r="D159">
        <v>0</v>
      </c>
      <c r="E159">
        <v>2</v>
      </c>
      <c r="F159">
        <v>10</v>
      </c>
      <c r="G159" t="b">
        <v>0</v>
      </c>
      <c r="H159">
        <v>5</v>
      </c>
      <c r="I159">
        <v>2</v>
      </c>
      <c r="J159">
        <v>0.2</v>
      </c>
      <c r="K159">
        <v>0.21210000000000001</v>
      </c>
      <c r="L159">
        <v>0.51</v>
      </c>
      <c r="M159">
        <v>0.1343</v>
      </c>
      <c r="N159">
        <v>5</v>
      </c>
      <c r="O159">
        <v>46</v>
      </c>
      <c r="P159">
        <v>51</v>
      </c>
      <c r="Q159" t="s">
        <v>72</v>
      </c>
      <c r="R159" t="s">
        <v>55</v>
      </c>
    </row>
    <row r="160" spans="1:18" x14ac:dyDescent="0.3">
      <c r="A160">
        <v>769</v>
      </c>
      <c r="B160" s="37">
        <v>40578</v>
      </c>
      <c r="C160">
        <v>1</v>
      </c>
      <c r="D160">
        <v>0</v>
      </c>
      <c r="E160">
        <v>2</v>
      </c>
      <c r="F160">
        <v>11</v>
      </c>
      <c r="G160" t="b">
        <v>0</v>
      </c>
      <c r="H160">
        <v>5</v>
      </c>
      <c r="I160">
        <v>1</v>
      </c>
      <c r="J160">
        <v>0.22</v>
      </c>
      <c r="K160">
        <v>0.2273</v>
      </c>
      <c r="L160">
        <v>0.51</v>
      </c>
      <c r="M160">
        <v>0.16420000000000001</v>
      </c>
      <c r="N160">
        <v>3</v>
      </c>
      <c r="O160">
        <v>61</v>
      </c>
      <c r="P160">
        <v>64</v>
      </c>
      <c r="Q160" t="s">
        <v>72</v>
      </c>
      <c r="R160" t="s">
        <v>55</v>
      </c>
    </row>
    <row r="161" spans="1:18" x14ac:dyDescent="0.3">
      <c r="A161">
        <v>770</v>
      </c>
      <c r="B161" s="37">
        <v>40578</v>
      </c>
      <c r="C161">
        <v>1</v>
      </c>
      <c r="D161">
        <v>0</v>
      </c>
      <c r="E161">
        <v>2</v>
      </c>
      <c r="F161">
        <v>12</v>
      </c>
      <c r="G161" t="b">
        <v>0</v>
      </c>
      <c r="H161">
        <v>5</v>
      </c>
      <c r="I161">
        <v>2</v>
      </c>
      <c r="J161">
        <v>0.24</v>
      </c>
      <c r="K161">
        <v>0.2424</v>
      </c>
      <c r="L161">
        <v>0.48</v>
      </c>
      <c r="M161">
        <v>0.16420000000000001</v>
      </c>
      <c r="N161">
        <v>8</v>
      </c>
      <c r="O161">
        <v>78</v>
      </c>
      <c r="P161">
        <v>86</v>
      </c>
      <c r="Q161" t="s">
        <v>72</v>
      </c>
      <c r="R161" t="s">
        <v>55</v>
      </c>
    </row>
    <row r="162" spans="1:18" x14ac:dyDescent="0.3">
      <c r="A162">
        <v>771</v>
      </c>
      <c r="B162" s="37">
        <v>40578</v>
      </c>
      <c r="C162">
        <v>1</v>
      </c>
      <c r="D162">
        <v>0</v>
      </c>
      <c r="E162">
        <v>2</v>
      </c>
      <c r="F162">
        <v>13</v>
      </c>
      <c r="G162" t="b">
        <v>0</v>
      </c>
      <c r="H162">
        <v>5</v>
      </c>
      <c r="I162">
        <v>2</v>
      </c>
      <c r="J162">
        <v>0.26</v>
      </c>
      <c r="K162">
        <v>0.2576</v>
      </c>
      <c r="L162">
        <v>0.5</v>
      </c>
      <c r="M162">
        <v>0.22389999999999999</v>
      </c>
      <c r="N162">
        <v>9</v>
      </c>
      <c r="O162">
        <v>73</v>
      </c>
      <c r="P162">
        <v>82</v>
      </c>
      <c r="Q162" t="s">
        <v>68</v>
      </c>
      <c r="R162" t="s">
        <v>55</v>
      </c>
    </row>
    <row r="163" spans="1:18" x14ac:dyDescent="0.3">
      <c r="A163">
        <v>772</v>
      </c>
      <c r="B163" s="37">
        <v>40578</v>
      </c>
      <c r="C163">
        <v>1</v>
      </c>
      <c r="D163">
        <v>0</v>
      </c>
      <c r="E163">
        <v>2</v>
      </c>
      <c r="F163">
        <v>14</v>
      </c>
      <c r="G163" t="b">
        <v>0</v>
      </c>
      <c r="H163">
        <v>5</v>
      </c>
      <c r="I163">
        <v>2</v>
      </c>
      <c r="J163">
        <v>0.28000000000000003</v>
      </c>
      <c r="K163">
        <v>0.2727</v>
      </c>
      <c r="L163">
        <v>0.45</v>
      </c>
      <c r="M163">
        <v>0.16420000000000001</v>
      </c>
      <c r="N163">
        <v>15</v>
      </c>
      <c r="O163">
        <v>76</v>
      </c>
      <c r="P163">
        <v>91</v>
      </c>
      <c r="Q163" t="s">
        <v>68</v>
      </c>
      <c r="R163" t="s">
        <v>55</v>
      </c>
    </row>
    <row r="164" spans="1:18" x14ac:dyDescent="0.3">
      <c r="A164">
        <v>773</v>
      </c>
      <c r="B164" s="37">
        <v>40578</v>
      </c>
      <c r="C164">
        <v>1</v>
      </c>
      <c r="D164">
        <v>0</v>
      </c>
      <c r="E164">
        <v>2</v>
      </c>
      <c r="F164">
        <v>15</v>
      </c>
      <c r="G164" t="b">
        <v>0</v>
      </c>
      <c r="H164">
        <v>5</v>
      </c>
      <c r="I164">
        <v>2</v>
      </c>
      <c r="J164">
        <v>0.28000000000000003</v>
      </c>
      <c r="K164">
        <v>0.2727</v>
      </c>
      <c r="L164">
        <v>0.48</v>
      </c>
      <c r="M164">
        <v>0.25369999999999998</v>
      </c>
      <c r="N164">
        <v>9</v>
      </c>
      <c r="O164">
        <v>81</v>
      </c>
      <c r="P164">
        <v>90</v>
      </c>
      <c r="Q164" t="s">
        <v>68</v>
      </c>
      <c r="R164" t="s">
        <v>55</v>
      </c>
    </row>
    <row r="165" spans="1:18" x14ac:dyDescent="0.3">
      <c r="A165">
        <v>774</v>
      </c>
      <c r="B165" s="37">
        <v>40578</v>
      </c>
      <c r="C165">
        <v>1</v>
      </c>
      <c r="D165">
        <v>0</v>
      </c>
      <c r="E165">
        <v>2</v>
      </c>
      <c r="F165">
        <v>16</v>
      </c>
      <c r="G165" t="b">
        <v>0</v>
      </c>
      <c r="H165">
        <v>5</v>
      </c>
      <c r="I165">
        <v>2</v>
      </c>
      <c r="J165">
        <v>0.3</v>
      </c>
      <c r="K165">
        <v>0.28789999999999999</v>
      </c>
      <c r="L165">
        <v>0.42</v>
      </c>
      <c r="M165">
        <v>0.22389999999999999</v>
      </c>
      <c r="N165">
        <v>8</v>
      </c>
      <c r="O165">
        <v>91</v>
      </c>
      <c r="P165">
        <v>99</v>
      </c>
      <c r="Q165" t="s">
        <v>68</v>
      </c>
      <c r="R165" t="s">
        <v>55</v>
      </c>
    </row>
    <row r="166" spans="1:18" x14ac:dyDescent="0.3">
      <c r="A166">
        <v>775</v>
      </c>
      <c r="B166" s="37">
        <v>40578</v>
      </c>
      <c r="C166">
        <v>1</v>
      </c>
      <c r="D166">
        <v>0</v>
      </c>
      <c r="E166">
        <v>2</v>
      </c>
      <c r="F166">
        <v>17</v>
      </c>
      <c r="G166" t="b">
        <v>0</v>
      </c>
      <c r="H166">
        <v>5</v>
      </c>
      <c r="I166">
        <v>2</v>
      </c>
      <c r="J166">
        <v>0.26</v>
      </c>
      <c r="K166">
        <v>0.2727</v>
      </c>
      <c r="L166">
        <v>0.56000000000000005</v>
      </c>
      <c r="M166">
        <v>0.1343</v>
      </c>
      <c r="N166">
        <v>10</v>
      </c>
      <c r="O166">
        <v>195</v>
      </c>
      <c r="P166">
        <v>205</v>
      </c>
      <c r="Q166" t="s">
        <v>68</v>
      </c>
      <c r="R166" t="s">
        <v>55</v>
      </c>
    </row>
    <row r="167" spans="1:18" x14ac:dyDescent="0.3">
      <c r="A167">
        <v>776</v>
      </c>
      <c r="B167" s="37">
        <v>40578</v>
      </c>
      <c r="C167">
        <v>1</v>
      </c>
      <c r="D167">
        <v>0</v>
      </c>
      <c r="E167">
        <v>2</v>
      </c>
      <c r="F167">
        <v>18</v>
      </c>
      <c r="G167" t="b">
        <v>0</v>
      </c>
      <c r="H167">
        <v>5</v>
      </c>
      <c r="I167">
        <v>2</v>
      </c>
      <c r="J167">
        <v>0.24</v>
      </c>
      <c r="K167">
        <v>0.2576</v>
      </c>
      <c r="L167">
        <v>0.6</v>
      </c>
      <c r="M167">
        <v>0.1045</v>
      </c>
      <c r="N167">
        <v>3</v>
      </c>
      <c r="O167">
        <v>152</v>
      </c>
      <c r="P167">
        <v>155</v>
      </c>
      <c r="Q167" t="s">
        <v>68</v>
      </c>
      <c r="R167" t="s">
        <v>55</v>
      </c>
    </row>
    <row r="168" spans="1:18" x14ac:dyDescent="0.3">
      <c r="A168">
        <v>777</v>
      </c>
      <c r="B168" s="37">
        <v>40578</v>
      </c>
      <c r="C168">
        <v>1</v>
      </c>
      <c r="D168">
        <v>0</v>
      </c>
      <c r="E168">
        <v>2</v>
      </c>
      <c r="F168">
        <v>19</v>
      </c>
      <c r="G168" t="b">
        <v>0</v>
      </c>
      <c r="H168">
        <v>5</v>
      </c>
      <c r="I168">
        <v>2</v>
      </c>
      <c r="J168">
        <v>0.24</v>
      </c>
      <c r="K168">
        <v>0.2424</v>
      </c>
      <c r="L168">
        <v>0.65</v>
      </c>
      <c r="M168">
        <v>0.1343</v>
      </c>
      <c r="N168">
        <v>1</v>
      </c>
      <c r="O168">
        <v>102</v>
      </c>
      <c r="P168">
        <v>103</v>
      </c>
      <c r="Q168" t="s">
        <v>71</v>
      </c>
      <c r="R168" t="s">
        <v>55</v>
      </c>
    </row>
    <row r="169" spans="1:18" x14ac:dyDescent="0.3">
      <c r="A169">
        <v>778</v>
      </c>
      <c r="B169" s="37">
        <v>40578</v>
      </c>
      <c r="C169">
        <v>1</v>
      </c>
      <c r="D169">
        <v>0</v>
      </c>
      <c r="E169">
        <v>2</v>
      </c>
      <c r="F169">
        <v>20</v>
      </c>
      <c r="G169" t="b">
        <v>0</v>
      </c>
      <c r="H169">
        <v>5</v>
      </c>
      <c r="I169">
        <v>2</v>
      </c>
      <c r="J169">
        <v>0.24</v>
      </c>
      <c r="K169">
        <v>0.2424</v>
      </c>
      <c r="L169">
        <v>0.65</v>
      </c>
      <c r="M169">
        <v>0.16420000000000001</v>
      </c>
      <c r="N169">
        <v>2</v>
      </c>
      <c r="O169">
        <v>69</v>
      </c>
      <c r="P169">
        <v>71</v>
      </c>
      <c r="Q169" t="s">
        <v>71</v>
      </c>
      <c r="R169" t="s">
        <v>55</v>
      </c>
    </row>
    <row r="170" spans="1:18" x14ac:dyDescent="0.3">
      <c r="A170">
        <v>779</v>
      </c>
      <c r="B170" s="37">
        <v>40578</v>
      </c>
      <c r="C170">
        <v>1</v>
      </c>
      <c r="D170">
        <v>0</v>
      </c>
      <c r="E170">
        <v>2</v>
      </c>
      <c r="F170">
        <v>21</v>
      </c>
      <c r="G170" t="b">
        <v>0</v>
      </c>
      <c r="H170">
        <v>5</v>
      </c>
      <c r="I170">
        <v>2</v>
      </c>
      <c r="J170">
        <v>0.24</v>
      </c>
      <c r="K170">
        <v>0.2424</v>
      </c>
      <c r="L170">
        <v>0.7</v>
      </c>
      <c r="M170">
        <v>0.16420000000000001</v>
      </c>
      <c r="N170">
        <v>2</v>
      </c>
      <c r="O170">
        <v>41</v>
      </c>
      <c r="P170">
        <v>43</v>
      </c>
      <c r="Q170" t="s">
        <v>71</v>
      </c>
      <c r="R170" t="s">
        <v>55</v>
      </c>
    </row>
    <row r="171" spans="1:18" x14ac:dyDescent="0.3">
      <c r="A171">
        <v>780</v>
      </c>
      <c r="B171" s="37">
        <v>40578</v>
      </c>
      <c r="C171">
        <v>1</v>
      </c>
      <c r="D171">
        <v>0</v>
      </c>
      <c r="E171">
        <v>2</v>
      </c>
      <c r="F171">
        <v>22</v>
      </c>
      <c r="G171" t="b">
        <v>0</v>
      </c>
      <c r="H171">
        <v>5</v>
      </c>
      <c r="I171">
        <v>2</v>
      </c>
      <c r="J171">
        <v>0.24</v>
      </c>
      <c r="K171">
        <v>0.2424</v>
      </c>
      <c r="L171">
        <v>0.65</v>
      </c>
      <c r="M171">
        <v>0.16420000000000001</v>
      </c>
      <c r="N171">
        <v>1</v>
      </c>
      <c r="O171">
        <v>45</v>
      </c>
      <c r="P171">
        <v>46</v>
      </c>
      <c r="Q171" t="s">
        <v>71</v>
      </c>
      <c r="R171" t="s">
        <v>55</v>
      </c>
    </row>
    <row r="172" spans="1:18" x14ac:dyDescent="0.3">
      <c r="A172">
        <v>781</v>
      </c>
      <c r="B172" s="37">
        <v>40578</v>
      </c>
      <c r="C172">
        <v>1</v>
      </c>
      <c r="D172">
        <v>0</v>
      </c>
      <c r="E172">
        <v>2</v>
      </c>
      <c r="F172">
        <v>23</v>
      </c>
      <c r="G172" t="b">
        <v>0</v>
      </c>
      <c r="H172">
        <v>5</v>
      </c>
      <c r="I172">
        <v>2</v>
      </c>
      <c r="J172">
        <v>0.24</v>
      </c>
      <c r="K172">
        <v>0.2424</v>
      </c>
      <c r="L172">
        <v>0.7</v>
      </c>
      <c r="M172">
        <v>0.1343</v>
      </c>
      <c r="N172">
        <v>1</v>
      </c>
      <c r="O172">
        <v>30</v>
      </c>
      <c r="P172">
        <v>31</v>
      </c>
      <c r="Q172" t="s">
        <v>71</v>
      </c>
      <c r="R172" t="s">
        <v>55</v>
      </c>
    </row>
    <row r="173" spans="1:18" x14ac:dyDescent="0.3">
      <c r="A173">
        <v>782</v>
      </c>
      <c r="B173" s="37">
        <v>40579</v>
      </c>
      <c r="C173">
        <v>1</v>
      </c>
      <c r="D173">
        <v>0</v>
      </c>
      <c r="E173">
        <v>2</v>
      </c>
      <c r="F173">
        <v>0</v>
      </c>
      <c r="G173" t="b">
        <v>0</v>
      </c>
      <c r="H173">
        <v>6</v>
      </c>
      <c r="I173">
        <v>2</v>
      </c>
      <c r="J173">
        <v>0.24</v>
      </c>
      <c r="K173">
        <v>0.2424</v>
      </c>
      <c r="L173">
        <v>0.7</v>
      </c>
      <c r="M173">
        <v>0.16420000000000001</v>
      </c>
      <c r="N173">
        <v>3</v>
      </c>
      <c r="O173">
        <v>36</v>
      </c>
      <c r="P173">
        <v>39</v>
      </c>
      <c r="Q173" t="s">
        <v>72</v>
      </c>
      <c r="R173" t="s">
        <v>49</v>
      </c>
    </row>
    <row r="174" spans="1:18" x14ac:dyDescent="0.3">
      <c r="A174">
        <v>783</v>
      </c>
      <c r="B174" s="37">
        <v>40579</v>
      </c>
      <c r="C174">
        <v>1</v>
      </c>
      <c r="D174">
        <v>0</v>
      </c>
      <c r="E174">
        <v>2</v>
      </c>
      <c r="F174">
        <v>1</v>
      </c>
      <c r="G174" t="b">
        <v>0</v>
      </c>
      <c r="H174">
        <v>6</v>
      </c>
      <c r="I174">
        <v>2</v>
      </c>
      <c r="J174">
        <v>0.24</v>
      </c>
      <c r="K174">
        <v>0.2424</v>
      </c>
      <c r="L174">
        <v>0.65</v>
      </c>
      <c r="M174">
        <v>0.16420000000000001</v>
      </c>
      <c r="N174">
        <v>1</v>
      </c>
      <c r="O174">
        <v>17</v>
      </c>
      <c r="P174">
        <v>18</v>
      </c>
      <c r="Q174" t="s">
        <v>72</v>
      </c>
      <c r="R174" t="s">
        <v>49</v>
      </c>
    </row>
    <row r="175" spans="1:18" x14ac:dyDescent="0.3">
      <c r="A175">
        <v>784</v>
      </c>
      <c r="B175" s="37">
        <v>40579</v>
      </c>
      <c r="C175">
        <v>1</v>
      </c>
      <c r="D175">
        <v>0</v>
      </c>
      <c r="E175">
        <v>2</v>
      </c>
      <c r="F175">
        <v>2</v>
      </c>
      <c r="G175" t="b">
        <v>0</v>
      </c>
      <c r="H175">
        <v>6</v>
      </c>
      <c r="I175">
        <v>2</v>
      </c>
      <c r="J175">
        <v>0.24</v>
      </c>
      <c r="K175">
        <v>0.2424</v>
      </c>
      <c r="L175">
        <v>0.75</v>
      </c>
      <c r="M175">
        <v>0.16420000000000001</v>
      </c>
      <c r="N175">
        <v>5</v>
      </c>
      <c r="O175">
        <v>12</v>
      </c>
      <c r="P175">
        <v>17</v>
      </c>
      <c r="Q175" t="s">
        <v>72</v>
      </c>
      <c r="R175" t="s">
        <v>49</v>
      </c>
    </row>
    <row r="176" spans="1:18" x14ac:dyDescent="0.3">
      <c r="A176">
        <v>785</v>
      </c>
      <c r="B176" s="37">
        <v>40579</v>
      </c>
      <c r="C176">
        <v>1</v>
      </c>
      <c r="D176">
        <v>0</v>
      </c>
      <c r="E176">
        <v>2</v>
      </c>
      <c r="F176">
        <v>3</v>
      </c>
      <c r="G176" t="b">
        <v>0</v>
      </c>
      <c r="H176">
        <v>6</v>
      </c>
      <c r="I176">
        <v>2</v>
      </c>
      <c r="J176">
        <v>0.24</v>
      </c>
      <c r="K176">
        <v>0.2424</v>
      </c>
      <c r="L176">
        <v>0.75</v>
      </c>
      <c r="M176">
        <v>0.16420000000000001</v>
      </c>
      <c r="N176">
        <v>1</v>
      </c>
      <c r="O176">
        <v>10</v>
      </c>
      <c r="P176">
        <v>11</v>
      </c>
      <c r="Q176" t="s">
        <v>72</v>
      </c>
      <c r="R176" t="s">
        <v>49</v>
      </c>
    </row>
    <row r="177" spans="1:18" x14ac:dyDescent="0.3">
      <c r="A177">
        <v>786</v>
      </c>
      <c r="B177" s="37">
        <v>40579</v>
      </c>
      <c r="C177">
        <v>1</v>
      </c>
      <c r="D177">
        <v>0</v>
      </c>
      <c r="E177">
        <v>2</v>
      </c>
      <c r="F177">
        <v>4</v>
      </c>
      <c r="G177" t="b">
        <v>0</v>
      </c>
      <c r="H177">
        <v>6</v>
      </c>
      <c r="I177">
        <v>3</v>
      </c>
      <c r="J177">
        <v>0.22</v>
      </c>
      <c r="K177">
        <v>0.2273</v>
      </c>
      <c r="L177">
        <v>0.93</v>
      </c>
      <c r="M177">
        <v>0.1343</v>
      </c>
      <c r="N177">
        <v>0</v>
      </c>
      <c r="O177">
        <v>8</v>
      </c>
      <c r="P177">
        <v>8</v>
      </c>
      <c r="Q177" t="s">
        <v>72</v>
      </c>
      <c r="R177" t="s">
        <v>49</v>
      </c>
    </row>
    <row r="178" spans="1:18" x14ac:dyDescent="0.3">
      <c r="A178">
        <v>787</v>
      </c>
      <c r="B178" s="37">
        <v>40579</v>
      </c>
      <c r="C178">
        <v>1</v>
      </c>
      <c r="D178">
        <v>0</v>
      </c>
      <c r="E178">
        <v>2</v>
      </c>
      <c r="F178">
        <v>5</v>
      </c>
      <c r="G178" t="b">
        <v>0</v>
      </c>
      <c r="H178">
        <v>6</v>
      </c>
      <c r="I178">
        <v>3</v>
      </c>
      <c r="J178">
        <v>0.2</v>
      </c>
      <c r="K178">
        <v>0.2273</v>
      </c>
      <c r="L178">
        <v>1</v>
      </c>
      <c r="M178">
        <v>8.9599999999999999E-2</v>
      </c>
      <c r="N178">
        <v>0</v>
      </c>
      <c r="O178">
        <v>9</v>
      </c>
      <c r="P178">
        <v>9</v>
      </c>
      <c r="Q178" t="s">
        <v>72</v>
      </c>
      <c r="R178" t="s">
        <v>49</v>
      </c>
    </row>
    <row r="179" spans="1:18" x14ac:dyDescent="0.3">
      <c r="A179">
        <v>788</v>
      </c>
      <c r="B179" s="37">
        <v>40579</v>
      </c>
      <c r="C179">
        <v>1</v>
      </c>
      <c r="D179">
        <v>0</v>
      </c>
      <c r="E179">
        <v>2</v>
      </c>
      <c r="F179">
        <v>6</v>
      </c>
      <c r="G179" t="b">
        <v>0</v>
      </c>
      <c r="H179">
        <v>6</v>
      </c>
      <c r="I179">
        <v>3</v>
      </c>
      <c r="J179">
        <v>0.2</v>
      </c>
      <c r="K179">
        <v>0.2576</v>
      </c>
      <c r="L179">
        <v>1</v>
      </c>
      <c r="M179">
        <v>0</v>
      </c>
      <c r="N179">
        <v>0</v>
      </c>
      <c r="O179">
        <v>4</v>
      </c>
      <c r="P179">
        <v>4</v>
      </c>
      <c r="Q179" t="s">
        <v>72</v>
      </c>
      <c r="R179" t="s">
        <v>49</v>
      </c>
    </row>
    <row r="180" spans="1:18" x14ac:dyDescent="0.3">
      <c r="A180">
        <v>789</v>
      </c>
      <c r="B180" s="37">
        <v>40579</v>
      </c>
      <c r="C180">
        <v>1</v>
      </c>
      <c r="D180">
        <v>0</v>
      </c>
      <c r="E180">
        <v>2</v>
      </c>
      <c r="F180">
        <v>7</v>
      </c>
      <c r="G180" t="b">
        <v>0</v>
      </c>
      <c r="H180">
        <v>6</v>
      </c>
      <c r="I180">
        <v>3</v>
      </c>
      <c r="J180">
        <v>0.22</v>
      </c>
      <c r="K180">
        <v>0.2576</v>
      </c>
      <c r="L180">
        <v>0.93</v>
      </c>
      <c r="M180">
        <v>8.9599999999999999E-2</v>
      </c>
      <c r="N180">
        <v>0</v>
      </c>
      <c r="O180">
        <v>4</v>
      </c>
      <c r="P180">
        <v>4</v>
      </c>
      <c r="Q180" t="s">
        <v>72</v>
      </c>
      <c r="R180" t="s">
        <v>49</v>
      </c>
    </row>
    <row r="181" spans="1:18" x14ac:dyDescent="0.3">
      <c r="A181">
        <v>790</v>
      </c>
      <c r="B181" s="37">
        <v>40579</v>
      </c>
      <c r="C181">
        <v>1</v>
      </c>
      <c r="D181">
        <v>0</v>
      </c>
      <c r="E181">
        <v>2</v>
      </c>
      <c r="F181">
        <v>8</v>
      </c>
      <c r="G181" t="b">
        <v>0</v>
      </c>
      <c r="H181">
        <v>6</v>
      </c>
      <c r="I181">
        <v>3</v>
      </c>
      <c r="J181">
        <v>0.2</v>
      </c>
      <c r="K181">
        <v>0.2273</v>
      </c>
      <c r="L181">
        <v>1</v>
      </c>
      <c r="M181">
        <v>8.9599999999999999E-2</v>
      </c>
      <c r="N181">
        <v>0</v>
      </c>
      <c r="O181">
        <v>10</v>
      </c>
      <c r="P181">
        <v>10</v>
      </c>
      <c r="Q181" t="s">
        <v>72</v>
      </c>
      <c r="R181" t="s">
        <v>49</v>
      </c>
    </row>
    <row r="182" spans="1:18" x14ac:dyDescent="0.3">
      <c r="A182">
        <v>791</v>
      </c>
      <c r="B182" s="37">
        <v>40579</v>
      </c>
      <c r="C182">
        <v>1</v>
      </c>
      <c r="D182">
        <v>0</v>
      </c>
      <c r="E182">
        <v>2</v>
      </c>
      <c r="F182">
        <v>9</v>
      </c>
      <c r="G182" t="b">
        <v>0</v>
      </c>
      <c r="H182">
        <v>6</v>
      </c>
      <c r="I182">
        <v>3</v>
      </c>
      <c r="J182">
        <v>0.2</v>
      </c>
      <c r="K182">
        <v>0.2273</v>
      </c>
      <c r="L182">
        <v>1</v>
      </c>
      <c r="M182">
        <v>8.9599999999999999E-2</v>
      </c>
      <c r="N182">
        <v>3</v>
      </c>
      <c r="O182">
        <v>17</v>
      </c>
      <c r="P182">
        <v>20</v>
      </c>
      <c r="Q182" t="s">
        <v>72</v>
      </c>
      <c r="R182" t="s">
        <v>49</v>
      </c>
    </row>
    <row r="183" spans="1:18" x14ac:dyDescent="0.3">
      <c r="A183">
        <v>792</v>
      </c>
      <c r="B183" s="37">
        <v>40579</v>
      </c>
      <c r="C183">
        <v>1</v>
      </c>
      <c r="D183">
        <v>0</v>
      </c>
      <c r="E183">
        <v>2</v>
      </c>
      <c r="F183">
        <v>10</v>
      </c>
      <c r="G183" t="b">
        <v>0</v>
      </c>
      <c r="H183">
        <v>6</v>
      </c>
      <c r="I183">
        <v>3</v>
      </c>
      <c r="J183">
        <v>0.2</v>
      </c>
      <c r="K183">
        <v>0.21210000000000001</v>
      </c>
      <c r="L183">
        <v>1</v>
      </c>
      <c r="M183">
        <v>0.1343</v>
      </c>
      <c r="N183">
        <v>3</v>
      </c>
      <c r="O183">
        <v>31</v>
      </c>
      <c r="P183">
        <v>34</v>
      </c>
      <c r="Q183" t="s">
        <v>72</v>
      </c>
      <c r="R183" t="s">
        <v>49</v>
      </c>
    </row>
    <row r="184" spans="1:18" x14ac:dyDescent="0.3">
      <c r="A184">
        <v>793</v>
      </c>
      <c r="B184" s="37">
        <v>40579</v>
      </c>
      <c r="C184">
        <v>1</v>
      </c>
      <c r="D184">
        <v>0</v>
      </c>
      <c r="E184">
        <v>2</v>
      </c>
      <c r="F184">
        <v>11</v>
      </c>
      <c r="G184" t="b">
        <v>0</v>
      </c>
      <c r="H184">
        <v>6</v>
      </c>
      <c r="I184">
        <v>3</v>
      </c>
      <c r="J184">
        <v>0.22</v>
      </c>
      <c r="K184">
        <v>0.2273</v>
      </c>
      <c r="L184">
        <v>1</v>
      </c>
      <c r="M184">
        <v>0.1343</v>
      </c>
      <c r="N184">
        <v>1</v>
      </c>
      <c r="O184">
        <v>46</v>
      </c>
      <c r="P184">
        <v>47</v>
      </c>
      <c r="Q184" t="s">
        <v>72</v>
      </c>
      <c r="R184" t="s">
        <v>49</v>
      </c>
    </row>
    <row r="185" spans="1:18" x14ac:dyDescent="0.3">
      <c r="A185">
        <v>794</v>
      </c>
      <c r="B185" s="37">
        <v>40579</v>
      </c>
      <c r="C185">
        <v>1</v>
      </c>
      <c r="D185">
        <v>0</v>
      </c>
      <c r="E185">
        <v>2</v>
      </c>
      <c r="F185">
        <v>12</v>
      </c>
      <c r="G185" t="b">
        <v>0</v>
      </c>
      <c r="H185">
        <v>6</v>
      </c>
      <c r="I185">
        <v>3</v>
      </c>
      <c r="J185">
        <v>0.22</v>
      </c>
      <c r="K185">
        <v>0.2273</v>
      </c>
      <c r="L185">
        <v>1</v>
      </c>
      <c r="M185">
        <v>0.16420000000000001</v>
      </c>
      <c r="N185">
        <v>10</v>
      </c>
      <c r="O185">
        <v>42</v>
      </c>
      <c r="P185">
        <v>52</v>
      </c>
      <c r="Q185" t="s">
        <v>72</v>
      </c>
      <c r="R185" t="s">
        <v>49</v>
      </c>
    </row>
    <row r="186" spans="1:18" x14ac:dyDescent="0.3">
      <c r="A186">
        <v>795</v>
      </c>
      <c r="B186" s="37">
        <v>40579</v>
      </c>
      <c r="C186">
        <v>1</v>
      </c>
      <c r="D186">
        <v>0</v>
      </c>
      <c r="E186">
        <v>2</v>
      </c>
      <c r="F186">
        <v>13</v>
      </c>
      <c r="G186" t="b">
        <v>0</v>
      </c>
      <c r="H186">
        <v>6</v>
      </c>
      <c r="I186">
        <v>3</v>
      </c>
      <c r="J186">
        <v>0.22</v>
      </c>
      <c r="K186">
        <v>0.2273</v>
      </c>
      <c r="L186">
        <v>1</v>
      </c>
      <c r="M186">
        <v>0.16420000000000001</v>
      </c>
      <c r="N186">
        <v>10</v>
      </c>
      <c r="O186">
        <v>62</v>
      </c>
      <c r="P186">
        <v>72</v>
      </c>
      <c r="Q186" t="s">
        <v>68</v>
      </c>
      <c r="R186" t="s">
        <v>49</v>
      </c>
    </row>
    <row r="187" spans="1:18" x14ac:dyDescent="0.3">
      <c r="A187">
        <v>796</v>
      </c>
      <c r="B187" s="37">
        <v>40579</v>
      </c>
      <c r="C187">
        <v>1</v>
      </c>
      <c r="D187">
        <v>0</v>
      </c>
      <c r="E187">
        <v>2</v>
      </c>
      <c r="F187">
        <v>14</v>
      </c>
      <c r="G187" t="b">
        <v>0</v>
      </c>
      <c r="H187">
        <v>6</v>
      </c>
      <c r="I187">
        <v>3</v>
      </c>
      <c r="J187">
        <v>0.22</v>
      </c>
      <c r="K187">
        <v>0.2727</v>
      </c>
      <c r="L187">
        <v>1</v>
      </c>
      <c r="M187">
        <v>0</v>
      </c>
      <c r="N187">
        <v>5</v>
      </c>
      <c r="O187">
        <v>50</v>
      </c>
      <c r="P187">
        <v>55</v>
      </c>
      <c r="Q187" t="s">
        <v>68</v>
      </c>
      <c r="R187" t="s">
        <v>49</v>
      </c>
    </row>
    <row r="188" spans="1:18" x14ac:dyDescent="0.3">
      <c r="A188">
        <v>797</v>
      </c>
      <c r="B188" s="37">
        <v>40579</v>
      </c>
      <c r="C188">
        <v>1</v>
      </c>
      <c r="D188">
        <v>0</v>
      </c>
      <c r="E188">
        <v>2</v>
      </c>
      <c r="F188">
        <v>15</v>
      </c>
      <c r="G188" t="b">
        <v>0</v>
      </c>
      <c r="H188">
        <v>6</v>
      </c>
      <c r="I188">
        <v>3</v>
      </c>
      <c r="J188">
        <v>0.22</v>
      </c>
      <c r="K188">
        <v>0.2727</v>
      </c>
      <c r="L188">
        <v>1</v>
      </c>
      <c r="M188">
        <v>0</v>
      </c>
      <c r="N188">
        <v>11</v>
      </c>
      <c r="O188">
        <v>49</v>
      </c>
      <c r="P188">
        <v>60</v>
      </c>
      <c r="Q188" t="s">
        <v>68</v>
      </c>
      <c r="R188" t="s">
        <v>49</v>
      </c>
    </row>
    <row r="189" spans="1:18" x14ac:dyDescent="0.3">
      <c r="A189">
        <v>798</v>
      </c>
      <c r="B189" s="37">
        <v>40579</v>
      </c>
      <c r="C189">
        <v>1</v>
      </c>
      <c r="D189">
        <v>0</v>
      </c>
      <c r="E189">
        <v>2</v>
      </c>
      <c r="F189">
        <v>16</v>
      </c>
      <c r="G189" t="b">
        <v>0</v>
      </c>
      <c r="H189">
        <v>6</v>
      </c>
      <c r="I189">
        <v>3</v>
      </c>
      <c r="J189">
        <v>0.22</v>
      </c>
      <c r="K189">
        <v>0.2273</v>
      </c>
      <c r="L189">
        <v>1</v>
      </c>
      <c r="M189">
        <v>0.1343</v>
      </c>
      <c r="N189">
        <v>8</v>
      </c>
      <c r="O189">
        <v>63</v>
      </c>
      <c r="P189">
        <v>71</v>
      </c>
      <c r="Q189" t="s">
        <v>68</v>
      </c>
      <c r="R189" t="s">
        <v>49</v>
      </c>
    </row>
    <row r="190" spans="1:18" x14ac:dyDescent="0.3">
      <c r="A190">
        <v>799</v>
      </c>
      <c r="B190" s="37">
        <v>40579</v>
      </c>
      <c r="C190">
        <v>1</v>
      </c>
      <c r="D190">
        <v>0</v>
      </c>
      <c r="E190">
        <v>2</v>
      </c>
      <c r="F190">
        <v>17</v>
      </c>
      <c r="G190" t="b">
        <v>0</v>
      </c>
      <c r="H190">
        <v>6</v>
      </c>
      <c r="I190">
        <v>2</v>
      </c>
      <c r="J190">
        <v>0.24</v>
      </c>
      <c r="K190">
        <v>0.21210000000000001</v>
      </c>
      <c r="L190">
        <v>1</v>
      </c>
      <c r="M190">
        <v>0.28360000000000002</v>
      </c>
      <c r="N190">
        <v>14</v>
      </c>
      <c r="O190">
        <v>64</v>
      </c>
      <c r="P190">
        <v>78</v>
      </c>
      <c r="Q190" t="s">
        <v>68</v>
      </c>
      <c r="R190" t="s">
        <v>49</v>
      </c>
    </row>
    <row r="191" spans="1:18" x14ac:dyDescent="0.3">
      <c r="A191">
        <v>800</v>
      </c>
      <c r="B191" s="37">
        <v>40579</v>
      </c>
      <c r="C191">
        <v>1</v>
      </c>
      <c r="D191">
        <v>0</v>
      </c>
      <c r="E191">
        <v>2</v>
      </c>
      <c r="F191">
        <v>18</v>
      </c>
      <c r="G191" t="b">
        <v>0</v>
      </c>
      <c r="H191">
        <v>6</v>
      </c>
      <c r="I191">
        <v>2</v>
      </c>
      <c r="J191">
        <v>0.28000000000000003</v>
      </c>
      <c r="K191">
        <v>0.2424</v>
      </c>
      <c r="L191">
        <v>0.93</v>
      </c>
      <c r="M191">
        <v>0.44779999999999998</v>
      </c>
      <c r="N191">
        <v>2</v>
      </c>
      <c r="O191">
        <v>81</v>
      </c>
      <c r="P191">
        <v>83</v>
      </c>
      <c r="Q191" t="s">
        <v>68</v>
      </c>
      <c r="R191" t="s">
        <v>49</v>
      </c>
    </row>
    <row r="192" spans="1:18" x14ac:dyDescent="0.3">
      <c r="A192">
        <v>801</v>
      </c>
      <c r="B192" s="37">
        <v>40579</v>
      </c>
      <c r="C192">
        <v>1</v>
      </c>
      <c r="D192">
        <v>0</v>
      </c>
      <c r="E192">
        <v>2</v>
      </c>
      <c r="F192">
        <v>19</v>
      </c>
      <c r="G192" t="b">
        <v>0</v>
      </c>
      <c r="H192">
        <v>6</v>
      </c>
      <c r="I192">
        <v>2</v>
      </c>
      <c r="J192">
        <v>0.28000000000000003</v>
      </c>
      <c r="K192">
        <v>0.2424</v>
      </c>
      <c r="L192">
        <v>0.93</v>
      </c>
      <c r="M192">
        <v>0.44779999999999998</v>
      </c>
      <c r="N192">
        <v>6</v>
      </c>
      <c r="O192">
        <v>78</v>
      </c>
      <c r="P192">
        <v>84</v>
      </c>
      <c r="Q192" t="s">
        <v>71</v>
      </c>
      <c r="R192" t="s">
        <v>49</v>
      </c>
    </row>
    <row r="193" spans="1:18" x14ac:dyDescent="0.3">
      <c r="A193">
        <v>802</v>
      </c>
      <c r="B193" s="37">
        <v>40579</v>
      </c>
      <c r="C193">
        <v>1</v>
      </c>
      <c r="D193">
        <v>0</v>
      </c>
      <c r="E193">
        <v>2</v>
      </c>
      <c r="F193">
        <v>20</v>
      </c>
      <c r="G193" t="b">
        <v>0</v>
      </c>
      <c r="H193">
        <v>6</v>
      </c>
      <c r="I193">
        <v>1</v>
      </c>
      <c r="J193">
        <v>0.3</v>
      </c>
      <c r="K193">
        <v>0.28789999999999999</v>
      </c>
      <c r="L193">
        <v>0.87</v>
      </c>
      <c r="M193">
        <v>0.25369999999999998</v>
      </c>
      <c r="N193">
        <v>5</v>
      </c>
      <c r="O193">
        <v>64</v>
      </c>
      <c r="P193">
        <v>69</v>
      </c>
      <c r="Q193" t="s">
        <v>71</v>
      </c>
      <c r="R193" t="s">
        <v>49</v>
      </c>
    </row>
    <row r="194" spans="1:18" x14ac:dyDescent="0.3">
      <c r="A194">
        <v>803</v>
      </c>
      <c r="B194" s="37">
        <v>40579</v>
      </c>
      <c r="C194">
        <v>1</v>
      </c>
      <c r="D194">
        <v>0</v>
      </c>
      <c r="E194">
        <v>2</v>
      </c>
      <c r="F194">
        <v>21</v>
      </c>
      <c r="G194" t="b">
        <v>0</v>
      </c>
      <c r="H194">
        <v>6</v>
      </c>
      <c r="I194">
        <v>1</v>
      </c>
      <c r="J194">
        <v>0.26</v>
      </c>
      <c r="K194">
        <v>0.2576</v>
      </c>
      <c r="L194">
        <v>1</v>
      </c>
      <c r="M194">
        <v>0.19400000000000001</v>
      </c>
      <c r="N194">
        <v>3</v>
      </c>
      <c r="O194">
        <v>53</v>
      </c>
      <c r="P194">
        <v>56</v>
      </c>
      <c r="Q194" t="s">
        <v>71</v>
      </c>
      <c r="R194" t="s">
        <v>49</v>
      </c>
    </row>
    <row r="195" spans="1:18" x14ac:dyDescent="0.3">
      <c r="A195">
        <v>804</v>
      </c>
      <c r="B195" s="37">
        <v>40579</v>
      </c>
      <c r="C195">
        <v>1</v>
      </c>
      <c r="D195">
        <v>0</v>
      </c>
      <c r="E195">
        <v>2</v>
      </c>
      <c r="F195">
        <v>22</v>
      </c>
      <c r="G195" t="b">
        <v>0</v>
      </c>
      <c r="H195">
        <v>6</v>
      </c>
      <c r="I195">
        <v>1</v>
      </c>
      <c r="J195">
        <v>0.26</v>
      </c>
      <c r="K195">
        <v>0.2727</v>
      </c>
      <c r="L195">
        <v>0.93</v>
      </c>
      <c r="M195">
        <v>0.1343</v>
      </c>
      <c r="N195">
        <v>2</v>
      </c>
      <c r="O195">
        <v>43</v>
      </c>
      <c r="P195">
        <v>45</v>
      </c>
      <c r="Q195" t="s">
        <v>71</v>
      </c>
      <c r="R195" t="s">
        <v>49</v>
      </c>
    </row>
    <row r="196" spans="1:18" x14ac:dyDescent="0.3">
      <c r="A196">
        <v>805</v>
      </c>
      <c r="B196" s="37">
        <v>40579</v>
      </c>
      <c r="C196">
        <v>1</v>
      </c>
      <c r="D196">
        <v>0</v>
      </c>
      <c r="E196">
        <v>2</v>
      </c>
      <c r="F196">
        <v>23</v>
      </c>
      <c r="G196" t="b">
        <v>0</v>
      </c>
      <c r="H196">
        <v>6</v>
      </c>
      <c r="I196">
        <v>1</v>
      </c>
      <c r="J196">
        <v>0.26</v>
      </c>
      <c r="K196">
        <v>0.2576</v>
      </c>
      <c r="L196">
        <v>0.93</v>
      </c>
      <c r="M196">
        <v>0.22389999999999999</v>
      </c>
      <c r="N196">
        <v>7</v>
      </c>
      <c r="O196">
        <v>52</v>
      </c>
      <c r="P196">
        <v>59</v>
      </c>
      <c r="Q196" t="s">
        <v>71</v>
      </c>
      <c r="R196" t="s">
        <v>49</v>
      </c>
    </row>
    <row r="197" spans="1:18" x14ac:dyDescent="0.3">
      <c r="A197">
        <v>806</v>
      </c>
      <c r="B197" s="37">
        <v>40580</v>
      </c>
      <c r="C197">
        <v>1</v>
      </c>
      <c r="D197">
        <v>0</v>
      </c>
      <c r="E197">
        <v>2</v>
      </c>
      <c r="F197">
        <v>0</v>
      </c>
      <c r="G197" t="b">
        <v>0</v>
      </c>
      <c r="H197">
        <v>0</v>
      </c>
      <c r="I197">
        <v>1</v>
      </c>
      <c r="J197">
        <v>0.26</v>
      </c>
      <c r="K197">
        <v>0.2576</v>
      </c>
      <c r="L197">
        <v>0.7</v>
      </c>
      <c r="M197">
        <v>0.19400000000000001</v>
      </c>
      <c r="N197">
        <v>2</v>
      </c>
      <c r="O197">
        <v>37</v>
      </c>
      <c r="P197">
        <v>39</v>
      </c>
      <c r="Q197" t="s">
        <v>72</v>
      </c>
      <c r="R197" t="s">
        <v>50</v>
      </c>
    </row>
    <row r="198" spans="1:18" x14ac:dyDescent="0.3">
      <c r="A198">
        <v>807</v>
      </c>
      <c r="B198" s="37">
        <v>40580</v>
      </c>
      <c r="C198">
        <v>1</v>
      </c>
      <c r="D198">
        <v>0</v>
      </c>
      <c r="E198">
        <v>2</v>
      </c>
      <c r="F198">
        <v>1</v>
      </c>
      <c r="G198" t="b">
        <v>0</v>
      </c>
      <c r="H198">
        <v>0</v>
      </c>
      <c r="I198">
        <v>1</v>
      </c>
      <c r="J198">
        <v>0.26</v>
      </c>
      <c r="K198">
        <v>0.2273</v>
      </c>
      <c r="L198">
        <v>0.65</v>
      </c>
      <c r="M198">
        <v>0.41789999999999999</v>
      </c>
      <c r="N198">
        <v>4</v>
      </c>
      <c r="O198">
        <v>40</v>
      </c>
      <c r="P198">
        <v>44</v>
      </c>
      <c r="Q198" t="s">
        <v>72</v>
      </c>
      <c r="R198" t="s">
        <v>50</v>
      </c>
    </row>
    <row r="199" spans="1:18" x14ac:dyDescent="0.3">
      <c r="A199">
        <v>808</v>
      </c>
      <c r="B199" s="37">
        <v>40580</v>
      </c>
      <c r="C199">
        <v>1</v>
      </c>
      <c r="D199">
        <v>0</v>
      </c>
      <c r="E199">
        <v>2</v>
      </c>
      <c r="F199">
        <v>2</v>
      </c>
      <c r="G199" t="b">
        <v>0</v>
      </c>
      <c r="H199">
        <v>0</v>
      </c>
      <c r="I199">
        <v>1</v>
      </c>
      <c r="J199">
        <v>0.26</v>
      </c>
      <c r="K199">
        <v>0.2273</v>
      </c>
      <c r="L199">
        <v>0.6</v>
      </c>
      <c r="M199">
        <v>0.32840000000000003</v>
      </c>
      <c r="N199">
        <v>0</v>
      </c>
      <c r="O199">
        <v>20</v>
      </c>
      <c r="P199">
        <v>20</v>
      </c>
      <c r="Q199" t="s">
        <v>72</v>
      </c>
      <c r="R199" t="s">
        <v>50</v>
      </c>
    </row>
    <row r="200" spans="1:18" x14ac:dyDescent="0.3">
      <c r="A200">
        <v>809</v>
      </c>
      <c r="B200" s="37">
        <v>40580</v>
      </c>
      <c r="C200">
        <v>1</v>
      </c>
      <c r="D200">
        <v>0</v>
      </c>
      <c r="E200">
        <v>2</v>
      </c>
      <c r="F200">
        <v>3</v>
      </c>
      <c r="G200" t="b">
        <v>0</v>
      </c>
      <c r="H200">
        <v>0</v>
      </c>
      <c r="I200">
        <v>1</v>
      </c>
      <c r="J200">
        <v>0.26</v>
      </c>
      <c r="K200">
        <v>0.28789999999999999</v>
      </c>
      <c r="L200">
        <v>0.6</v>
      </c>
      <c r="M200">
        <v>8.9599999999999999E-2</v>
      </c>
      <c r="N200">
        <v>3</v>
      </c>
      <c r="O200">
        <v>10</v>
      </c>
      <c r="P200">
        <v>13</v>
      </c>
      <c r="Q200" t="s">
        <v>72</v>
      </c>
      <c r="R200" t="s">
        <v>50</v>
      </c>
    </row>
    <row r="201" spans="1:18" x14ac:dyDescent="0.3">
      <c r="A201">
        <v>810</v>
      </c>
      <c r="B201" s="37">
        <v>40580</v>
      </c>
      <c r="C201">
        <v>1</v>
      </c>
      <c r="D201">
        <v>0</v>
      </c>
      <c r="E201">
        <v>2</v>
      </c>
      <c r="F201">
        <v>4</v>
      </c>
      <c r="G201" t="b">
        <v>0</v>
      </c>
      <c r="H201">
        <v>0</v>
      </c>
      <c r="I201">
        <v>1</v>
      </c>
      <c r="J201">
        <v>0.26</v>
      </c>
      <c r="K201">
        <v>0.2273</v>
      </c>
      <c r="L201">
        <v>0.6</v>
      </c>
      <c r="M201">
        <v>0.35820000000000002</v>
      </c>
      <c r="N201">
        <v>0</v>
      </c>
      <c r="O201">
        <v>2</v>
      </c>
      <c r="P201">
        <v>2</v>
      </c>
      <c r="Q201" t="s">
        <v>72</v>
      </c>
      <c r="R201" t="s">
        <v>50</v>
      </c>
    </row>
    <row r="202" spans="1:18" x14ac:dyDescent="0.3">
      <c r="A202">
        <v>811</v>
      </c>
      <c r="B202" s="37">
        <v>40580</v>
      </c>
      <c r="C202">
        <v>1</v>
      </c>
      <c r="D202">
        <v>0</v>
      </c>
      <c r="E202">
        <v>2</v>
      </c>
      <c r="F202">
        <v>5</v>
      </c>
      <c r="G202" t="b">
        <v>0</v>
      </c>
      <c r="H202">
        <v>0</v>
      </c>
      <c r="I202">
        <v>1</v>
      </c>
      <c r="J202">
        <v>0.26</v>
      </c>
      <c r="K202">
        <v>0.2576</v>
      </c>
      <c r="L202">
        <v>0.6</v>
      </c>
      <c r="M202">
        <v>0.22389999999999999</v>
      </c>
      <c r="N202">
        <v>0</v>
      </c>
      <c r="O202">
        <v>1</v>
      </c>
      <c r="P202">
        <v>1</v>
      </c>
      <c r="Q202" t="s">
        <v>72</v>
      </c>
      <c r="R202" t="s">
        <v>50</v>
      </c>
    </row>
    <row r="203" spans="1:18" x14ac:dyDescent="0.3">
      <c r="A203">
        <v>812</v>
      </c>
      <c r="B203" s="37">
        <v>40580</v>
      </c>
      <c r="C203">
        <v>1</v>
      </c>
      <c r="D203">
        <v>0</v>
      </c>
      <c r="E203">
        <v>2</v>
      </c>
      <c r="F203">
        <v>6</v>
      </c>
      <c r="G203" t="b">
        <v>0</v>
      </c>
      <c r="H203">
        <v>0</v>
      </c>
      <c r="I203">
        <v>1</v>
      </c>
      <c r="J203">
        <v>0.26</v>
      </c>
      <c r="K203">
        <v>0.2576</v>
      </c>
      <c r="L203">
        <v>0.6</v>
      </c>
      <c r="M203">
        <v>0.22389999999999999</v>
      </c>
      <c r="N203">
        <v>0</v>
      </c>
      <c r="O203">
        <v>1</v>
      </c>
      <c r="P203">
        <v>1</v>
      </c>
      <c r="Q203" t="s">
        <v>72</v>
      </c>
      <c r="R203" t="s">
        <v>50</v>
      </c>
    </row>
    <row r="204" spans="1:18" x14ac:dyDescent="0.3">
      <c r="A204">
        <v>813</v>
      </c>
      <c r="B204" s="37">
        <v>40580</v>
      </c>
      <c r="C204">
        <v>1</v>
      </c>
      <c r="D204">
        <v>0</v>
      </c>
      <c r="E204">
        <v>2</v>
      </c>
      <c r="F204">
        <v>7</v>
      </c>
      <c r="G204" t="b">
        <v>0</v>
      </c>
      <c r="H204">
        <v>0</v>
      </c>
      <c r="I204">
        <v>1</v>
      </c>
      <c r="J204">
        <v>0.24</v>
      </c>
      <c r="K204">
        <v>0.2424</v>
      </c>
      <c r="L204">
        <v>0.65</v>
      </c>
      <c r="M204">
        <v>0.16420000000000001</v>
      </c>
      <c r="N204">
        <v>0</v>
      </c>
      <c r="O204">
        <v>8</v>
      </c>
      <c r="P204">
        <v>8</v>
      </c>
      <c r="Q204" t="s">
        <v>72</v>
      </c>
      <c r="R204" t="s">
        <v>50</v>
      </c>
    </row>
    <row r="205" spans="1:18" x14ac:dyDescent="0.3">
      <c r="A205">
        <v>814</v>
      </c>
      <c r="B205" s="37">
        <v>40580</v>
      </c>
      <c r="C205">
        <v>1</v>
      </c>
      <c r="D205">
        <v>0</v>
      </c>
      <c r="E205">
        <v>2</v>
      </c>
      <c r="F205">
        <v>8</v>
      </c>
      <c r="G205" t="b">
        <v>0</v>
      </c>
      <c r="H205">
        <v>0</v>
      </c>
      <c r="I205">
        <v>1</v>
      </c>
      <c r="J205">
        <v>0.24</v>
      </c>
      <c r="K205">
        <v>0.2576</v>
      </c>
      <c r="L205">
        <v>0.65</v>
      </c>
      <c r="M205">
        <v>0.1045</v>
      </c>
      <c r="N205">
        <v>2</v>
      </c>
      <c r="O205">
        <v>21</v>
      </c>
      <c r="P205">
        <v>23</v>
      </c>
      <c r="Q205" t="s">
        <v>72</v>
      </c>
      <c r="R205" t="s">
        <v>50</v>
      </c>
    </row>
    <row r="206" spans="1:18" x14ac:dyDescent="0.3">
      <c r="A206">
        <v>815</v>
      </c>
      <c r="B206" s="37">
        <v>40580</v>
      </c>
      <c r="C206">
        <v>1</v>
      </c>
      <c r="D206">
        <v>0</v>
      </c>
      <c r="E206">
        <v>2</v>
      </c>
      <c r="F206">
        <v>9</v>
      </c>
      <c r="G206" t="b">
        <v>0</v>
      </c>
      <c r="H206">
        <v>0</v>
      </c>
      <c r="I206">
        <v>1</v>
      </c>
      <c r="J206">
        <v>0.28000000000000003</v>
      </c>
      <c r="K206">
        <v>0.28789999999999999</v>
      </c>
      <c r="L206">
        <v>0.56000000000000005</v>
      </c>
      <c r="M206">
        <v>0.1045</v>
      </c>
      <c r="N206">
        <v>7</v>
      </c>
      <c r="O206">
        <v>38</v>
      </c>
      <c r="P206">
        <v>45</v>
      </c>
      <c r="Q206" t="s">
        <v>72</v>
      </c>
      <c r="R206" t="s">
        <v>50</v>
      </c>
    </row>
    <row r="207" spans="1:18" x14ac:dyDescent="0.3">
      <c r="A207">
        <v>816</v>
      </c>
      <c r="B207" s="37">
        <v>40580</v>
      </c>
      <c r="C207">
        <v>1</v>
      </c>
      <c r="D207">
        <v>0</v>
      </c>
      <c r="E207">
        <v>2</v>
      </c>
      <c r="F207">
        <v>10</v>
      </c>
      <c r="G207" t="b">
        <v>0</v>
      </c>
      <c r="H207">
        <v>0</v>
      </c>
      <c r="I207">
        <v>1</v>
      </c>
      <c r="J207">
        <v>0.3</v>
      </c>
      <c r="K207">
        <v>0.28789999999999999</v>
      </c>
      <c r="L207">
        <v>0.52</v>
      </c>
      <c r="M207">
        <v>0.25369999999999998</v>
      </c>
      <c r="N207">
        <v>15</v>
      </c>
      <c r="O207">
        <v>74</v>
      </c>
      <c r="P207">
        <v>89</v>
      </c>
      <c r="Q207" t="s">
        <v>72</v>
      </c>
      <c r="R207" t="s">
        <v>50</v>
      </c>
    </row>
    <row r="208" spans="1:18" x14ac:dyDescent="0.3">
      <c r="A208">
        <v>817</v>
      </c>
      <c r="B208" s="37">
        <v>40580</v>
      </c>
      <c r="C208">
        <v>1</v>
      </c>
      <c r="D208">
        <v>0</v>
      </c>
      <c r="E208">
        <v>2</v>
      </c>
      <c r="F208">
        <v>11</v>
      </c>
      <c r="G208" t="b">
        <v>0</v>
      </c>
      <c r="H208">
        <v>0</v>
      </c>
      <c r="I208">
        <v>1</v>
      </c>
      <c r="J208">
        <v>0.32</v>
      </c>
      <c r="K208">
        <v>0.30299999999999999</v>
      </c>
      <c r="L208">
        <v>0.49</v>
      </c>
      <c r="M208">
        <v>0.25369999999999998</v>
      </c>
      <c r="N208">
        <v>28</v>
      </c>
      <c r="O208">
        <v>89</v>
      </c>
      <c r="P208">
        <v>117</v>
      </c>
      <c r="Q208" t="s">
        <v>72</v>
      </c>
      <c r="R208" t="s">
        <v>50</v>
      </c>
    </row>
    <row r="209" spans="1:18" x14ac:dyDescent="0.3">
      <c r="A209">
        <v>818</v>
      </c>
      <c r="B209" s="37">
        <v>40580</v>
      </c>
      <c r="C209">
        <v>1</v>
      </c>
      <c r="D209">
        <v>0</v>
      </c>
      <c r="E209">
        <v>2</v>
      </c>
      <c r="F209">
        <v>12</v>
      </c>
      <c r="G209" t="b">
        <v>0</v>
      </c>
      <c r="H209">
        <v>0</v>
      </c>
      <c r="I209">
        <v>1</v>
      </c>
      <c r="J209">
        <v>0.34</v>
      </c>
      <c r="K209">
        <v>0.33329999999999999</v>
      </c>
      <c r="L209">
        <v>0.46</v>
      </c>
      <c r="M209">
        <v>0</v>
      </c>
      <c r="N209">
        <v>48</v>
      </c>
      <c r="O209">
        <v>126</v>
      </c>
      <c r="P209">
        <v>174</v>
      </c>
      <c r="Q209" t="s">
        <v>72</v>
      </c>
      <c r="R209" t="s">
        <v>50</v>
      </c>
    </row>
    <row r="210" spans="1:18" x14ac:dyDescent="0.3">
      <c r="A210">
        <v>819</v>
      </c>
      <c r="B210" s="37">
        <v>40580</v>
      </c>
      <c r="C210">
        <v>1</v>
      </c>
      <c r="D210">
        <v>0</v>
      </c>
      <c r="E210">
        <v>2</v>
      </c>
      <c r="F210">
        <v>13</v>
      </c>
      <c r="G210" t="b">
        <v>0</v>
      </c>
      <c r="H210">
        <v>0</v>
      </c>
      <c r="I210">
        <v>1</v>
      </c>
      <c r="J210">
        <v>0.34</v>
      </c>
      <c r="K210">
        <v>0.36359999999999998</v>
      </c>
      <c r="L210">
        <v>0.46</v>
      </c>
      <c r="M210">
        <v>0</v>
      </c>
      <c r="N210">
        <v>47</v>
      </c>
      <c r="O210">
        <v>135</v>
      </c>
      <c r="P210">
        <v>182</v>
      </c>
      <c r="Q210" t="s">
        <v>68</v>
      </c>
      <c r="R210" t="s">
        <v>50</v>
      </c>
    </row>
    <row r="211" spans="1:18" x14ac:dyDescent="0.3">
      <c r="A211">
        <v>820</v>
      </c>
      <c r="B211" s="37">
        <v>40580</v>
      </c>
      <c r="C211">
        <v>1</v>
      </c>
      <c r="D211">
        <v>0</v>
      </c>
      <c r="E211">
        <v>2</v>
      </c>
      <c r="F211">
        <v>14</v>
      </c>
      <c r="G211" t="b">
        <v>0</v>
      </c>
      <c r="H211">
        <v>0</v>
      </c>
      <c r="I211">
        <v>1</v>
      </c>
      <c r="J211">
        <v>0.34</v>
      </c>
      <c r="K211">
        <v>0.34849999999999998</v>
      </c>
      <c r="L211">
        <v>0.46</v>
      </c>
      <c r="M211">
        <v>8.9599999999999999E-2</v>
      </c>
      <c r="N211">
        <v>47</v>
      </c>
      <c r="O211">
        <v>114</v>
      </c>
      <c r="P211">
        <v>161</v>
      </c>
      <c r="Q211" t="s">
        <v>68</v>
      </c>
      <c r="R211" t="s">
        <v>50</v>
      </c>
    </row>
    <row r="212" spans="1:18" x14ac:dyDescent="0.3">
      <c r="A212">
        <v>821</v>
      </c>
      <c r="B212" s="37">
        <v>40580</v>
      </c>
      <c r="C212">
        <v>1</v>
      </c>
      <c r="D212">
        <v>0</v>
      </c>
      <c r="E212">
        <v>2</v>
      </c>
      <c r="F212">
        <v>15</v>
      </c>
      <c r="G212" t="b">
        <v>0</v>
      </c>
      <c r="H212">
        <v>0</v>
      </c>
      <c r="I212">
        <v>1</v>
      </c>
      <c r="J212">
        <v>0.34</v>
      </c>
      <c r="K212">
        <v>0.34849999999999998</v>
      </c>
      <c r="L212">
        <v>0.46</v>
      </c>
      <c r="M212">
        <v>8.9599999999999999E-2</v>
      </c>
      <c r="N212">
        <v>52</v>
      </c>
      <c r="O212">
        <v>130</v>
      </c>
      <c r="P212">
        <v>182</v>
      </c>
      <c r="Q212" t="s">
        <v>68</v>
      </c>
      <c r="R212" t="s">
        <v>50</v>
      </c>
    </row>
    <row r="213" spans="1:18" x14ac:dyDescent="0.3">
      <c r="A213">
        <v>822</v>
      </c>
      <c r="B213" s="37">
        <v>40580</v>
      </c>
      <c r="C213">
        <v>1</v>
      </c>
      <c r="D213">
        <v>0</v>
      </c>
      <c r="E213">
        <v>2</v>
      </c>
      <c r="F213">
        <v>16</v>
      </c>
      <c r="G213" t="b">
        <v>0</v>
      </c>
      <c r="H213">
        <v>0</v>
      </c>
      <c r="I213">
        <v>1</v>
      </c>
      <c r="J213">
        <v>0.34</v>
      </c>
      <c r="K213">
        <v>0.34849999999999998</v>
      </c>
      <c r="L213">
        <v>0.49</v>
      </c>
      <c r="M213">
        <v>0.1045</v>
      </c>
      <c r="N213">
        <v>42</v>
      </c>
      <c r="O213">
        <v>115</v>
      </c>
      <c r="P213">
        <v>157</v>
      </c>
      <c r="Q213" t="s">
        <v>68</v>
      </c>
      <c r="R213" t="s">
        <v>50</v>
      </c>
    </row>
    <row r="214" spans="1:18" x14ac:dyDescent="0.3">
      <c r="A214">
        <v>823</v>
      </c>
      <c r="B214" s="37">
        <v>40580</v>
      </c>
      <c r="C214">
        <v>1</v>
      </c>
      <c r="D214">
        <v>0</v>
      </c>
      <c r="E214">
        <v>2</v>
      </c>
      <c r="F214">
        <v>17</v>
      </c>
      <c r="G214" t="b">
        <v>0</v>
      </c>
      <c r="H214">
        <v>0</v>
      </c>
      <c r="I214">
        <v>1</v>
      </c>
      <c r="J214">
        <v>0.34</v>
      </c>
      <c r="K214">
        <v>0.36359999999999998</v>
      </c>
      <c r="L214">
        <v>0.46</v>
      </c>
      <c r="M214">
        <v>0</v>
      </c>
      <c r="N214">
        <v>24</v>
      </c>
      <c r="O214">
        <v>97</v>
      </c>
      <c r="P214">
        <v>121</v>
      </c>
      <c r="Q214" t="s">
        <v>68</v>
      </c>
      <c r="R214" t="s">
        <v>50</v>
      </c>
    </row>
    <row r="215" spans="1:18" x14ac:dyDescent="0.3">
      <c r="A215">
        <v>824</v>
      </c>
      <c r="B215" s="37">
        <v>40580</v>
      </c>
      <c r="C215">
        <v>1</v>
      </c>
      <c r="D215">
        <v>0</v>
      </c>
      <c r="E215">
        <v>2</v>
      </c>
      <c r="F215">
        <v>18</v>
      </c>
      <c r="G215" t="b">
        <v>0</v>
      </c>
      <c r="H215">
        <v>0</v>
      </c>
      <c r="I215">
        <v>1</v>
      </c>
      <c r="J215">
        <v>0.3</v>
      </c>
      <c r="K215">
        <v>0.30299999999999999</v>
      </c>
      <c r="L215">
        <v>0.56000000000000005</v>
      </c>
      <c r="M215">
        <v>0.16420000000000001</v>
      </c>
      <c r="N215">
        <v>13</v>
      </c>
      <c r="O215">
        <v>65</v>
      </c>
      <c r="P215">
        <v>78</v>
      </c>
      <c r="Q215" t="s">
        <v>68</v>
      </c>
      <c r="R215" t="s">
        <v>50</v>
      </c>
    </row>
    <row r="216" spans="1:18" x14ac:dyDescent="0.3">
      <c r="A216">
        <v>825</v>
      </c>
      <c r="B216" s="37">
        <v>40580</v>
      </c>
      <c r="C216">
        <v>1</v>
      </c>
      <c r="D216">
        <v>0</v>
      </c>
      <c r="E216">
        <v>2</v>
      </c>
      <c r="F216">
        <v>19</v>
      </c>
      <c r="G216" t="b">
        <v>0</v>
      </c>
      <c r="H216">
        <v>0</v>
      </c>
      <c r="I216">
        <v>1</v>
      </c>
      <c r="J216">
        <v>0.28000000000000003</v>
      </c>
      <c r="K216">
        <v>0.28789999999999999</v>
      </c>
      <c r="L216">
        <v>0.61</v>
      </c>
      <c r="M216">
        <v>0.1343</v>
      </c>
      <c r="N216">
        <v>1</v>
      </c>
      <c r="O216">
        <v>20</v>
      </c>
      <c r="P216">
        <v>21</v>
      </c>
      <c r="Q216" t="s">
        <v>71</v>
      </c>
      <c r="R216" t="s">
        <v>50</v>
      </c>
    </row>
    <row r="217" spans="1:18" x14ac:dyDescent="0.3">
      <c r="A217">
        <v>826</v>
      </c>
      <c r="B217" s="37">
        <v>40580</v>
      </c>
      <c r="C217">
        <v>1</v>
      </c>
      <c r="D217">
        <v>0</v>
      </c>
      <c r="E217">
        <v>2</v>
      </c>
      <c r="F217">
        <v>20</v>
      </c>
      <c r="G217" t="b">
        <v>0</v>
      </c>
      <c r="H217">
        <v>0</v>
      </c>
      <c r="I217">
        <v>1</v>
      </c>
      <c r="J217">
        <v>0.28000000000000003</v>
      </c>
      <c r="K217">
        <v>0.28789999999999999</v>
      </c>
      <c r="L217">
        <v>0.61</v>
      </c>
      <c r="M217">
        <v>0.1045</v>
      </c>
      <c r="N217">
        <v>5</v>
      </c>
      <c r="O217">
        <v>21</v>
      </c>
      <c r="P217">
        <v>26</v>
      </c>
      <c r="Q217" t="s">
        <v>71</v>
      </c>
      <c r="R217" t="s">
        <v>50</v>
      </c>
    </row>
    <row r="218" spans="1:18" x14ac:dyDescent="0.3">
      <c r="A218">
        <v>827</v>
      </c>
      <c r="B218" s="37">
        <v>40580</v>
      </c>
      <c r="C218">
        <v>1</v>
      </c>
      <c r="D218">
        <v>0</v>
      </c>
      <c r="E218">
        <v>2</v>
      </c>
      <c r="F218">
        <v>21</v>
      </c>
      <c r="G218" t="b">
        <v>0</v>
      </c>
      <c r="H218">
        <v>0</v>
      </c>
      <c r="I218">
        <v>1</v>
      </c>
      <c r="J218">
        <v>0.26</v>
      </c>
      <c r="K218">
        <v>0.30299999999999999</v>
      </c>
      <c r="L218">
        <v>0.6</v>
      </c>
      <c r="M218">
        <v>0</v>
      </c>
      <c r="N218">
        <v>5</v>
      </c>
      <c r="O218">
        <v>22</v>
      </c>
      <c r="P218">
        <v>27</v>
      </c>
      <c r="Q218" t="s">
        <v>71</v>
      </c>
      <c r="R218" t="s">
        <v>50</v>
      </c>
    </row>
    <row r="219" spans="1:18" x14ac:dyDescent="0.3">
      <c r="A219">
        <v>828</v>
      </c>
      <c r="B219" s="37">
        <v>40580</v>
      </c>
      <c r="C219">
        <v>1</v>
      </c>
      <c r="D219">
        <v>0</v>
      </c>
      <c r="E219">
        <v>2</v>
      </c>
      <c r="F219">
        <v>22</v>
      </c>
      <c r="G219" t="b">
        <v>0</v>
      </c>
      <c r="H219">
        <v>0</v>
      </c>
      <c r="I219">
        <v>1</v>
      </c>
      <c r="J219">
        <v>0.26</v>
      </c>
      <c r="K219">
        <v>0.30299999999999999</v>
      </c>
      <c r="L219">
        <v>0.6</v>
      </c>
      <c r="M219">
        <v>0</v>
      </c>
      <c r="N219">
        <v>5</v>
      </c>
      <c r="O219">
        <v>57</v>
      </c>
      <c r="P219">
        <v>62</v>
      </c>
      <c r="Q219" t="s">
        <v>71</v>
      </c>
      <c r="R219" t="s">
        <v>50</v>
      </c>
    </row>
    <row r="220" spans="1:18" x14ac:dyDescent="0.3">
      <c r="A220">
        <v>829</v>
      </c>
      <c r="B220" s="37">
        <v>40580</v>
      </c>
      <c r="C220">
        <v>1</v>
      </c>
      <c r="D220">
        <v>0</v>
      </c>
      <c r="E220">
        <v>2</v>
      </c>
      <c r="F220">
        <v>23</v>
      </c>
      <c r="G220" t="b">
        <v>0</v>
      </c>
      <c r="H220">
        <v>0</v>
      </c>
      <c r="I220">
        <v>1</v>
      </c>
      <c r="J220">
        <v>0.24</v>
      </c>
      <c r="K220">
        <v>0.28789999999999999</v>
      </c>
      <c r="L220">
        <v>0.65</v>
      </c>
      <c r="M220">
        <v>0</v>
      </c>
      <c r="N220">
        <v>4</v>
      </c>
      <c r="O220">
        <v>26</v>
      </c>
      <c r="P220">
        <v>30</v>
      </c>
      <c r="Q220" t="s">
        <v>71</v>
      </c>
      <c r="R220" t="s">
        <v>50</v>
      </c>
    </row>
    <row r="221" spans="1:18" x14ac:dyDescent="0.3">
      <c r="A221">
        <v>830</v>
      </c>
      <c r="B221" s="37">
        <v>40581</v>
      </c>
      <c r="C221">
        <v>1</v>
      </c>
      <c r="D221">
        <v>0</v>
      </c>
      <c r="E221">
        <v>2</v>
      </c>
      <c r="F221">
        <v>0</v>
      </c>
      <c r="G221" t="b">
        <v>0</v>
      </c>
      <c r="H221">
        <v>1</v>
      </c>
      <c r="I221">
        <v>1</v>
      </c>
      <c r="J221">
        <v>0.24</v>
      </c>
      <c r="K221">
        <v>0.28789999999999999</v>
      </c>
      <c r="L221">
        <v>0.65</v>
      </c>
      <c r="M221">
        <v>0</v>
      </c>
      <c r="N221">
        <v>1</v>
      </c>
      <c r="O221">
        <v>14</v>
      </c>
      <c r="P221">
        <v>15</v>
      </c>
      <c r="Q221" t="s">
        <v>72</v>
      </c>
      <c r="R221" t="s">
        <v>51</v>
      </c>
    </row>
    <row r="222" spans="1:18" x14ac:dyDescent="0.3">
      <c r="A222">
        <v>831</v>
      </c>
      <c r="B222" s="37">
        <v>40581</v>
      </c>
      <c r="C222">
        <v>1</v>
      </c>
      <c r="D222">
        <v>0</v>
      </c>
      <c r="E222">
        <v>2</v>
      </c>
      <c r="F222">
        <v>1</v>
      </c>
      <c r="G222" t="b">
        <v>0</v>
      </c>
      <c r="H222">
        <v>1</v>
      </c>
      <c r="I222">
        <v>1</v>
      </c>
      <c r="J222">
        <v>0.22</v>
      </c>
      <c r="K222">
        <v>0.2727</v>
      </c>
      <c r="L222">
        <v>0.75</v>
      </c>
      <c r="M222">
        <v>0</v>
      </c>
      <c r="N222">
        <v>1</v>
      </c>
      <c r="O222">
        <v>4</v>
      </c>
      <c r="P222">
        <v>5</v>
      </c>
      <c r="Q222" t="s">
        <v>72</v>
      </c>
      <c r="R222" t="s">
        <v>51</v>
      </c>
    </row>
    <row r="223" spans="1:18" x14ac:dyDescent="0.3">
      <c r="A223">
        <v>832</v>
      </c>
      <c r="B223" s="37">
        <v>40581</v>
      </c>
      <c r="C223">
        <v>1</v>
      </c>
      <c r="D223">
        <v>0</v>
      </c>
      <c r="E223">
        <v>2</v>
      </c>
      <c r="F223">
        <v>2</v>
      </c>
      <c r="G223" t="b">
        <v>0</v>
      </c>
      <c r="H223">
        <v>1</v>
      </c>
      <c r="I223">
        <v>1</v>
      </c>
      <c r="J223">
        <v>0.2</v>
      </c>
      <c r="K223">
        <v>0.2576</v>
      </c>
      <c r="L223">
        <v>0.8</v>
      </c>
      <c r="M223">
        <v>0</v>
      </c>
      <c r="N223">
        <v>0</v>
      </c>
      <c r="O223">
        <v>3</v>
      </c>
      <c r="P223">
        <v>3</v>
      </c>
      <c r="Q223" t="s">
        <v>72</v>
      </c>
      <c r="R223" t="s">
        <v>51</v>
      </c>
    </row>
    <row r="224" spans="1:18" x14ac:dyDescent="0.3">
      <c r="A224">
        <v>833</v>
      </c>
      <c r="B224" s="37">
        <v>40581</v>
      </c>
      <c r="C224">
        <v>1</v>
      </c>
      <c r="D224">
        <v>0</v>
      </c>
      <c r="E224">
        <v>2</v>
      </c>
      <c r="F224">
        <v>3</v>
      </c>
      <c r="G224" t="b">
        <v>0</v>
      </c>
      <c r="H224">
        <v>1</v>
      </c>
      <c r="I224">
        <v>1</v>
      </c>
      <c r="J224">
        <v>0.2</v>
      </c>
      <c r="K224">
        <v>0.2576</v>
      </c>
      <c r="L224">
        <v>0.86</v>
      </c>
      <c r="M224">
        <v>0</v>
      </c>
      <c r="N224">
        <v>0</v>
      </c>
      <c r="O224">
        <v>1</v>
      </c>
      <c r="P224">
        <v>1</v>
      </c>
      <c r="Q224" t="s">
        <v>72</v>
      </c>
      <c r="R224" t="s">
        <v>51</v>
      </c>
    </row>
    <row r="225" spans="1:18" x14ac:dyDescent="0.3">
      <c r="A225">
        <v>834</v>
      </c>
      <c r="B225" s="37">
        <v>40581</v>
      </c>
      <c r="C225">
        <v>1</v>
      </c>
      <c r="D225">
        <v>0</v>
      </c>
      <c r="E225">
        <v>2</v>
      </c>
      <c r="F225">
        <v>4</v>
      </c>
      <c r="G225" t="b">
        <v>0</v>
      </c>
      <c r="H225">
        <v>1</v>
      </c>
      <c r="I225">
        <v>1</v>
      </c>
      <c r="J225">
        <v>0.2</v>
      </c>
      <c r="K225">
        <v>0.2576</v>
      </c>
      <c r="L225">
        <v>0.86</v>
      </c>
      <c r="M225">
        <v>0</v>
      </c>
      <c r="N225">
        <v>1</v>
      </c>
      <c r="O225">
        <v>1</v>
      </c>
      <c r="P225">
        <v>2</v>
      </c>
      <c r="Q225" t="s">
        <v>72</v>
      </c>
      <c r="R225" t="s">
        <v>51</v>
      </c>
    </row>
    <row r="226" spans="1:18" x14ac:dyDescent="0.3">
      <c r="A226">
        <v>835</v>
      </c>
      <c r="B226" s="37">
        <v>40581</v>
      </c>
      <c r="C226">
        <v>1</v>
      </c>
      <c r="D226">
        <v>0</v>
      </c>
      <c r="E226">
        <v>2</v>
      </c>
      <c r="F226">
        <v>5</v>
      </c>
      <c r="G226" t="b">
        <v>0</v>
      </c>
      <c r="H226">
        <v>1</v>
      </c>
      <c r="I226">
        <v>1</v>
      </c>
      <c r="J226">
        <v>0.2</v>
      </c>
      <c r="K226">
        <v>0.2576</v>
      </c>
      <c r="L226">
        <v>0.86</v>
      </c>
      <c r="M226">
        <v>0</v>
      </c>
      <c r="N226">
        <v>1</v>
      </c>
      <c r="O226">
        <v>9</v>
      </c>
      <c r="P226">
        <v>10</v>
      </c>
      <c r="Q226" t="s">
        <v>72</v>
      </c>
      <c r="R226" t="s">
        <v>51</v>
      </c>
    </row>
    <row r="227" spans="1:18" x14ac:dyDescent="0.3">
      <c r="A227">
        <v>836</v>
      </c>
      <c r="B227" s="37">
        <v>40581</v>
      </c>
      <c r="C227">
        <v>1</v>
      </c>
      <c r="D227">
        <v>0</v>
      </c>
      <c r="E227">
        <v>2</v>
      </c>
      <c r="F227">
        <v>6</v>
      </c>
      <c r="G227" t="b">
        <v>0</v>
      </c>
      <c r="H227">
        <v>1</v>
      </c>
      <c r="I227">
        <v>1</v>
      </c>
      <c r="J227">
        <v>0.18</v>
      </c>
      <c r="K227">
        <v>0.2424</v>
      </c>
      <c r="L227">
        <v>0.93</v>
      </c>
      <c r="M227">
        <v>0</v>
      </c>
      <c r="N227">
        <v>1</v>
      </c>
      <c r="O227">
        <v>29</v>
      </c>
      <c r="P227">
        <v>30</v>
      </c>
      <c r="Q227" t="s">
        <v>72</v>
      </c>
      <c r="R227" t="s">
        <v>51</v>
      </c>
    </row>
    <row r="228" spans="1:18" x14ac:dyDescent="0.3">
      <c r="A228">
        <v>837</v>
      </c>
      <c r="B228" s="37">
        <v>40581</v>
      </c>
      <c r="C228">
        <v>1</v>
      </c>
      <c r="D228">
        <v>0</v>
      </c>
      <c r="E228">
        <v>2</v>
      </c>
      <c r="F228">
        <v>7</v>
      </c>
      <c r="G228" t="b">
        <v>0</v>
      </c>
      <c r="H228">
        <v>1</v>
      </c>
      <c r="I228">
        <v>1</v>
      </c>
      <c r="J228">
        <v>0.18</v>
      </c>
      <c r="K228">
        <v>0.2424</v>
      </c>
      <c r="L228">
        <v>0.86</v>
      </c>
      <c r="M228">
        <v>0</v>
      </c>
      <c r="N228">
        <v>6</v>
      </c>
      <c r="O228">
        <v>89</v>
      </c>
      <c r="P228">
        <v>95</v>
      </c>
      <c r="Q228" t="s">
        <v>72</v>
      </c>
      <c r="R228" t="s">
        <v>51</v>
      </c>
    </row>
    <row r="229" spans="1:18" x14ac:dyDescent="0.3">
      <c r="A229">
        <v>838</v>
      </c>
      <c r="B229" s="37">
        <v>40581</v>
      </c>
      <c r="C229">
        <v>1</v>
      </c>
      <c r="D229">
        <v>0</v>
      </c>
      <c r="E229">
        <v>2</v>
      </c>
      <c r="F229">
        <v>8</v>
      </c>
      <c r="G229" t="b">
        <v>0</v>
      </c>
      <c r="H229">
        <v>1</v>
      </c>
      <c r="I229">
        <v>2</v>
      </c>
      <c r="J229">
        <v>0.16</v>
      </c>
      <c r="K229">
        <v>0.2273</v>
      </c>
      <c r="L229">
        <v>1</v>
      </c>
      <c r="M229">
        <v>0</v>
      </c>
      <c r="N229">
        <v>7</v>
      </c>
      <c r="O229">
        <v>223</v>
      </c>
      <c r="P229">
        <v>230</v>
      </c>
      <c r="Q229" t="s">
        <v>72</v>
      </c>
      <c r="R229" t="s">
        <v>51</v>
      </c>
    </row>
    <row r="230" spans="1:18" x14ac:dyDescent="0.3">
      <c r="A230">
        <v>839</v>
      </c>
      <c r="B230" s="37">
        <v>40581</v>
      </c>
      <c r="C230">
        <v>1</v>
      </c>
      <c r="D230">
        <v>0</v>
      </c>
      <c r="E230">
        <v>2</v>
      </c>
      <c r="F230">
        <v>9</v>
      </c>
      <c r="G230" t="b">
        <v>0</v>
      </c>
      <c r="H230">
        <v>1</v>
      </c>
      <c r="I230">
        <v>1</v>
      </c>
      <c r="J230">
        <v>0.22</v>
      </c>
      <c r="K230">
        <v>0.2727</v>
      </c>
      <c r="L230">
        <v>0.8</v>
      </c>
      <c r="M230">
        <v>0</v>
      </c>
      <c r="N230">
        <v>3</v>
      </c>
      <c r="O230">
        <v>115</v>
      </c>
      <c r="P230">
        <v>118</v>
      </c>
      <c r="Q230" t="s">
        <v>72</v>
      </c>
      <c r="R230" t="s">
        <v>51</v>
      </c>
    </row>
    <row r="231" spans="1:18" x14ac:dyDescent="0.3">
      <c r="A231">
        <v>840</v>
      </c>
      <c r="B231" s="37">
        <v>40581</v>
      </c>
      <c r="C231">
        <v>1</v>
      </c>
      <c r="D231">
        <v>0</v>
      </c>
      <c r="E231">
        <v>2</v>
      </c>
      <c r="F231">
        <v>10</v>
      </c>
      <c r="G231" t="b">
        <v>0</v>
      </c>
      <c r="H231">
        <v>1</v>
      </c>
      <c r="I231">
        <v>1</v>
      </c>
      <c r="J231">
        <v>0.24</v>
      </c>
      <c r="K231">
        <v>0.2576</v>
      </c>
      <c r="L231">
        <v>0.75</v>
      </c>
      <c r="M231">
        <v>0.1045</v>
      </c>
      <c r="N231">
        <v>6</v>
      </c>
      <c r="O231">
        <v>49</v>
      </c>
      <c r="P231">
        <v>55</v>
      </c>
      <c r="Q231" t="s">
        <v>72</v>
      </c>
      <c r="R231" t="s">
        <v>51</v>
      </c>
    </row>
    <row r="232" spans="1:18" x14ac:dyDescent="0.3">
      <c r="A232">
        <v>841</v>
      </c>
      <c r="B232" s="37">
        <v>40581</v>
      </c>
      <c r="C232">
        <v>1</v>
      </c>
      <c r="D232">
        <v>0</v>
      </c>
      <c r="E232">
        <v>2</v>
      </c>
      <c r="F232">
        <v>11</v>
      </c>
      <c r="G232" t="b">
        <v>0</v>
      </c>
      <c r="H232">
        <v>1</v>
      </c>
      <c r="I232">
        <v>1</v>
      </c>
      <c r="J232">
        <v>0.3</v>
      </c>
      <c r="K232">
        <v>0.31819999999999998</v>
      </c>
      <c r="L232">
        <v>0.65</v>
      </c>
      <c r="M232">
        <v>8.9599999999999999E-2</v>
      </c>
      <c r="N232">
        <v>11</v>
      </c>
      <c r="O232">
        <v>36</v>
      </c>
      <c r="P232">
        <v>47</v>
      </c>
      <c r="Q232" t="s">
        <v>72</v>
      </c>
      <c r="R232" t="s">
        <v>51</v>
      </c>
    </row>
    <row r="233" spans="1:18" x14ac:dyDescent="0.3">
      <c r="A233">
        <v>842</v>
      </c>
      <c r="B233" s="37">
        <v>40581</v>
      </c>
      <c r="C233">
        <v>1</v>
      </c>
      <c r="D233">
        <v>0</v>
      </c>
      <c r="E233">
        <v>2</v>
      </c>
      <c r="F233">
        <v>12</v>
      </c>
      <c r="G233" t="b">
        <v>0</v>
      </c>
      <c r="H233">
        <v>1</v>
      </c>
      <c r="I233">
        <v>2</v>
      </c>
      <c r="J233">
        <v>0.32</v>
      </c>
      <c r="K233">
        <v>0.34849999999999998</v>
      </c>
      <c r="L233">
        <v>0.62</v>
      </c>
      <c r="M233">
        <v>0</v>
      </c>
      <c r="N233">
        <v>7</v>
      </c>
      <c r="O233">
        <v>59</v>
      </c>
      <c r="P233">
        <v>66</v>
      </c>
      <c r="Q233" t="s">
        <v>72</v>
      </c>
      <c r="R233" t="s">
        <v>51</v>
      </c>
    </row>
    <row r="234" spans="1:18" x14ac:dyDescent="0.3">
      <c r="A234">
        <v>843</v>
      </c>
      <c r="B234" s="37">
        <v>40581</v>
      </c>
      <c r="C234">
        <v>1</v>
      </c>
      <c r="D234">
        <v>0</v>
      </c>
      <c r="E234">
        <v>2</v>
      </c>
      <c r="F234">
        <v>13</v>
      </c>
      <c r="G234" t="b">
        <v>0</v>
      </c>
      <c r="H234">
        <v>1</v>
      </c>
      <c r="I234">
        <v>2</v>
      </c>
      <c r="J234">
        <v>0.36</v>
      </c>
      <c r="K234">
        <v>0.36359999999999998</v>
      </c>
      <c r="L234">
        <v>0.56999999999999995</v>
      </c>
      <c r="M234">
        <v>8.9599999999999999E-2</v>
      </c>
      <c r="N234">
        <v>10</v>
      </c>
      <c r="O234">
        <v>54</v>
      </c>
      <c r="P234">
        <v>64</v>
      </c>
      <c r="Q234" t="s">
        <v>68</v>
      </c>
      <c r="R234" t="s">
        <v>51</v>
      </c>
    </row>
    <row r="235" spans="1:18" x14ac:dyDescent="0.3">
      <c r="A235">
        <v>844</v>
      </c>
      <c r="B235" s="37">
        <v>40581</v>
      </c>
      <c r="C235">
        <v>1</v>
      </c>
      <c r="D235">
        <v>0</v>
      </c>
      <c r="E235">
        <v>2</v>
      </c>
      <c r="F235">
        <v>14</v>
      </c>
      <c r="G235" t="b">
        <v>0</v>
      </c>
      <c r="H235">
        <v>1</v>
      </c>
      <c r="I235">
        <v>2</v>
      </c>
      <c r="J235">
        <v>0.36</v>
      </c>
      <c r="K235">
        <v>0.36359999999999998</v>
      </c>
      <c r="L235">
        <v>0.56999999999999995</v>
      </c>
      <c r="M235">
        <v>8.9599999999999999E-2</v>
      </c>
      <c r="N235">
        <v>8</v>
      </c>
      <c r="O235">
        <v>52</v>
      </c>
      <c r="P235">
        <v>60</v>
      </c>
      <c r="Q235" t="s">
        <v>68</v>
      </c>
      <c r="R235" t="s">
        <v>51</v>
      </c>
    </row>
    <row r="236" spans="1:18" x14ac:dyDescent="0.3">
      <c r="A236">
        <v>845</v>
      </c>
      <c r="B236" s="37">
        <v>40581</v>
      </c>
      <c r="C236">
        <v>1</v>
      </c>
      <c r="D236">
        <v>0</v>
      </c>
      <c r="E236">
        <v>2</v>
      </c>
      <c r="F236">
        <v>15</v>
      </c>
      <c r="G236" t="b">
        <v>0</v>
      </c>
      <c r="H236">
        <v>1</v>
      </c>
      <c r="I236">
        <v>2</v>
      </c>
      <c r="J236">
        <v>0.38</v>
      </c>
      <c r="K236">
        <v>0.39389999999999997</v>
      </c>
      <c r="L236">
        <v>0.54</v>
      </c>
      <c r="M236">
        <v>8.9599999999999999E-2</v>
      </c>
      <c r="N236">
        <v>4</v>
      </c>
      <c r="O236">
        <v>46</v>
      </c>
      <c r="P236">
        <v>50</v>
      </c>
      <c r="Q236" t="s">
        <v>68</v>
      </c>
      <c r="R236" t="s">
        <v>51</v>
      </c>
    </row>
    <row r="237" spans="1:18" x14ac:dyDescent="0.3">
      <c r="A237">
        <v>846</v>
      </c>
      <c r="B237" s="37">
        <v>40581</v>
      </c>
      <c r="C237">
        <v>1</v>
      </c>
      <c r="D237">
        <v>0</v>
      </c>
      <c r="E237">
        <v>2</v>
      </c>
      <c r="F237">
        <v>16</v>
      </c>
      <c r="G237" t="b">
        <v>0</v>
      </c>
      <c r="H237">
        <v>1</v>
      </c>
      <c r="I237">
        <v>2</v>
      </c>
      <c r="J237">
        <v>0.36</v>
      </c>
      <c r="K237">
        <v>0.34849999999999998</v>
      </c>
      <c r="L237">
        <v>0.56999999999999995</v>
      </c>
      <c r="M237">
        <v>0.1343</v>
      </c>
      <c r="N237">
        <v>16</v>
      </c>
      <c r="O237">
        <v>98</v>
      </c>
      <c r="P237">
        <v>114</v>
      </c>
      <c r="Q237" t="s">
        <v>68</v>
      </c>
      <c r="R237" t="s">
        <v>51</v>
      </c>
    </row>
    <row r="238" spans="1:18" x14ac:dyDescent="0.3">
      <c r="A238">
        <v>847</v>
      </c>
      <c r="B238" s="37">
        <v>40581</v>
      </c>
      <c r="C238">
        <v>1</v>
      </c>
      <c r="D238">
        <v>0</v>
      </c>
      <c r="E238">
        <v>2</v>
      </c>
      <c r="F238">
        <v>17</v>
      </c>
      <c r="G238" t="b">
        <v>0</v>
      </c>
      <c r="H238">
        <v>1</v>
      </c>
      <c r="I238">
        <v>2</v>
      </c>
      <c r="J238">
        <v>0.32</v>
      </c>
      <c r="K238">
        <v>0.31819999999999998</v>
      </c>
      <c r="L238">
        <v>0.7</v>
      </c>
      <c r="M238">
        <v>0.16420000000000001</v>
      </c>
      <c r="N238">
        <v>9</v>
      </c>
      <c r="O238">
        <v>207</v>
      </c>
      <c r="P238">
        <v>216</v>
      </c>
      <c r="Q238" t="s">
        <v>68</v>
      </c>
      <c r="R238" t="s">
        <v>51</v>
      </c>
    </row>
    <row r="239" spans="1:18" x14ac:dyDescent="0.3">
      <c r="A239">
        <v>848</v>
      </c>
      <c r="B239" s="37">
        <v>40581</v>
      </c>
      <c r="C239">
        <v>1</v>
      </c>
      <c r="D239">
        <v>0</v>
      </c>
      <c r="E239">
        <v>2</v>
      </c>
      <c r="F239">
        <v>18</v>
      </c>
      <c r="G239" t="b">
        <v>0</v>
      </c>
      <c r="H239">
        <v>1</v>
      </c>
      <c r="I239">
        <v>2</v>
      </c>
      <c r="J239">
        <v>0.34</v>
      </c>
      <c r="K239">
        <v>0.33329999999999999</v>
      </c>
      <c r="L239">
        <v>0.66</v>
      </c>
      <c r="M239">
        <v>0.1343</v>
      </c>
      <c r="N239">
        <v>5</v>
      </c>
      <c r="O239">
        <v>170</v>
      </c>
      <c r="P239">
        <v>175</v>
      </c>
      <c r="Q239" t="s">
        <v>68</v>
      </c>
      <c r="R239" t="s">
        <v>51</v>
      </c>
    </row>
    <row r="240" spans="1:18" x14ac:dyDescent="0.3">
      <c r="A240">
        <v>849</v>
      </c>
      <c r="B240" s="37">
        <v>40581</v>
      </c>
      <c r="C240">
        <v>1</v>
      </c>
      <c r="D240">
        <v>0</v>
      </c>
      <c r="E240">
        <v>2</v>
      </c>
      <c r="F240">
        <v>19</v>
      </c>
      <c r="G240" t="b">
        <v>0</v>
      </c>
      <c r="H240">
        <v>1</v>
      </c>
      <c r="I240">
        <v>2</v>
      </c>
      <c r="J240">
        <v>0.32</v>
      </c>
      <c r="K240">
        <v>0.34849999999999998</v>
      </c>
      <c r="L240">
        <v>0.7</v>
      </c>
      <c r="M240">
        <v>0</v>
      </c>
      <c r="N240">
        <v>5</v>
      </c>
      <c r="O240">
        <v>123</v>
      </c>
      <c r="P240">
        <v>128</v>
      </c>
      <c r="Q240" t="s">
        <v>71</v>
      </c>
      <c r="R240" t="s">
        <v>51</v>
      </c>
    </row>
    <row r="241" spans="1:18" x14ac:dyDescent="0.3">
      <c r="A241">
        <v>850</v>
      </c>
      <c r="B241" s="37">
        <v>40581</v>
      </c>
      <c r="C241">
        <v>1</v>
      </c>
      <c r="D241">
        <v>0</v>
      </c>
      <c r="E241">
        <v>2</v>
      </c>
      <c r="F241">
        <v>20</v>
      </c>
      <c r="G241" t="b">
        <v>0</v>
      </c>
      <c r="H241">
        <v>1</v>
      </c>
      <c r="I241">
        <v>2</v>
      </c>
      <c r="J241">
        <v>0.32</v>
      </c>
      <c r="K241">
        <v>0.33329999999999999</v>
      </c>
      <c r="L241">
        <v>0.7</v>
      </c>
      <c r="M241">
        <v>0.1045</v>
      </c>
      <c r="N241">
        <v>6</v>
      </c>
      <c r="O241">
        <v>82</v>
      </c>
      <c r="P241">
        <v>88</v>
      </c>
      <c r="Q241" t="s">
        <v>71</v>
      </c>
      <c r="R241" t="s">
        <v>51</v>
      </c>
    </row>
    <row r="242" spans="1:18" x14ac:dyDescent="0.3">
      <c r="A242">
        <v>851</v>
      </c>
      <c r="B242" s="37">
        <v>40581</v>
      </c>
      <c r="C242">
        <v>1</v>
      </c>
      <c r="D242">
        <v>0</v>
      </c>
      <c r="E242">
        <v>2</v>
      </c>
      <c r="F242">
        <v>21</v>
      </c>
      <c r="G242" t="b">
        <v>0</v>
      </c>
      <c r="H242">
        <v>1</v>
      </c>
      <c r="I242">
        <v>1</v>
      </c>
      <c r="J242">
        <v>0.32</v>
      </c>
      <c r="K242">
        <v>0.34849999999999998</v>
      </c>
      <c r="L242">
        <v>0.7</v>
      </c>
      <c r="M242">
        <v>0</v>
      </c>
      <c r="N242">
        <v>3</v>
      </c>
      <c r="O242">
        <v>75</v>
      </c>
      <c r="P242">
        <v>78</v>
      </c>
      <c r="Q242" t="s">
        <v>71</v>
      </c>
      <c r="R242" t="s">
        <v>51</v>
      </c>
    </row>
    <row r="243" spans="1:18" x14ac:dyDescent="0.3">
      <c r="A243">
        <v>852</v>
      </c>
      <c r="B243" s="37">
        <v>40581</v>
      </c>
      <c r="C243">
        <v>1</v>
      </c>
      <c r="D243">
        <v>0</v>
      </c>
      <c r="E243">
        <v>2</v>
      </c>
      <c r="F243">
        <v>22</v>
      </c>
      <c r="G243" t="b">
        <v>0</v>
      </c>
      <c r="H243">
        <v>1</v>
      </c>
      <c r="I243">
        <v>1</v>
      </c>
      <c r="J243">
        <v>0.28000000000000003</v>
      </c>
      <c r="K243">
        <v>0.30299999999999999</v>
      </c>
      <c r="L243">
        <v>0.81</v>
      </c>
      <c r="M243">
        <v>8.9599999999999999E-2</v>
      </c>
      <c r="N243">
        <v>3</v>
      </c>
      <c r="O243">
        <v>34</v>
      </c>
      <c r="P243">
        <v>37</v>
      </c>
      <c r="Q243" t="s">
        <v>71</v>
      </c>
      <c r="R243" t="s">
        <v>51</v>
      </c>
    </row>
    <row r="244" spans="1:18" x14ac:dyDescent="0.3">
      <c r="A244">
        <v>853</v>
      </c>
      <c r="B244" s="37">
        <v>40581</v>
      </c>
      <c r="C244">
        <v>1</v>
      </c>
      <c r="D244">
        <v>0</v>
      </c>
      <c r="E244">
        <v>2</v>
      </c>
      <c r="F244">
        <v>23</v>
      </c>
      <c r="G244" t="b">
        <v>0</v>
      </c>
      <c r="H244">
        <v>1</v>
      </c>
      <c r="I244">
        <v>2</v>
      </c>
      <c r="J244">
        <v>0.3</v>
      </c>
      <c r="K244">
        <v>0.33329999999999999</v>
      </c>
      <c r="L244">
        <v>0.81</v>
      </c>
      <c r="M244">
        <v>0</v>
      </c>
      <c r="N244">
        <v>6</v>
      </c>
      <c r="O244">
        <v>19</v>
      </c>
      <c r="P244">
        <v>25</v>
      </c>
      <c r="Q244" t="s">
        <v>71</v>
      </c>
      <c r="R244" t="s">
        <v>51</v>
      </c>
    </row>
    <row r="245" spans="1:18" x14ac:dyDescent="0.3">
      <c r="A245">
        <v>854</v>
      </c>
      <c r="B245" s="37">
        <v>40582</v>
      </c>
      <c r="C245">
        <v>1</v>
      </c>
      <c r="D245">
        <v>0</v>
      </c>
      <c r="E245">
        <v>2</v>
      </c>
      <c r="F245">
        <v>0</v>
      </c>
      <c r="G245" t="b">
        <v>0</v>
      </c>
      <c r="H245">
        <v>2</v>
      </c>
      <c r="I245">
        <v>2</v>
      </c>
      <c r="J245">
        <v>0.28000000000000003</v>
      </c>
      <c r="K245">
        <v>0.31819999999999998</v>
      </c>
      <c r="L245">
        <v>0.87</v>
      </c>
      <c r="M245">
        <v>0</v>
      </c>
      <c r="N245">
        <v>4</v>
      </c>
      <c r="O245">
        <v>6</v>
      </c>
      <c r="P245">
        <v>10</v>
      </c>
      <c r="Q245" t="s">
        <v>72</v>
      </c>
      <c r="R245" t="s">
        <v>52</v>
      </c>
    </row>
    <row r="246" spans="1:18" x14ac:dyDescent="0.3">
      <c r="A246">
        <v>855</v>
      </c>
      <c r="B246" s="37">
        <v>40582</v>
      </c>
      <c r="C246">
        <v>1</v>
      </c>
      <c r="D246">
        <v>0</v>
      </c>
      <c r="E246">
        <v>2</v>
      </c>
      <c r="F246">
        <v>1</v>
      </c>
      <c r="G246" t="b">
        <v>0</v>
      </c>
      <c r="H246">
        <v>2</v>
      </c>
      <c r="I246">
        <v>2</v>
      </c>
      <c r="J246">
        <v>0.28000000000000003</v>
      </c>
      <c r="K246">
        <v>0.31819999999999998</v>
      </c>
      <c r="L246">
        <v>0.87</v>
      </c>
      <c r="M246">
        <v>0</v>
      </c>
      <c r="N246">
        <v>0</v>
      </c>
      <c r="O246">
        <v>4</v>
      </c>
      <c r="P246">
        <v>4</v>
      </c>
      <c r="Q246" t="s">
        <v>72</v>
      </c>
      <c r="R246" t="s">
        <v>52</v>
      </c>
    </row>
    <row r="247" spans="1:18" x14ac:dyDescent="0.3">
      <c r="A247">
        <v>856</v>
      </c>
      <c r="B247" s="37">
        <v>40582</v>
      </c>
      <c r="C247">
        <v>1</v>
      </c>
      <c r="D247">
        <v>0</v>
      </c>
      <c r="E247">
        <v>2</v>
      </c>
      <c r="F247">
        <v>2</v>
      </c>
      <c r="G247" t="b">
        <v>0</v>
      </c>
      <c r="H247">
        <v>2</v>
      </c>
      <c r="I247">
        <v>2</v>
      </c>
      <c r="J247">
        <v>0.26</v>
      </c>
      <c r="K247">
        <v>0.2727</v>
      </c>
      <c r="L247">
        <v>0.93</v>
      </c>
      <c r="M247">
        <v>0.1045</v>
      </c>
      <c r="N247">
        <v>1</v>
      </c>
      <c r="O247">
        <v>1</v>
      </c>
      <c r="P247">
        <v>2</v>
      </c>
      <c r="Q247" t="s">
        <v>72</v>
      </c>
      <c r="R247" t="s">
        <v>52</v>
      </c>
    </row>
    <row r="248" spans="1:18" x14ac:dyDescent="0.3">
      <c r="A248">
        <v>857</v>
      </c>
      <c r="B248" s="37">
        <v>40582</v>
      </c>
      <c r="C248">
        <v>1</v>
      </c>
      <c r="D248">
        <v>0</v>
      </c>
      <c r="E248">
        <v>2</v>
      </c>
      <c r="F248">
        <v>3</v>
      </c>
      <c r="G248" t="b">
        <v>0</v>
      </c>
      <c r="H248">
        <v>2</v>
      </c>
      <c r="I248">
        <v>3</v>
      </c>
      <c r="J248">
        <v>0.28000000000000003</v>
      </c>
      <c r="K248">
        <v>0.2727</v>
      </c>
      <c r="L248">
        <v>0.93</v>
      </c>
      <c r="M248">
        <v>0.16420000000000001</v>
      </c>
      <c r="N248">
        <v>0</v>
      </c>
      <c r="O248">
        <v>1</v>
      </c>
      <c r="P248">
        <v>1</v>
      </c>
      <c r="Q248" t="s">
        <v>72</v>
      </c>
      <c r="R248" t="s">
        <v>52</v>
      </c>
    </row>
    <row r="249" spans="1:18" x14ac:dyDescent="0.3">
      <c r="A249">
        <v>858</v>
      </c>
      <c r="B249" s="37">
        <v>40582</v>
      </c>
      <c r="C249">
        <v>1</v>
      </c>
      <c r="D249">
        <v>0</v>
      </c>
      <c r="E249">
        <v>2</v>
      </c>
      <c r="F249">
        <v>4</v>
      </c>
      <c r="G249" t="b">
        <v>0</v>
      </c>
      <c r="H249">
        <v>2</v>
      </c>
      <c r="I249">
        <v>1</v>
      </c>
      <c r="J249">
        <v>0.26</v>
      </c>
      <c r="K249">
        <v>0.2576</v>
      </c>
      <c r="L249">
        <v>0.93</v>
      </c>
      <c r="M249">
        <v>0.16420000000000001</v>
      </c>
      <c r="N249">
        <v>0</v>
      </c>
      <c r="O249">
        <v>3</v>
      </c>
      <c r="P249">
        <v>3</v>
      </c>
      <c r="Q249" t="s">
        <v>72</v>
      </c>
      <c r="R249" t="s">
        <v>52</v>
      </c>
    </row>
    <row r="250" spans="1:18" x14ac:dyDescent="0.3">
      <c r="A250">
        <v>859</v>
      </c>
      <c r="B250" s="37">
        <v>40582</v>
      </c>
      <c r="C250">
        <v>1</v>
      </c>
      <c r="D250">
        <v>0</v>
      </c>
      <c r="E250">
        <v>2</v>
      </c>
      <c r="F250">
        <v>5</v>
      </c>
      <c r="G250" t="b">
        <v>0</v>
      </c>
      <c r="H250">
        <v>2</v>
      </c>
      <c r="I250">
        <v>1</v>
      </c>
      <c r="J250">
        <v>0.26</v>
      </c>
      <c r="K250">
        <v>0.2273</v>
      </c>
      <c r="L250">
        <v>0.81</v>
      </c>
      <c r="M250">
        <v>0.32840000000000003</v>
      </c>
      <c r="N250">
        <v>0</v>
      </c>
      <c r="O250">
        <v>2</v>
      </c>
      <c r="P250">
        <v>2</v>
      </c>
      <c r="Q250" t="s">
        <v>72</v>
      </c>
      <c r="R250" t="s">
        <v>52</v>
      </c>
    </row>
    <row r="251" spans="1:18" x14ac:dyDescent="0.3">
      <c r="A251">
        <v>860</v>
      </c>
      <c r="B251" s="37">
        <v>40582</v>
      </c>
      <c r="C251">
        <v>1</v>
      </c>
      <c r="D251">
        <v>0</v>
      </c>
      <c r="E251">
        <v>2</v>
      </c>
      <c r="F251">
        <v>6</v>
      </c>
      <c r="G251" t="b">
        <v>0</v>
      </c>
      <c r="H251">
        <v>2</v>
      </c>
      <c r="I251">
        <v>1</v>
      </c>
      <c r="J251">
        <v>0.26</v>
      </c>
      <c r="K251">
        <v>0.2273</v>
      </c>
      <c r="L251">
        <v>0.7</v>
      </c>
      <c r="M251">
        <v>0.32840000000000003</v>
      </c>
      <c r="N251">
        <v>0</v>
      </c>
      <c r="O251">
        <v>39</v>
      </c>
      <c r="P251">
        <v>39</v>
      </c>
      <c r="Q251" t="s">
        <v>72</v>
      </c>
      <c r="R251" t="s">
        <v>52</v>
      </c>
    </row>
    <row r="252" spans="1:18" x14ac:dyDescent="0.3">
      <c r="A252">
        <v>861</v>
      </c>
      <c r="B252" s="37">
        <v>40582</v>
      </c>
      <c r="C252">
        <v>1</v>
      </c>
      <c r="D252">
        <v>0</v>
      </c>
      <c r="E252">
        <v>2</v>
      </c>
      <c r="F252">
        <v>7</v>
      </c>
      <c r="G252" t="b">
        <v>0</v>
      </c>
      <c r="H252">
        <v>2</v>
      </c>
      <c r="I252">
        <v>1</v>
      </c>
      <c r="J252">
        <v>0.24</v>
      </c>
      <c r="K252">
        <v>0.19700000000000001</v>
      </c>
      <c r="L252">
        <v>0.65</v>
      </c>
      <c r="M252">
        <v>0.41789999999999999</v>
      </c>
      <c r="N252">
        <v>3</v>
      </c>
      <c r="O252">
        <v>97</v>
      </c>
      <c r="P252">
        <v>100</v>
      </c>
      <c r="Q252" t="s">
        <v>72</v>
      </c>
      <c r="R252" t="s">
        <v>52</v>
      </c>
    </row>
    <row r="253" spans="1:18" x14ac:dyDescent="0.3">
      <c r="A253">
        <v>862</v>
      </c>
      <c r="B253" s="37">
        <v>40582</v>
      </c>
      <c r="C253">
        <v>1</v>
      </c>
      <c r="D253">
        <v>0</v>
      </c>
      <c r="E253">
        <v>2</v>
      </c>
      <c r="F253">
        <v>8</v>
      </c>
      <c r="G253" t="b">
        <v>0</v>
      </c>
      <c r="H253">
        <v>2</v>
      </c>
      <c r="I253">
        <v>1</v>
      </c>
      <c r="J253">
        <v>0.24</v>
      </c>
      <c r="K253">
        <v>0.19700000000000001</v>
      </c>
      <c r="L253">
        <v>0.56000000000000005</v>
      </c>
      <c r="M253">
        <v>0.49249999999999999</v>
      </c>
      <c r="N253">
        <v>7</v>
      </c>
      <c r="O253">
        <v>236</v>
      </c>
      <c r="P253">
        <v>243</v>
      </c>
      <c r="Q253" t="s">
        <v>72</v>
      </c>
      <c r="R253" t="s">
        <v>52</v>
      </c>
    </row>
    <row r="254" spans="1:18" x14ac:dyDescent="0.3">
      <c r="A254">
        <v>863</v>
      </c>
      <c r="B254" s="37">
        <v>40582</v>
      </c>
      <c r="C254">
        <v>1</v>
      </c>
      <c r="D254">
        <v>0</v>
      </c>
      <c r="E254">
        <v>2</v>
      </c>
      <c r="F254">
        <v>9</v>
      </c>
      <c r="G254" t="b">
        <v>0</v>
      </c>
      <c r="H254">
        <v>2</v>
      </c>
      <c r="I254">
        <v>1</v>
      </c>
      <c r="J254">
        <v>0.24</v>
      </c>
      <c r="K254">
        <v>0.19700000000000001</v>
      </c>
      <c r="L254">
        <v>0.52</v>
      </c>
      <c r="M254">
        <v>0.49249999999999999</v>
      </c>
      <c r="N254">
        <v>7</v>
      </c>
      <c r="O254">
        <v>128</v>
      </c>
      <c r="P254">
        <v>135</v>
      </c>
      <c r="Q254" t="s">
        <v>72</v>
      </c>
      <c r="R254" t="s">
        <v>52</v>
      </c>
    </row>
    <row r="255" spans="1:18" x14ac:dyDescent="0.3">
      <c r="A255">
        <v>864</v>
      </c>
      <c r="B255" s="37">
        <v>40582</v>
      </c>
      <c r="C255">
        <v>1</v>
      </c>
      <c r="D255">
        <v>0</v>
      </c>
      <c r="E255">
        <v>2</v>
      </c>
      <c r="F255">
        <v>10</v>
      </c>
      <c r="G255" t="b">
        <v>0</v>
      </c>
      <c r="H255">
        <v>2</v>
      </c>
      <c r="I255">
        <v>1</v>
      </c>
      <c r="J255">
        <v>0.22</v>
      </c>
      <c r="K255">
        <v>0.18179999999999999</v>
      </c>
      <c r="L255">
        <v>0.47</v>
      </c>
      <c r="M255">
        <v>0.55220000000000002</v>
      </c>
      <c r="N255">
        <v>4</v>
      </c>
      <c r="O255">
        <v>44</v>
      </c>
      <c r="P255">
        <v>48</v>
      </c>
      <c r="Q255" t="s">
        <v>72</v>
      </c>
      <c r="R255" t="s">
        <v>52</v>
      </c>
    </row>
    <row r="256" spans="1:18" x14ac:dyDescent="0.3">
      <c r="A256">
        <v>865</v>
      </c>
      <c r="B256" s="37">
        <v>40582</v>
      </c>
      <c r="C256">
        <v>1</v>
      </c>
      <c r="D256">
        <v>0</v>
      </c>
      <c r="E256">
        <v>2</v>
      </c>
      <c r="F256">
        <v>11</v>
      </c>
      <c r="G256" t="b">
        <v>0</v>
      </c>
      <c r="H256">
        <v>2</v>
      </c>
      <c r="I256">
        <v>1</v>
      </c>
      <c r="J256">
        <v>0.22</v>
      </c>
      <c r="K256">
        <v>0.18179999999999999</v>
      </c>
      <c r="L256">
        <v>0.47</v>
      </c>
      <c r="M256">
        <v>0.4627</v>
      </c>
      <c r="N256">
        <v>1</v>
      </c>
      <c r="O256">
        <v>49</v>
      </c>
      <c r="P256">
        <v>50</v>
      </c>
      <c r="Q256" t="s">
        <v>72</v>
      </c>
      <c r="R256" t="s">
        <v>52</v>
      </c>
    </row>
    <row r="257" spans="1:18" x14ac:dyDescent="0.3">
      <c r="A257">
        <v>866</v>
      </c>
      <c r="B257" s="37">
        <v>40582</v>
      </c>
      <c r="C257">
        <v>1</v>
      </c>
      <c r="D257">
        <v>0</v>
      </c>
      <c r="E257">
        <v>2</v>
      </c>
      <c r="F257">
        <v>12</v>
      </c>
      <c r="G257" t="b">
        <v>0</v>
      </c>
      <c r="H257">
        <v>2</v>
      </c>
      <c r="I257">
        <v>1</v>
      </c>
      <c r="J257">
        <v>0.24</v>
      </c>
      <c r="K257">
        <v>0.19700000000000001</v>
      </c>
      <c r="L257">
        <v>0.38</v>
      </c>
      <c r="M257">
        <v>0.49249999999999999</v>
      </c>
      <c r="N257">
        <v>2</v>
      </c>
      <c r="O257">
        <v>63</v>
      </c>
      <c r="P257">
        <v>65</v>
      </c>
      <c r="Q257" t="s">
        <v>72</v>
      </c>
      <c r="R257" t="s">
        <v>52</v>
      </c>
    </row>
    <row r="258" spans="1:18" x14ac:dyDescent="0.3">
      <c r="A258">
        <v>867</v>
      </c>
      <c r="B258" s="37">
        <v>40582</v>
      </c>
      <c r="C258">
        <v>1</v>
      </c>
      <c r="D258">
        <v>0</v>
      </c>
      <c r="E258">
        <v>2</v>
      </c>
      <c r="F258">
        <v>13</v>
      </c>
      <c r="G258" t="b">
        <v>0</v>
      </c>
      <c r="H258">
        <v>2</v>
      </c>
      <c r="I258">
        <v>2</v>
      </c>
      <c r="J258">
        <v>0.24</v>
      </c>
      <c r="K258">
        <v>0.19700000000000001</v>
      </c>
      <c r="L258">
        <v>0.32</v>
      </c>
      <c r="M258">
        <v>0.44779999999999998</v>
      </c>
      <c r="N258">
        <v>2</v>
      </c>
      <c r="O258">
        <v>48</v>
      </c>
      <c r="P258">
        <v>50</v>
      </c>
      <c r="Q258" t="s">
        <v>68</v>
      </c>
      <c r="R258" t="s">
        <v>52</v>
      </c>
    </row>
    <row r="259" spans="1:18" x14ac:dyDescent="0.3">
      <c r="A259">
        <v>868</v>
      </c>
      <c r="B259" s="37">
        <v>40582</v>
      </c>
      <c r="C259">
        <v>1</v>
      </c>
      <c r="D259">
        <v>0</v>
      </c>
      <c r="E259">
        <v>2</v>
      </c>
      <c r="F259">
        <v>14</v>
      </c>
      <c r="G259" t="b">
        <v>0</v>
      </c>
      <c r="H259">
        <v>2</v>
      </c>
      <c r="I259">
        <v>1</v>
      </c>
      <c r="J259">
        <v>0.22</v>
      </c>
      <c r="K259">
        <v>0.19700000000000001</v>
      </c>
      <c r="L259">
        <v>0.37</v>
      </c>
      <c r="M259">
        <v>0.41789999999999999</v>
      </c>
      <c r="N259">
        <v>3</v>
      </c>
      <c r="O259">
        <v>61</v>
      </c>
      <c r="P259">
        <v>64</v>
      </c>
      <c r="Q259" t="s">
        <v>68</v>
      </c>
      <c r="R259" t="s">
        <v>52</v>
      </c>
    </row>
    <row r="260" spans="1:18" x14ac:dyDescent="0.3">
      <c r="A260">
        <v>869</v>
      </c>
      <c r="B260" s="37">
        <v>40582</v>
      </c>
      <c r="C260">
        <v>1</v>
      </c>
      <c r="D260">
        <v>0</v>
      </c>
      <c r="E260">
        <v>2</v>
      </c>
      <c r="F260">
        <v>15</v>
      </c>
      <c r="G260" t="b">
        <v>0</v>
      </c>
      <c r="H260">
        <v>2</v>
      </c>
      <c r="I260">
        <v>1</v>
      </c>
      <c r="J260">
        <v>0.22</v>
      </c>
      <c r="K260">
        <v>0.19700000000000001</v>
      </c>
      <c r="L260">
        <v>0.35</v>
      </c>
      <c r="M260">
        <v>0.3881</v>
      </c>
      <c r="N260">
        <v>6</v>
      </c>
      <c r="O260">
        <v>45</v>
      </c>
      <c r="P260">
        <v>51</v>
      </c>
      <c r="Q260" t="s">
        <v>68</v>
      </c>
      <c r="R260" t="s">
        <v>52</v>
      </c>
    </row>
    <row r="261" spans="1:18" x14ac:dyDescent="0.3">
      <c r="A261">
        <v>870</v>
      </c>
      <c r="B261" s="37">
        <v>40582</v>
      </c>
      <c r="C261">
        <v>1</v>
      </c>
      <c r="D261">
        <v>0</v>
      </c>
      <c r="E261">
        <v>2</v>
      </c>
      <c r="F261">
        <v>16</v>
      </c>
      <c r="G261" t="b">
        <v>0</v>
      </c>
      <c r="H261">
        <v>2</v>
      </c>
      <c r="I261">
        <v>1</v>
      </c>
      <c r="J261">
        <v>0.22</v>
      </c>
      <c r="K261">
        <v>0.18179999999999999</v>
      </c>
      <c r="L261">
        <v>0.35</v>
      </c>
      <c r="M261">
        <v>0.52239999999999998</v>
      </c>
      <c r="N261">
        <v>4</v>
      </c>
      <c r="O261">
        <v>79</v>
      </c>
      <c r="P261">
        <v>83</v>
      </c>
      <c r="Q261" t="s">
        <v>68</v>
      </c>
      <c r="R261" t="s">
        <v>52</v>
      </c>
    </row>
    <row r="262" spans="1:18" x14ac:dyDescent="0.3">
      <c r="A262">
        <v>871</v>
      </c>
      <c r="B262" s="37">
        <v>40582</v>
      </c>
      <c r="C262">
        <v>1</v>
      </c>
      <c r="D262">
        <v>0</v>
      </c>
      <c r="E262">
        <v>2</v>
      </c>
      <c r="F262">
        <v>17</v>
      </c>
      <c r="G262" t="b">
        <v>0</v>
      </c>
      <c r="H262">
        <v>2</v>
      </c>
      <c r="I262">
        <v>1</v>
      </c>
      <c r="J262">
        <v>0.22</v>
      </c>
      <c r="K262">
        <v>0.18179999999999999</v>
      </c>
      <c r="L262">
        <v>0.32</v>
      </c>
      <c r="M262">
        <v>0.58209999999999995</v>
      </c>
      <c r="N262">
        <v>4</v>
      </c>
      <c r="O262">
        <v>172</v>
      </c>
      <c r="P262">
        <v>176</v>
      </c>
      <c r="Q262" t="s">
        <v>68</v>
      </c>
      <c r="R262" t="s">
        <v>52</v>
      </c>
    </row>
    <row r="263" spans="1:18" x14ac:dyDescent="0.3">
      <c r="A263">
        <v>872</v>
      </c>
      <c r="B263" s="37">
        <v>40582</v>
      </c>
      <c r="C263">
        <v>1</v>
      </c>
      <c r="D263">
        <v>0</v>
      </c>
      <c r="E263">
        <v>2</v>
      </c>
      <c r="F263">
        <v>18</v>
      </c>
      <c r="G263" t="b">
        <v>0</v>
      </c>
      <c r="H263">
        <v>2</v>
      </c>
      <c r="I263">
        <v>1</v>
      </c>
      <c r="J263">
        <v>0.2</v>
      </c>
      <c r="K263">
        <v>0.18179999999999999</v>
      </c>
      <c r="L263">
        <v>0.32</v>
      </c>
      <c r="M263">
        <v>0.3881</v>
      </c>
      <c r="N263">
        <v>1</v>
      </c>
      <c r="O263">
        <v>151</v>
      </c>
      <c r="P263">
        <v>152</v>
      </c>
      <c r="Q263" t="s">
        <v>68</v>
      </c>
      <c r="R263" t="s">
        <v>52</v>
      </c>
    </row>
    <row r="264" spans="1:18" x14ac:dyDescent="0.3">
      <c r="A264">
        <v>873</v>
      </c>
      <c r="B264" s="37">
        <v>40582</v>
      </c>
      <c r="C264">
        <v>1</v>
      </c>
      <c r="D264">
        <v>0</v>
      </c>
      <c r="E264">
        <v>2</v>
      </c>
      <c r="F264">
        <v>19</v>
      </c>
      <c r="G264" t="b">
        <v>0</v>
      </c>
      <c r="H264">
        <v>2</v>
      </c>
      <c r="I264">
        <v>1</v>
      </c>
      <c r="J264">
        <v>0.16</v>
      </c>
      <c r="K264">
        <v>0.1212</v>
      </c>
      <c r="L264">
        <v>0.4</v>
      </c>
      <c r="M264">
        <v>0.4627</v>
      </c>
      <c r="N264">
        <v>1</v>
      </c>
      <c r="O264">
        <v>100</v>
      </c>
      <c r="P264">
        <v>101</v>
      </c>
      <c r="Q264" t="s">
        <v>71</v>
      </c>
      <c r="R264" t="s">
        <v>52</v>
      </c>
    </row>
    <row r="265" spans="1:18" x14ac:dyDescent="0.3">
      <c r="A265">
        <v>874</v>
      </c>
      <c r="B265" s="37">
        <v>40582</v>
      </c>
      <c r="C265">
        <v>1</v>
      </c>
      <c r="D265">
        <v>0</v>
      </c>
      <c r="E265">
        <v>2</v>
      </c>
      <c r="F265">
        <v>20</v>
      </c>
      <c r="G265" t="b">
        <v>0</v>
      </c>
      <c r="H265">
        <v>2</v>
      </c>
      <c r="I265">
        <v>1</v>
      </c>
      <c r="J265">
        <v>0.16</v>
      </c>
      <c r="K265">
        <v>0.13639999999999999</v>
      </c>
      <c r="L265">
        <v>0.4</v>
      </c>
      <c r="M265">
        <v>0.32840000000000003</v>
      </c>
      <c r="N265">
        <v>3</v>
      </c>
      <c r="O265">
        <v>53</v>
      </c>
      <c r="P265">
        <v>56</v>
      </c>
      <c r="Q265" t="s">
        <v>71</v>
      </c>
      <c r="R265" t="s">
        <v>52</v>
      </c>
    </row>
    <row r="266" spans="1:18" x14ac:dyDescent="0.3">
      <c r="A266">
        <v>875</v>
      </c>
      <c r="B266" s="37">
        <v>40582</v>
      </c>
      <c r="C266">
        <v>1</v>
      </c>
      <c r="D266">
        <v>0</v>
      </c>
      <c r="E266">
        <v>2</v>
      </c>
      <c r="F266">
        <v>21</v>
      </c>
      <c r="G266" t="b">
        <v>0</v>
      </c>
      <c r="H266">
        <v>2</v>
      </c>
      <c r="I266">
        <v>1</v>
      </c>
      <c r="J266">
        <v>0.14000000000000001</v>
      </c>
      <c r="K266">
        <v>0.1061</v>
      </c>
      <c r="L266">
        <v>0.33</v>
      </c>
      <c r="M266">
        <v>0.4627</v>
      </c>
      <c r="N266">
        <v>8</v>
      </c>
      <c r="O266">
        <v>46</v>
      </c>
      <c r="P266">
        <v>54</v>
      </c>
      <c r="Q266" t="s">
        <v>71</v>
      </c>
      <c r="R266" t="s">
        <v>52</v>
      </c>
    </row>
    <row r="267" spans="1:18" x14ac:dyDescent="0.3">
      <c r="A267">
        <v>876</v>
      </c>
      <c r="B267" s="37">
        <v>40582</v>
      </c>
      <c r="C267">
        <v>1</v>
      </c>
      <c r="D267">
        <v>0</v>
      </c>
      <c r="E267">
        <v>2</v>
      </c>
      <c r="F267">
        <v>22</v>
      </c>
      <c r="G267" t="b">
        <v>0</v>
      </c>
      <c r="H267">
        <v>2</v>
      </c>
      <c r="I267">
        <v>1</v>
      </c>
      <c r="J267">
        <v>0.12</v>
      </c>
      <c r="K267">
        <v>0.1061</v>
      </c>
      <c r="L267">
        <v>0.33</v>
      </c>
      <c r="M267">
        <v>0.35820000000000002</v>
      </c>
      <c r="N267">
        <v>0</v>
      </c>
      <c r="O267">
        <v>29</v>
      </c>
      <c r="P267">
        <v>29</v>
      </c>
      <c r="Q267" t="s">
        <v>71</v>
      </c>
      <c r="R267" t="s">
        <v>52</v>
      </c>
    </row>
    <row r="268" spans="1:18" x14ac:dyDescent="0.3">
      <c r="A268">
        <v>877</v>
      </c>
      <c r="B268" s="37">
        <v>40582</v>
      </c>
      <c r="C268">
        <v>1</v>
      </c>
      <c r="D268">
        <v>0</v>
      </c>
      <c r="E268">
        <v>2</v>
      </c>
      <c r="F268">
        <v>23</v>
      </c>
      <c r="G268" t="b">
        <v>0</v>
      </c>
      <c r="H268">
        <v>2</v>
      </c>
      <c r="I268">
        <v>1</v>
      </c>
      <c r="J268">
        <v>0.12</v>
      </c>
      <c r="K268">
        <v>0.1061</v>
      </c>
      <c r="L268">
        <v>0.33</v>
      </c>
      <c r="M268">
        <v>0.32840000000000003</v>
      </c>
      <c r="N268">
        <v>3</v>
      </c>
      <c r="O268">
        <v>9</v>
      </c>
      <c r="P268">
        <v>12</v>
      </c>
      <c r="Q268" t="s">
        <v>71</v>
      </c>
      <c r="R268" t="s">
        <v>52</v>
      </c>
    </row>
    <row r="269" spans="1:18" x14ac:dyDescent="0.3">
      <c r="A269">
        <v>878</v>
      </c>
      <c r="B269" s="37">
        <v>40583</v>
      </c>
      <c r="C269">
        <v>1</v>
      </c>
      <c r="D269">
        <v>0</v>
      </c>
      <c r="E269">
        <v>2</v>
      </c>
      <c r="F269">
        <v>0</v>
      </c>
      <c r="G269" t="b">
        <v>0</v>
      </c>
      <c r="H269">
        <v>3</v>
      </c>
      <c r="I269">
        <v>1</v>
      </c>
      <c r="J269">
        <v>0.1</v>
      </c>
      <c r="K269">
        <v>7.5800000000000006E-2</v>
      </c>
      <c r="L269">
        <v>0.36</v>
      </c>
      <c r="M269">
        <v>0.35820000000000002</v>
      </c>
      <c r="N269">
        <v>0</v>
      </c>
      <c r="O269">
        <v>17</v>
      </c>
      <c r="P269">
        <v>17</v>
      </c>
      <c r="Q269" t="s">
        <v>72</v>
      </c>
      <c r="R269" t="s">
        <v>53</v>
      </c>
    </row>
    <row r="270" spans="1:18" x14ac:dyDescent="0.3">
      <c r="A270">
        <v>879</v>
      </c>
      <c r="B270" s="37">
        <v>40583</v>
      </c>
      <c r="C270">
        <v>1</v>
      </c>
      <c r="D270">
        <v>0</v>
      </c>
      <c r="E270">
        <v>2</v>
      </c>
      <c r="F270">
        <v>1</v>
      </c>
      <c r="G270" t="b">
        <v>0</v>
      </c>
      <c r="H270">
        <v>3</v>
      </c>
      <c r="I270">
        <v>1</v>
      </c>
      <c r="J270">
        <v>0.1</v>
      </c>
      <c r="K270">
        <v>0.1061</v>
      </c>
      <c r="L270">
        <v>0.36</v>
      </c>
      <c r="M270">
        <v>0.22389999999999999</v>
      </c>
      <c r="N270">
        <v>0</v>
      </c>
      <c r="O270">
        <v>7</v>
      </c>
      <c r="P270">
        <v>7</v>
      </c>
      <c r="Q270" t="s">
        <v>72</v>
      </c>
      <c r="R270" t="s">
        <v>53</v>
      </c>
    </row>
    <row r="271" spans="1:18" x14ac:dyDescent="0.3">
      <c r="A271">
        <v>880</v>
      </c>
      <c r="B271" s="37">
        <v>40583</v>
      </c>
      <c r="C271">
        <v>1</v>
      </c>
      <c r="D271">
        <v>0</v>
      </c>
      <c r="E271">
        <v>2</v>
      </c>
      <c r="F271">
        <v>2</v>
      </c>
      <c r="G271" t="b">
        <v>0</v>
      </c>
      <c r="H271">
        <v>3</v>
      </c>
      <c r="I271">
        <v>1</v>
      </c>
      <c r="J271">
        <v>0.08</v>
      </c>
      <c r="K271">
        <v>7.5800000000000006E-2</v>
      </c>
      <c r="L271">
        <v>0.38</v>
      </c>
      <c r="M271">
        <v>0.28360000000000002</v>
      </c>
      <c r="N271">
        <v>1</v>
      </c>
      <c r="O271">
        <v>2</v>
      </c>
      <c r="P271">
        <v>3</v>
      </c>
      <c r="Q271" t="s">
        <v>72</v>
      </c>
      <c r="R271" t="s">
        <v>53</v>
      </c>
    </row>
    <row r="272" spans="1:18" x14ac:dyDescent="0.3">
      <c r="A272">
        <v>881</v>
      </c>
      <c r="B272" s="37">
        <v>40583</v>
      </c>
      <c r="C272">
        <v>1</v>
      </c>
      <c r="D272">
        <v>0</v>
      </c>
      <c r="E272">
        <v>2</v>
      </c>
      <c r="F272">
        <v>3</v>
      </c>
      <c r="G272" t="b">
        <v>0</v>
      </c>
      <c r="H272">
        <v>3</v>
      </c>
      <c r="I272">
        <v>1</v>
      </c>
      <c r="J272">
        <v>0.06</v>
      </c>
      <c r="K272">
        <v>7.5800000000000006E-2</v>
      </c>
      <c r="L272">
        <v>0.45</v>
      </c>
      <c r="M272">
        <v>0.1343</v>
      </c>
      <c r="N272">
        <v>0</v>
      </c>
      <c r="O272">
        <v>2</v>
      </c>
      <c r="P272">
        <v>2</v>
      </c>
      <c r="Q272" t="s">
        <v>72</v>
      </c>
      <c r="R272" t="s">
        <v>53</v>
      </c>
    </row>
    <row r="273" spans="1:18" x14ac:dyDescent="0.3">
      <c r="A273">
        <v>882</v>
      </c>
      <c r="B273" s="37">
        <v>40583</v>
      </c>
      <c r="C273">
        <v>1</v>
      </c>
      <c r="D273">
        <v>0</v>
      </c>
      <c r="E273">
        <v>2</v>
      </c>
      <c r="F273">
        <v>5</v>
      </c>
      <c r="G273" t="b">
        <v>0</v>
      </c>
      <c r="H273">
        <v>3</v>
      </c>
      <c r="I273">
        <v>1</v>
      </c>
      <c r="J273">
        <v>0.06</v>
      </c>
      <c r="K273">
        <v>0.1061</v>
      </c>
      <c r="L273">
        <v>0.45</v>
      </c>
      <c r="M273">
        <v>0.1045</v>
      </c>
      <c r="N273">
        <v>0</v>
      </c>
      <c r="O273">
        <v>7</v>
      </c>
      <c r="P273">
        <v>7</v>
      </c>
      <c r="Q273" t="s">
        <v>72</v>
      </c>
      <c r="R273" t="s">
        <v>53</v>
      </c>
    </row>
    <row r="274" spans="1:18" x14ac:dyDescent="0.3">
      <c r="A274">
        <v>883</v>
      </c>
      <c r="B274" s="37">
        <v>40583</v>
      </c>
      <c r="C274">
        <v>1</v>
      </c>
      <c r="D274">
        <v>0</v>
      </c>
      <c r="E274">
        <v>2</v>
      </c>
      <c r="F274">
        <v>6</v>
      </c>
      <c r="G274" t="b">
        <v>0</v>
      </c>
      <c r="H274">
        <v>3</v>
      </c>
      <c r="I274">
        <v>1</v>
      </c>
      <c r="J274">
        <v>0.06</v>
      </c>
      <c r="K274">
        <v>0.1515</v>
      </c>
      <c r="L274">
        <v>0.45</v>
      </c>
      <c r="M274">
        <v>0</v>
      </c>
      <c r="N274">
        <v>0</v>
      </c>
      <c r="O274">
        <v>43</v>
      </c>
      <c r="P274">
        <v>43</v>
      </c>
      <c r="Q274" t="s">
        <v>72</v>
      </c>
      <c r="R274" t="s">
        <v>53</v>
      </c>
    </row>
    <row r="275" spans="1:18" x14ac:dyDescent="0.3">
      <c r="A275">
        <v>884</v>
      </c>
      <c r="B275" s="37">
        <v>40583</v>
      </c>
      <c r="C275">
        <v>1</v>
      </c>
      <c r="D275">
        <v>0</v>
      </c>
      <c r="E275">
        <v>2</v>
      </c>
      <c r="F275">
        <v>7</v>
      </c>
      <c r="G275" t="b">
        <v>0</v>
      </c>
      <c r="H275">
        <v>3</v>
      </c>
      <c r="I275">
        <v>1</v>
      </c>
      <c r="J275">
        <v>0.06</v>
      </c>
      <c r="K275">
        <v>0.1061</v>
      </c>
      <c r="L275">
        <v>0.49</v>
      </c>
      <c r="M275">
        <v>0.1045</v>
      </c>
      <c r="N275">
        <v>4</v>
      </c>
      <c r="O275">
        <v>95</v>
      </c>
      <c r="P275">
        <v>99</v>
      </c>
      <c r="Q275" t="s">
        <v>72</v>
      </c>
      <c r="R275" t="s">
        <v>53</v>
      </c>
    </row>
    <row r="276" spans="1:18" x14ac:dyDescent="0.3">
      <c r="A276">
        <v>885</v>
      </c>
      <c r="B276" s="37">
        <v>40583</v>
      </c>
      <c r="C276">
        <v>1</v>
      </c>
      <c r="D276">
        <v>0</v>
      </c>
      <c r="E276">
        <v>2</v>
      </c>
      <c r="F276">
        <v>8</v>
      </c>
      <c r="G276" t="b">
        <v>0</v>
      </c>
      <c r="H276">
        <v>3</v>
      </c>
      <c r="I276">
        <v>1</v>
      </c>
      <c r="J276">
        <v>0.1</v>
      </c>
      <c r="K276">
        <v>0.13639999999999999</v>
      </c>
      <c r="L276">
        <v>0.42</v>
      </c>
      <c r="M276">
        <v>0</v>
      </c>
      <c r="N276">
        <v>1</v>
      </c>
      <c r="O276">
        <v>198</v>
      </c>
      <c r="P276">
        <v>199</v>
      </c>
      <c r="Q276" t="s">
        <v>72</v>
      </c>
      <c r="R276" t="s">
        <v>53</v>
      </c>
    </row>
    <row r="277" spans="1:18" x14ac:dyDescent="0.3">
      <c r="A277">
        <v>886</v>
      </c>
      <c r="B277" s="37">
        <v>40583</v>
      </c>
      <c r="C277">
        <v>1</v>
      </c>
      <c r="D277">
        <v>0</v>
      </c>
      <c r="E277">
        <v>2</v>
      </c>
      <c r="F277">
        <v>9</v>
      </c>
      <c r="G277" t="b">
        <v>0</v>
      </c>
      <c r="H277">
        <v>3</v>
      </c>
      <c r="I277">
        <v>1</v>
      </c>
      <c r="J277">
        <v>0.12</v>
      </c>
      <c r="K277">
        <v>0.13639999999999999</v>
      </c>
      <c r="L277">
        <v>0.39</v>
      </c>
      <c r="M277">
        <v>0.16420000000000001</v>
      </c>
      <c r="N277">
        <v>4</v>
      </c>
      <c r="O277">
        <v>119</v>
      </c>
      <c r="P277">
        <v>123</v>
      </c>
      <c r="Q277" t="s">
        <v>72</v>
      </c>
      <c r="R277" t="s">
        <v>53</v>
      </c>
    </row>
    <row r="278" spans="1:18" x14ac:dyDescent="0.3">
      <c r="A278">
        <v>887</v>
      </c>
      <c r="B278" s="37">
        <v>40583</v>
      </c>
      <c r="C278">
        <v>1</v>
      </c>
      <c r="D278">
        <v>0</v>
      </c>
      <c r="E278">
        <v>2</v>
      </c>
      <c r="F278">
        <v>10</v>
      </c>
      <c r="G278" t="b">
        <v>0</v>
      </c>
      <c r="H278">
        <v>3</v>
      </c>
      <c r="I278">
        <v>1</v>
      </c>
      <c r="J278">
        <v>0.14000000000000001</v>
      </c>
      <c r="K278">
        <v>0.18179999999999999</v>
      </c>
      <c r="L278">
        <v>0.36</v>
      </c>
      <c r="M278">
        <v>0</v>
      </c>
      <c r="N278">
        <v>8</v>
      </c>
      <c r="O278">
        <v>51</v>
      </c>
      <c r="P278">
        <v>59</v>
      </c>
      <c r="Q278" t="s">
        <v>72</v>
      </c>
      <c r="R278" t="s">
        <v>53</v>
      </c>
    </row>
    <row r="279" spans="1:18" x14ac:dyDescent="0.3">
      <c r="A279">
        <v>888</v>
      </c>
      <c r="B279" s="37">
        <v>40583</v>
      </c>
      <c r="C279">
        <v>1</v>
      </c>
      <c r="D279">
        <v>0</v>
      </c>
      <c r="E279">
        <v>2</v>
      </c>
      <c r="F279">
        <v>11</v>
      </c>
      <c r="G279" t="b">
        <v>0</v>
      </c>
      <c r="H279">
        <v>3</v>
      </c>
      <c r="I279">
        <v>2</v>
      </c>
      <c r="J279">
        <v>0.14000000000000001</v>
      </c>
      <c r="K279">
        <v>0.1515</v>
      </c>
      <c r="L279">
        <v>0.43</v>
      </c>
      <c r="M279">
        <v>0.16420000000000001</v>
      </c>
      <c r="N279">
        <v>1</v>
      </c>
      <c r="O279">
        <v>40</v>
      </c>
      <c r="P279">
        <v>41</v>
      </c>
      <c r="Q279" t="s">
        <v>72</v>
      </c>
      <c r="R279" t="s">
        <v>53</v>
      </c>
    </row>
    <row r="280" spans="1:18" x14ac:dyDescent="0.3">
      <c r="A280">
        <v>889</v>
      </c>
      <c r="B280" s="37">
        <v>40583</v>
      </c>
      <c r="C280">
        <v>1</v>
      </c>
      <c r="D280">
        <v>0</v>
      </c>
      <c r="E280">
        <v>2</v>
      </c>
      <c r="F280">
        <v>12</v>
      </c>
      <c r="G280" t="b">
        <v>0</v>
      </c>
      <c r="H280">
        <v>3</v>
      </c>
      <c r="I280">
        <v>2</v>
      </c>
      <c r="J280">
        <v>0.18</v>
      </c>
      <c r="K280">
        <v>0.18179999999999999</v>
      </c>
      <c r="L280">
        <v>0.4</v>
      </c>
      <c r="M280">
        <v>0.22389999999999999</v>
      </c>
      <c r="N280">
        <v>4</v>
      </c>
      <c r="O280">
        <v>57</v>
      </c>
      <c r="P280">
        <v>61</v>
      </c>
      <c r="Q280" t="s">
        <v>72</v>
      </c>
      <c r="R280" t="s">
        <v>53</v>
      </c>
    </row>
    <row r="281" spans="1:18" x14ac:dyDescent="0.3">
      <c r="A281">
        <v>890</v>
      </c>
      <c r="B281" s="37">
        <v>40583</v>
      </c>
      <c r="C281">
        <v>1</v>
      </c>
      <c r="D281">
        <v>0</v>
      </c>
      <c r="E281">
        <v>2</v>
      </c>
      <c r="F281">
        <v>13</v>
      </c>
      <c r="G281" t="b">
        <v>0</v>
      </c>
      <c r="H281">
        <v>3</v>
      </c>
      <c r="I281">
        <v>1</v>
      </c>
      <c r="J281">
        <v>0.18</v>
      </c>
      <c r="K281">
        <v>0.16669999999999999</v>
      </c>
      <c r="L281">
        <v>0.4</v>
      </c>
      <c r="M281">
        <v>0.25369999999999998</v>
      </c>
      <c r="N281">
        <v>2</v>
      </c>
      <c r="O281">
        <v>67</v>
      </c>
      <c r="P281">
        <v>69</v>
      </c>
      <c r="Q281" t="s">
        <v>68</v>
      </c>
      <c r="R281" t="s">
        <v>53</v>
      </c>
    </row>
    <row r="282" spans="1:18" x14ac:dyDescent="0.3">
      <c r="A282">
        <v>891</v>
      </c>
      <c r="B282" s="37">
        <v>40583</v>
      </c>
      <c r="C282">
        <v>1</v>
      </c>
      <c r="D282">
        <v>0</v>
      </c>
      <c r="E282">
        <v>2</v>
      </c>
      <c r="F282">
        <v>14</v>
      </c>
      <c r="G282" t="b">
        <v>0</v>
      </c>
      <c r="H282">
        <v>3</v>
      </c>
      <c r="I282">
        <v>1</v>
      </c>
      <c r="J282">
        <v>0.2</v>
      </c>
      <c r="K282">
        <v>0.18179999999999999</v>
      </c>
      <c r="L282">
        <v>0.34</v>
      </c>
      <c r="M282">
        <v>0.29849999999999999</v>
      </c>
      <c r="N282">
        <v>2</v>
      </c>
      <c r="O282">
        <v>56</v>
      </c>
      <c r="P282">
        <v>58</v>
      </c>
      <c r="Q282" t="s">
        <v>68</v>
      </c>
      <c r="R282" t="s">
        <v>53</v>
      </c>
    </row>
    <row r="283" spans="1:18" x14ac:dyDescent="0.3">
      <c r="A283">
        <v>892</v>
      </c>
      <c r="B283" s="37">
        <v>40583</v>
      </c>
      <c r="C283">
        <v>1</v>
      </c>
      <c r="D283">
        <v>0</v>
      </c>
      <c r="E283">
        <v>2</v>
      </c>
      <c r="F283">
        <v>15</v>
      </c>
      <c r="G283" t="b">
        <v>0</v>
      </c>
      <c r="H283">
        <v>3</v>
      </c>
      <c r="I283">
        <v>2</v>
      </c>
      <c r="J283">
        <v>0.2</v>
      </c>
      <c r="K283">
        <v>0.18179999999999999</v>
      </c>
      <c r="L283">
        <v>0.34</v>
      </c>
      <c r="M283">
        <v>0.28360000000000002</v>
      </c>
      <c r="N283">
        <v>3</v>
      </c>
      <c r="O283">
        <v>61</v>
      </c>
      <c r="P283">
        <v>64</v>
      </c>
      <c r="Q283" t="s">
        <v>68</v>
      </c>
      <c r="R283" t="s">
        <v>53</v>
      </c>
    </row>
    <row r="284" spans="1:18" x14ac:dyDescent="0.3">
      <c r="A284">
        <v>893</v>
      </c>
      <c r="B284" s="37">
        <v>40583</v>
      </c>
      <c r="C284">
        <v>1</v>
      </c>
      <c r="D284">
        <v>0</v>
      </c>
      <c r="E284">
        <v>2</v>
      </c>
      <c r="F284">
        <v>16</v>
      </c>
      <c r="G284" t="b">
        <v>0</v>
      </c>
      <c r="H284">
        <v>3</v>
      </c>
      <c r="I284">
        <v>2</v>
      </c>
      <c r="J284">
        <v>0.2</v>
      </c>
      <c r="K284">
        <v>0.19700000000000001</v>
      </c>
      <c r="L284">
        <v>0.37</v>
      </c>
      <c r="M284">
        <v>0.25369999999999998</v>
      </c>
      <c r="N284">
        <v>7</v>
      </c>
      <c r="O284">
        <v>72</v>
      </c>
      <c r="P284">
        <v>79</v>
      </c>
      <c r="Q284" t="s">
        <v>68</v>
      </c>
      <c r="R284" t="s">
        <v>53</v>
      </c>
    </row>
    <row r="285" spans="1:18" x14ac:dyDescent="0.3">
      <c r="A285">
        <v>894</v>
      </c>
      <c r="B285" s="37">
        <v>40583</v>
      </c>
      <c r="C285">
        <v>1</v>
      </c>
      <c r="D285">
        <v>0</v>
      </c>
      <c r="E285">
        <v>2</v>
      </c>
      <c r="F285">
        <v>17</v>
      </c>
      <c r="G285" t="b">
        <v>0</v>
      </c>
      <c r="H285">
        <v>3</v>
      </c>
      <c r="I285">
        <v>2</v>
      </c>
      <c r="J285">
        <v>0.2</v>
      </c>
      <c r="K285">
        <v>0.19700000000000001</v>
      </c>
      <c r="L285">
        <v>0.34</v>
      </c>
      <c r="M285">
        <v>0.25369999999999998</v>
      </c>
      <c r="N285">
        <v>9</v>
      </c>
      <c r="O285">
        <v>157</v>
      </c>
      <c r="P285">
        <v>166</v>
      </c>
      <c r="Q285" t="s">
        <v>68</v>
      </c>
      <c r="R285" t="s">
        <v>53</v>
      </c>
    </row>
    <row r="286" spans="1:18" x14ac:dyDescent="0.3">
      <c r="A286">
        <v>895</v>
      </c>
      <c r="B286" s="37">
        <v>40583</v>
      </c>
      <c r="C286">
        <v>1</v>
      </c>
      <c r="D286">
        <v>0</v>
      </c>
      <c r="E286">
        <v>2</v>
      </c>
      <c r="F286">
        <v>18</v>
      </c>
      <c r="G286" t="b">
        <v>0</v>
      </c>
      <c r="H286">
        <v>3</v>
      </c>
      <c r="I286">
        <v>2</v>
      </c>
      <c r="J286">
        <v>0.18</v>
      </c>
      <c r="K286">
        <v>0.16669999999999999</v>
      </c>
      <c r="L286">
        <v>0.47</v>
      </c>
      <c r="M286">
        <v>0.29849999999999999</v>
      </c>
      <c r="N286">
        <v>2</v>
      </c>
      <c r="O286">
        <v>168</v>
      </c>
      <c r="P286">
        <v>170</v>
      </c>
      <c r="Q286" t="s">
        <v>68</v>
      </c>
      <c r="R286" t="s">
        <v>53</v>
      </c>
    </row>
    <row r="287" spans="1:18" x14ac:dyDescent="0.3">
      <c r="A287">
        <v>896</v>
      </c>
      <c r="B287" s="37">
        <v>40583</v>
      </c>
      <c r="C287">
        <v>1</v>
      </c>
      <c r="D287">
        <v>0</v>
      </c>
      <c r="E287">
        <v>2</v>
      </c>
      <c r="F287">
        <v>19</v>
      </c>
      <c r="G287" t="b">
        <v>0</v>
      </c>
      <c r="H287">
        <v>3</v>
      </c>
      <c r="I287">
        <v>3</v>
      </c>
      <c r="J287">
        <v>0.14000000000000001</v>
      </c>
      <c r="K287">
        <v>0.1212</v>
      </c>
      <c r="L287">
        <v>0.86</v>
      </c>
      <c r="M287">
        <v>0.25369999999999998</v>
      </c>
      <c r="N287">
        <v>1</v>
      </c>
      <c r="O287">
        <v>87</v>
      </c>
      <c r="P287">
        <v>88</v>
      </c>
      <c r="Q287" t="s">
        <v>71</v>
      </c>
      <c r="R287" t="s">
        <v>53</v>
      </c>
    </row>
    <row r="288" spans="1:18" x14ac:dyDescent="0.3">
      <c r="A288">
        <v>897</v>
      </c>
      <c r="B288" s="37">
        <v>40583</v>
      </c>
      <c r="C288">
        <v>1</v>
      </c>
      <c r="D288">
        <v>0</v>
      </c>
      <c r="E288">
        <v>2</v>
      </c>
      <c r="F288">
        <v>20</v>
      </c>
      <c r="G288" t="b">
        <v>0</v>
      </c>
      <c r="H288">
        <v>3</v>
      </c>
      <c r="I288">
        <v>3</v>
      </c>
      <c r="J288">
        <v>0.14000000000000001</v>
      </c>
      <c r="K288">
        <v>0.1515</v>
      </c>
      <c r="L288">
        <v>0.86</v>
      </c>
      <c r="M288">
        <v>0.16420000000000001</v>
      </c>
      <c r="N288">
        <v>0</v>
      </c>
      <c r="O288">
        <v>84</v>
      </c>
      <c r="P288">
        <v>84</v>
      </c>
      <c r="Q288" t="s">
        <v>71</v>
      </c>
      <c r="R288" t="s">
        <v>53</v>
      </c>
    </row>
    <row r="289" spans="1:18" x14ac:dyDescent="0.3">
      <c r="A289">
        <v>898</v>
      </c>
      <c r="B289" s="37">
        <v>40583</v>
      </c>
      <c r="C289">
        <v>1</v>
      </c>
      <c r="D289">
        <v>0</v>
      </c>
      <c r="E289">
        <v>2</v>
      </c>
      <c r="F289">
        <v>21</v>
      </c>
      <c r="G289" t="b">
        <v>0</v>
      </c>
      <c r="H289">
        <v>3</v>
      </c>
      <c r="I289">
        <v>2</v>
      </c>
      <c r="J289">
        <v>0.14000000000000001</v>
      </c>
      <c r="K289">
        <v>0.1515</v>
      </c>
      <c r="L289">
        <v>0.86</v>
      </c>
      <c r="M289">
        <v>0.16420000000000001</v>
      </c>
      <c r="N289">
        <v>0</v>
      </c>
      <c r="O289">
        <v>83</v>
      </c>
      <c r="P289">
        <v>83</v>
      </c>
      <c r="Q289" t="s">
        <v>71</v>
      </c>
      <c r="R289" t="s">
        <v>53</v>
      </c>
    </row>
    <row r="290" spans="1:18" x14ac:dyDescent="0.3">
      <c r="A290">
        <v>899</v>
      </c>
      <c r="B290" s="37">
        <v>40583</v>
      </c>
      <c r="C290">
        <v>1</v>
      </c>
      <c r="D290">
        <v>0</v>
      </c>
      <c r="E290">
        <v>2</v>
      </c>
      <c r="F290">
        <v>22</v>
      </c>
      <c r="G290" t="b">
        <v>0</v>
      </c>
      <c r="H290">
        <v>3</v>
      </c>
      <c r="I290">
        <v>3</v>
      </c>
      <c r="J290">
        <v>0.16</v>
      </c>
      <c r="K290">
        <v>0.16669999999999999</v>
      </c>
      <c r="L290">
        <v>0.8</v>
      </c>
      <c r="M290">
        <v>0.16420000000000001</v>
      </c>
      <c r="N290">
        <v>4</v>
      </c>
      <c r="O290">
        <v>42</v>
      </c>
      <c r="P290">
        <v>46</v>
      </c>
      <c r="Q290" t="s">
        <v>71</v>
      </c>
      <c r="R290" t="s">
        <v>53</v>
      </c>
    </row>
    <row r="291" spans="1:18" x14ac:dyDescent="0.3">
      <c r="A291">
        <v>900</v>
      </c>
      <c r="B291" s="37">
        <v>40583</v>
      </c>
      <c r="C291">
        <v>1</v>
      </c>
      <c r="D291">
        <v>0</v>
      </c>
      <c r="E291">
        <v>2</v>
      </c>
      <c r="F291">
        <v>23</v>
      </c>
      <c r="G291" t="b">
        <v>0</v>
      </c>
      <c r="H291">
        <v>3</v>
      </c>
      <c r="I291">
        <v>3</v>
      </c>
      <c r="J291">
        <v>0.16</v>
      </c>
      <c r="K291">
        <v>0.1515</v>
      </c>
      <c r="L291">
        <v>0.8</v>
      </c>
      <c r="M291">
        <v>0.19400000000000001</v>
      </c>
      <c r="N291">
        <v>0</v>
      </c>
      <c r="O291">
        <v>37</v>
      </c>
      <c r="P291">
        <v>37</v>
      </c>
      <c r="Q291" t="s">
        <v>71</v>
      </c>
      <c r="R291" t="s">
        <v>53</v>
      </c>
    </row>
    <row r="292" spans="1:18" x14ac:dyDescent="0.3">
      <c r="A292">
        <v>901</v>
      </c>
      <c r="B292" s="37">
        <v>40584</v>
      </c>
      <c r="C292">
        <v>1</v>
      </c>
      <c r="D292">
        <v>0</v>
      </c>
      <c r="E292">
        <v>2</v>
      </c>
      <c r="F292">
        <v>0</v>
      </c>
      <c r="G292" t="b">
        <v>0</v>
      </c>
      <c r="H292">
        <v>4</v>
      </c>
      <c r="I292">
        <v>3</v>
      </c>
      <c r="J292">
        <v>0.14000000000000001</v>
      </c>
      <c r="K292">
        <v>0.13639999999999999</v>
      </c>
      <c r="L292">
        <v>0.86</v>
      </c>
      <c r="M292">
        <v>0.19400000000000001</v>
      </c>
      <c r="N292">
        <v>0</v>
      </c>
      <c r="O292">
        <v>16</v>
      </c>
      <c r="P292">
        <v>16</v>
      </c>
      <c r="Q292" t="s">
        <v>72</v>
      </c>
      <c r="R292" t="s">
        <v>54</v>
      </c>
    </row>
    <row r="293" spans="1:18" x14ac:dyDescent="0.3">
      <c r="A293">
        <v>902</v>
      </c>
      <c r="B293" s="37">
        <v>40584</v>
      </c>
      <c r="C293">
        <v>1</v>
      </c>
      <c r="D293">
        <v>0</v>
      </c>
      <c r="E293">
        <v>2</v>
      </c>
      <c r="F293">
        <v>1</v>
      </c>
      <c r="G293" t="b">
        <v>0</v>
      </c>
      <c r="H293">
        <v>4</v>
      </c>
      <c r="I293">
        <v>3</v>
      </c>
      <c r="J293">
        <v>0.14000000000000001</v>
      </c>
      <c r="K293">
        <v>0.1515</v>
      </c>
      <c r="L293">
        <v>0.8</v>
      </c>
      <c r="M293">
        <v>0.1343</v>
      </c>
      <c r="N293">
        <v>0</v>
      </c>
      <c r="O293">
        <v>7</v>
      </c>
      <c r="P293">
        <v>7</v>
      </c>
      <c r="Q293" t="s">
        <v>72</v>
      </c>
      <c r="R293" t="s">
        <v>54</v>
      </c>
    </row>
    <row r="294" spans="1:18" x14ac:dyDescent="0.3">
      <c r="A294">
        <v>903</v>
      </c>
      <c r="B294" s="37">
        <v>40584</v>
      </c>
      <c r="C294">
        <v>1</v>
      </c>
      <c r="D294">
        <v>0</v>
      </c>
      <c r="E294">
        <v>2</v>
      </c>
      <c r="F294">
        <v>2</v>
      </c>
      <c r="G294" t="b">
        <v>0</v>
      </c>
      <c r="H294">
        <v>4</v>
      </c>
      <c r="I294">
        <v>3</v>
      </c>
      <c r="J294">
        <v>0.14000000000000001</v>
      </c>
      <c r="K294">
        <v>0.1515</v>
      </c>
      <c r="L294">
        <v>0.8</v>
      </c>
      <c r="M294">
        <v>0.1343</v>
      </c>
      <c r="N294">
        <v>0</v>
      </c>
      <c r="O294">
        <v>3</v>
      </c>
      <c r="P294">
        <v>3</v>
      </c>
      <c r="Q294" t="s">
        <v>72</v>
      </c>
      <c r="R294" t="s">
        <v>54</v>
      </c>
    </row>
    <row r="295" spans="1:18" x14ac:dyDescent="0.3">
      <c r="A295">
        <v>904</v>
      </c>
      <c r="B295" s="37">
        <v>40584</v>
      </c>
      <c r="C295">
        <v>1</v>
      </c>
      <c r="D295">
        <v>0</v>
      </c>
      <c r="E295">
        <v>2</v>
      </c>
      <c r="F295">
        <v>4</v>
      </c>
      <c r="G295" t="b">
        <v>0</v>
      </c>
      <c r="H295">
        <v>4</v>
      </c>
      <c r="I295">
        <v>2</v>
      </c>
      <c r="J295">
        <v>0.14000000000000001</v>
      </c>
      <c r="K295">
        <v>0.13639999999999999</v>
      </c>
      <c r="L295">
        <v>0.59</v>
      </c>
      <c r="M295">
        <v>0.22389999999999999</v>
      </c>
      <c r="N295">
        <v>0</v>
      </c>
      <c r="O295">
        <v>1</v>
      </c>
      <c r="P295">
        <v>1</v>
      </c>
      <c r="Q295" t="s">
        <v>72</v>
      </c>
      <c r="R295" t="s">
        <v>54</v>
      </c>
    </row>
    <row r="296" spans="1:18" x14ac:dyDescent="0.3">
      <c r="A296">
        <v>905</v>
      </c>
      <c r="B296" s="37">
        <v>40584</v>
      </c>
      <c r="C296">
        <v>1</v>
      </c>
      <c r="D296">
        <v>0</v>
      </c>
      <c r="E296">
        <v>2</v>
      </c>
      <c r="F296">
        <v>5</v>
      </c>
      <c r="G296" t="b">
        <v>0</v>
      </c>
      <c r="H296">
        <v>4</v>
      </c>
      <c r="I296">
        <v>2</v>
      </c>
      <c r="J296">
        <v>0.12</v>
      </c>
      <c r="K296">
        <v>0.1212</v>
      </c>
      <c r="L296">
        <v>0.5</v>
      </c>
      <c r="M296">
        <v>0.22389999999999999</v>
      </c>
      <c r="N296">
        <v>0</v>
      </c>
      <c r="O296">
        <v>6</v>
      </c>
      <c r="P296">
        <v>6</v>
      </c>
      <c r="Q296" t="s">
        <v>72</v>
      </c>
      <c r="R296" t="s">
        <v>54</v>
      </c>
    </row>
    <row r="297" spans="1:18" x14ac:dyDescent="0.3">
      <c r="A297">
        <v>906</v>
      </c>
      <c r="B297" s="37">
        <v>40584</v>
      </c>
      <c r="C297">
        <v>1</v>
      </c>
      <c r="D297">
        <v>0</v>
      </c>
      <c r="E297">
        <v>2</v>
      </c>
      <c r="F297">
        <v>6</v>
      </c>
      <c r="G297" t="b">
        <v>0</v>
      </c>
      <c r="H297">
        <v>4</v>
      </c>
      <c r="I297">
        <v>2</v>
      </c>
      <c r="J297">
        <v>0.12</v>
      </c>
      <c r="K297">
        <v>0.1212</v>
      </c>
      <c r="L297">
        <v>0.54</v>
      </c>
      <c r="M297">
        <v>0.28360000000000002</v>
      </c>
      <c r="N297">
        <v>0</v>
      </c>
      <c r="O297">
        <v>26</v>
      </c>
      <c r="P297">
        <v>26</v>
      </c>
      <c r="Q297" t="s">
        <v>72</v>
      </c>
      <c r="R297" t="s">
        <v>54</v>
      </c>
    </row>
    <row r="298" spans="1:18" x14ac:dyDescent="0.3">
      <c r="A298">
        <v>907</v>
      </c>
      <c r="B298" s="37">
        <v>40584</v>
      </c>
      <c r="C298">
        <v>1</v>
      </c>
      <c r="D298">
        <v>0</v>
      </c>
      <c r="E298">
        <v>2</v>
      </c>
      <c r="F298">
        <v>7</v>
      </c>
      <c r="G298" t="b">
        <v>0</v>
      </c>
      <c r="H298">
        <v>4</v>
      </c>
      <c r="I298">
        <v>1</v>
      </c>
      <c r="J298">
        <v>0.1</v>
      </c>
      <c r="K298">
        <v>7.5800000000000006E-2</v>
      </c>
      <c r="L298">
        <v>0.5</v>
      </c>
      <c r="M298">
        <v>0.41789999999999999</v>
      </c>
      <c r="N298">
        <v>0</v>
      </c>
      <c r="O298">
        <v>99</v>
      </c>
      <c r="P298">
        <v>99</v>
      </c>
      <c r="Q298" t="s">
        <v>72</v>
      </c>
      <c r="R298" t="s">
        <v>54</v>
      </c>
    </row>
    <row r="299" spans="1:18" x14ac:dyDescent="0.3">
      <c r="A299">
        <v>908</v>
      </c>
      <c r="B299" s="37">
        <v>40584</v>
      </c>
      <c r="C299">
        <v>1</v>
      </c>
      <c r="D299">
        <v>0</v>
      </c>
      <c r="E299">
        <v>2</v>
      </c>
      <c r="F299">
        <v>8</v>
      </c>
      <c r="G299" t="b">
        <v>0</v>
      </c>
      <c r="H299">
        <v>4</v>
      </c>
      <c r="I299">
        <v>1</v>
      </c>
      <c r="J299">
        <v>0.1</v>
      </c>
      <c r="K299">
        <v>7.5800000000000006E-2</v>
      </c>
      <c r="L299">
        <v>0.49</v>
      </c>
      <c r="M299">
        <v>0.32840000000000003</v>
      </c>
      <c r="N299">
        <v>5</v>
      </c>
      <c r="O299">
        <v>173</v>
      </c>
      <c r="P299">
        <v>178</v>
      </c>
      <c r="Q299" t="s">
        <v>72</v>
      </c>
      <c r="R299" t="s">
        <v>54</v>
      </c>
    </row>
    <row r="300" spans="1:18" x14ac:dyDescent="0.3">
      <c r="A300">
        <v>909</v>
      </c>
      <c r="B300" s="37">
        <v>40584</v>
      </c>
      <c r="C300">
        <v>1</v>
      </c>
      <c r="D300">
        <v>0</v>
      </c>
      <c r="E300">
        <v>2</v>
      </c>
      <c r="F300">
        <v>9</v>
      </c>
      <c r="G300" t="b">
        <v>0</v>
      </c>
      <c r="H300">
        <v>4</v>
      </c>
      <c r="I300">
        <v>1</v>
      </c>
      <c r="J300">
        <v>0.12</v>
      </c>
      <c r="K300">
        <v>0.1061</v>
      </c>
      <c r="L300">
        <v>0.42</v>
      </c>
      <c r="M300">
        <v>0.35820000000000002</v>
      </c>
      <c r="N300">
        <v>1</v>
      </c>
      <c r="O300">
        <v>121</v>
      </c>
      <c r="P300">
        <v>122</v>
      </c>
      <c r="Q300" t="s">
        <v>72</v>
      </c>
      <c r="R300" t="s">
        <v>54</v>
      </c>
    </row>
    <row r="301" spans="1:18" x14ac:dyDescent="0.3">
      <c r="A301">
        <v>910</v>
      </c>
      <c r="B301" s="37">
        <v>40584</v>
      </c>
      <c r="C301">
        <v>1</v>
      </c>
      <c r="D301">
        <v>0</v>
      </c>
      <c r="E301">
        <v>2</v>
      </c>
      <c r="F301">
        <v>10</v>
      </c>
      <c r="G301" t="b">
        <v>0</v>
      </c>
      <c r="H301">
        <v>4</v>
      </c>
      <c r="I301">
        <v>1</v>
      </c>
      <c r="J301">
        <v>0.12</v>
      </c>
      <c r="K301">
        <v>0.1061</v>
      </c>
      <c r="L301">
        <v>0.42</v>
      </c>
      <c r="M301">
        <v>0.29849999999999999</v>
      </c>
      <c r="N301">
        <v>1</v>
      </c>
      <c r="O301">
        <v>34</v>
      </c>
      <c r="P301">
        <v>35</v>
      </c>
      <c r="Q301" t="s">
        <v>72</v>
      </c>
      <c r="R301" t="s">
        <v>54</v>
      </c>
    </row>
    <row r="302" spans="1:18" x14ac:dyDescent="0.3">
      <c r="A302">
        <v>911</v>
      </c>
      <c r="B302" s="37">
        <v>40584</v>
      </c>
      <c r="C302">
        <v>1</v>
      </c>
      <c r="D302">
        <v>0</v>
      </c>
      <c r="E302">
        <v>2</v>
      </c>
      <c r="F302">
        <v>11</v>
      </c>
      <c r="G302" t="b">
        <v>0</v>
      </c>
      <c r="H302">
        <v>4</v>
      </c>
      <c r="I302">
        <v>1</v>
      </c>
      <c r="J302">
        <v>0.14000000000000001</v>
      </c>
      <c r="K302">
        <v>0.1212</v>
      </c>
      <c r="L302">
        <v>0.39</v>
      </c>
      <c r="M302">
        <v>0.35820000000000002</v>
      </c>
      <c r="N302">
        <v>1</v>
      </c>
      <c r="O302">
        <v>44</v>
      </c>
      <c r="P302">
        <v>45</v>
      </c>
      <c r="Q302" t="s">
        <v>72</v>
      </c>
      <c r="R302" t="s">
        <v>54</v>
      </c>
    </row>
    <row r="303" spans="1:18" x14ac:dyDescent="0.3">
      <c r="A303">
        <v>912</v>
      </c>
      <c r="B303" s="37">
        <v>40584</v>
      </c>
      <c r="C303">
        <v>1</v>
      </c>
      <c r="D303">
        <v>0</v>
      </c>
      <c r="E303">
        <v>2</v>
      </c>
      <c r="F303">
        <v>12</v>
      </c>
      <c r="G303" t="b">
        <v>0</v>
      </c>
      <c r="H303">
        <v>4</v>
      </c>
      <c r="I303">
        <v>1</v>
      </c>
      <c r="J303">
        <v>0.16</v>
      </c>
      <c r="K303">
        <v>0.13639999999999999</v>
      </c>
      <c r="L303">
        <v>0.34</v>
      </c>
      <c r="M303">
        <v>0.3881</v>
      </c>
      <c r="N303">
        <v>4</v>
      </c>
      <c r="O303">
        <v>65</v>
      </c>
      <c r="P303">
        <v>69</v>
      </c>
      <c r="Q303" t="s">
        <v>72</v>
      </c>
      <c r="R303" t="s">
        <v>54</v>
      </c>
    </row>
    <row r="304" spans="1:18" x14ac:dyDescent="0.3">
      <c r="A304">
        <v>913</v>
      </c>
      <c r="B304" s="37">
        <v>40584</v>
      </c>
      <c r="C304">
        <v>1</v>
      </c>
      <c r="D304">
        <v>0</v>
      </c>
      <c r="E304">
        <v>2</v>
      </c>
      <c r="F304">
        <v>13</v>
      </c>
      <c r="G304" t="b">
        <v>0</v>
      </c>
      <c r="H304">
        <v>4</v>
      </c>
      <c r="I304">
        <v>1</v>
      </c>
      <c r="J304">
        <v>0.18</v>
      </c>
      <c r="K304">
        <v>0.16669999999999999</v>
      </c>
      <c r="L304">
        <v>0.28999999999999998</v>
      </c>
      <c r="M304">
        <v>0.29849999999999999</v>
      </c>
      <c r="N304">
        <v>3</v>
      </c>
      <c r="O304">
        <v>59</v>
      </c>
      <c r="P304">
        <v>62</v>
      </c>
      <c r="Q304" t="s">
        <v>68</v>
      </c>
      <c r="R304" t="s">
        <v>54</v>
      </c>
    </row>
    <row r="305" spans="1:18" x14ac:dyDescent="0.3">
      <c r="A305">
        <v>914</v>
      </c>
      <c r="B305" s="37">
        <v>40584</v>
      </c>
      <c r="C305">
        <v>1</v>
      </c>
      <c r="D305">
        <v>0</v>
      </c>
      <c r="E305">
        <v>2</v>
      </c>
      <c r="F305">
        <v>14</v>
      </c>
      <c r="G305" t="b">
        <v>0</v>
      </c>
      <c r="H305">
        <v>4</v>
      </c>
      <c r="I305">
        <v>1</v>
      </c>
      <c r="J305">
        <v>0.2</v>
      </c>
      <c r="K305">
        <v>0.18179999999999999</v>
      </c>
      <c r="L305">
        <v>0.27</v>
      </c>
      <c r="M305">
        <v>0.28360000000000002</v>
      </c>
      <c r="N305">
        <v>6</v>
      </c>
      <c r="O305">
        <v>42</v>
      </c>
      <c r="P305">
        <v>48</v>
      </c>
      <c r="Q305" t="s">
        <v>68</v>
      </c>
      <c r="R305" t="s">
        <v>54</v>
      </c>
    </row>
    <row r="306" spans="1:18" x14ac:dyDescent="0.3">
      <c r="A306">
        <v>915</v>
      </c>
      <c r="B306" s="37">
        <v>40584</v>
      </c>
      <c r="C306">
        <v>1</v>
      </c>
      <c r="D306">
        <v>0</v>
      </c>
      <c r="E306">
        <v>2</v>
      </c>
      <c r="F306">
        <v>15</v>
      </c>
      <c r="G306" t="b">
        <v>0</v>
      </c>
      <c r="H306">
        <v>4</v>
      </c>
      <c r="I306">
        <v>1</v>
      </c>
      <c r="J306">
        <v>0.2</v>
      </c>
      <c r="K306">
        <v>0.19700000000000001</v>
      </c>
      <c r="L306">
        <v>0.25</v>
      </c>
      <c r="M306">
        <v>0.25369999999999998</v>
      </c>
      <c r="N306">
        <v>0</v>
      </c>
      <c r="O306">
        <v>50</v>
      </c>
      <c r="P306">
        <v>50</v>
      </c>
      <c r="Q306" t="s">
        <v>68</v>
      </c>
      <c r="R306" t="s">
        <v>54</v>
      </c>
    </row>
    <row r="307" spans="1:18" x14ac:dyDescent="0.3">
      <c r="A307">
        <v>916</v>
      </c>
      <c r="B307" s="37">
        <v>40584</v>
      </c>
      <c r="C307">
        <v>1</v>
      </c>
      <c r="D307">
        <v>0</v>
      </c>
      <c r="E307">
        <v>2</v>
      </c>
      <c r="F307">
        <v>16</v>
      </c>
      <c r="G307" t="b">
        <v>0</v>
      </c>
      <c r="H307">
        <v>4</v>
      </c>
      <c r="I307">
        <v>1</v>
      </c>
      <c r="J307">
        <v>0.2</v>
      </c>
      <c r="K307">
        <v>0.18179999999999999</v>
      </c>
      <c r="L307">
        <v>0.27</v>
      </c>
      <c r="M307">
        <v>0.29849999999999999</v>
      </c>
      <c r="N307">
        <v>4</v>
      </c>
      <c r="O307">
        <v>76</v>
      </c>
      <c r="P307">
        <v>80</v>
      </c>
      <c r="Q307" t="s">
        <v>68</v>
      </c>
      <c r="R307" t="s">
        <v>54</v>
      </c>
    </row>
    <row r="308" spans="1:18" x14ac:dyDescent="0.3">
      <c r="A308">
        <v>917</v>
      </c>
      <c r="B308" s="37">
        <v>40584</v>
      </c>
      <c r="C308">
        <v>1</v>
      </c>
      <c r="D308">
        <v>0</v>
      </c>
      <c r="E308">
        <v>2</v>
      </c>
      <c r="F308">
        <v>17</v>
      </c>
      <c r="G308" t="b">
        <v>0</v>
      </c>
      <c r="H308">
        <v>4</v>
      </c>
      <c r="I308">
        <v>1</v>
      </c>
      <c r="J308">
        <v>0.18</v>
      </c>
      <c r="K308">
        <v>0.18179999999999999</v>
      </c>
      <c r="L308">
        <v>0.26</v>
      </c>
      <c r="M308">
        <v>0.19400000000000001</v>
      </c>
      <c r="N308">
        <v>6</v>
      </c>
      <c r="O308">
        <v>159</v>
      </c>
      <c r="P308">
        <v>165</v>
      </c>
      <c r="Q308" t="s">
        <v>68</v>
      </c>
      <c r="R308" t="s">
        <v>54</v>
      </c>
    </row>
    <row r="309" spans="1:18" x14ac:dyDescent="0.3">
      <c r="A309">
        <v>918</v>
      </c>
      <c r="B309" s="37">
        <v>40584</v>
      </c>
      <c r="C309">
        <v>1</v>
      </c>
      <c r="D309">
        <v>0</v>
      </c>
      <c r="E309">
        <v>2</v>
      </c>
      <c r="F309">
        <v>18</v>
      </c>
      <c r="G309" t="b">
        <v>0</v>
      </c>
      <c r="H309">
        <v>4</v>
      </c>
      <c r="I309">
        <v>1</v>
      </c>
      <c r="J309">
        <v>0.16</v>
      </c>
      <c r="K309">
        <v>0.18179999999999999</v>
      </c>
      <c r="L309">
        <v>0.28000000000000003</v>
      </c>
      <c r="M309">
        <v>0.1343</v>
      </c>
      <c r="N309">
        <v>3</v>
      </c>
      <c r="O309">
        <v>157</v>
      </c>
      <c r="P309">
        <v>160</v>
      </c>
      <c r="Q309" t="s">
        <v>68</v>
      </c>
      <c r="R309" t="s">
        <v>54</v>
      </c>
    </row>
    <row r="310" spans="1:18" x14ac:dyDescent="0.3">
      <c r="A310">
        <v>919</v>
      </c>
      <c r="B310" s="37">
        <v>40584</v>
      </c>
      <c r="C310">
        <v>1</v>
      </c>
      <c r="D310">
        <v>0</v>
      </c>
      <c r="E310">
        <v>2</v>
      </c>
      <c r="F310">
        <v>19</v>
      </c>
      <c r="G310" t="b">
        <v>0</v>
      </c>
      <c r="H310">
        <v>4</v>
      </c>
      <c r="I310">
        <v>1</v>
      </c>
      <c r="J310">
        <v>0.14000000000000001</v>
      </c>
      <c r="K310">
        <v>0.16669999999999999</v>
      </c>
      <c r="L310">
        <v>0.28000000000000003</v>
      </c>
      <c r="M310">
        <v>0.1045</v>
      </c>
      <c r="N310">
        <v>2</v>
      </c>
      <c r="O310">
        <v>110</v>
      </c>
      <c r="P310">
        <v>112</v>
      </c>
      <c r="Q310" t="s">
        <v>71</v>
      </c>
      <c r="R310" t="s">
        <v>54</v>
      </c>
    </row>
    <row r="311" spans="1:18" x14ac:dyDescent="0.3">
      <c r="A311">
        <v>920</v>
      </c>
      <c r="B311" s="37">
        <v>40584</v>
      </c>
      <c r="C311">
        <v>1</v>
      </c>
      <c r="D311">
        <v>0</v>
      </c>
      <c r="E311">
        <v>2</v>
      </c>
      <c r="F311">
        <v>20</v>
      </c>
      <c r="G311" t="b">
        <v>0</v>
      </c>
      <c r="H311">
        <v>4</v>
      </c>
      <c r="I311">
        <v>1</v>
      </c>
      <c r="J311">
        <v>0.14000000000000001</v>
      </c>
      <c r="K311">
        <v>0.18179999999999999</v>
      </c>
      <c r="L311">
        <v>0.31</v>
      </c>
      <c r="M311">
        <v>8.9599999999999999E-2</v>
      </c>
      <c r="N311">
        <v>4</v>
      </c>
      <c r="O311">
        <v>93</v>
      </c>
      <c r="P311">
        <v>97</v>
      </c>
      <c r="Q311" t="s">
        <v>71</v>
      </c>
      <c r="R311" t="s">
        <v>54</v>
      </c>
    </row>
    <row r="312" spans="1:18" x14ac:dyDescent="0.3">
      <c r="A312">
        <v>921</v>
      </c>
      <c r="B312" s="37">
        <v>40584</v>
      </c>
      <c r="C312">
        <v>1</v>
      </c>
      <c r="D312">
        <v>0</v>
      </c>
      <c r="E312">
        <v>2</v>
      </c>
      <c r="F312">
        <v>21</v>
      </c>
      <c r="G312" t="b">
        <v>0</v>
      </c>
      <c r="H312">
        <v>4</v>
      </c>
      <c r="I312">
        <v>1</v>
      </c>
      <c r="J312">
        <v>0.14000000000000001</v>
      </c>
      <c r="K312">
        <v>0.21210000000000001</v>
      </c>
      <c r="L312">
        <v>0.39</v>
      </c>
      <c r="M312">
        <v>0</v>
      </c>
      <c r="N312">
        <v>2</v>
      </c>
      <c r="O312">
        <v>70</v>
      </c>
      <c r="P312">
        <v>72</v>
      </c>
      <c r="Q312" t="s">
        <v>71</v>
      </c>
      <c r="R312" t="s">
        <v>54</v>
      </c>
    </row>
    <row r="313" spans="1:18" x14ac:dyDescent="0.3">
      <c r="A313">
        <v>922</v>
      </c>
      <c r="B313" s="37">
        <v>40584</v>
      </c>
      <c r="C313">
        <v>1</v>
      </c>
      <c r="D313">
        <v>0</v>
      </c>
      <c r="E313">
        <v>2</v>
      </c>
      <c r="F313">
        <v>22</v>
      </c>
      <c r="G313" t="b">
        <v>0</v>
      </c>
      <c r="H313">
        <v>4</v>
      </c>
      <c r="I313">
        <v>1</v>
      </c>
      <c r="J313">
        <v>0.12</v>
      </c>
      <c r="K313">
        <v>0.19700000000000001</v>
      </c>
      <c r="L313">
        <v>0.39</v>
      </c>
      <c r="M313">
        <v>0</v>
      </c>
      <c r="N313">
        <v>4</v>
      </c>
      <c r="O313">
        <v>47</v>
      </c>
      <c r="P313">
        <v>51</v>
      </c>
      <c r="Q313" t="s">
        <v>71</v>
      </c>
      <c r="R313" t="s">
        <v>54</v>
      </c>
    </row>
    <row r="314" spans="1:18" x14ac:dyDescent="0.3">
      <c r="A314">
        <v>923</v>
      </c>
      <c r="B314" s="37">
        <v>40584</v>
      </c>
      <c r="C314">
        <v>1</v>
      </c>
      <c r="D314">
        <v>0</v>
      </c>
      <c r="E314">
        <v>2</v>
      </c>
      <c r="F314">
        <v>23</v>
      </c>
      <c r="G314" t="b">
        <v>0</v>
      </c>
      <c r="H314">
        <v>4</v>
      </c>
      <c r="I314">
        <v>1</v>
      </c>
      <c r="J314">
        <v>0.12</v>
      </c>
      <c r="K314">
        <v>0.1515</v>
      </c>
      <c r="L314">
        <v>0.42</v>
      </c>
      <c r="M314">
        <v>0.1045</v>
      </c>
      <c r="N314">
        <v>1</v>
      </c>
      <c r="O314">
        <v>33</v>
      </c>
      <c r="P314">
        <v>34</v>
      </c>
      <c r="Q314" t="s">
        <v>71</v>
      </c>
      <c r="R314" t="s">
        <v>54</v>
      </c>
    </row>
    <row r="315" spans="1:18" x14ac:dyDescent="0.3">
      <c r="A315">
        <v>924</v>
      </c>
      <c r="B315" s="37">
        <v>40585</v>
      </c>
      <c r="C315">
        <v>1</v>
      </c>
      <c r="D315">
        <v>0</v>
      </c>
      <c r="E315">
        <v>2</v>
      </c>
      <c r="F315">
        <v>0</v>
      </c>
      <c r="G315" t="b">
        <v>0</v>
      </c>
      <c r="H315">
        <v>5</v>
      </c>
      <c r="I315">
        <v>1</v>
      </c>
      <c r="J315">
        <v>0.1</v>
      </c>
      <c r="K315">
        <v>0.13639999999999999</v>
      </c>
      <c r="L315">
        <v>0.49</v>
      </c>
      <c r="M315">
        <v>0.1045</v>
      </c>
      <c r="N315">
        <v>2</v>
      </c>
      <c r="O315">
        <v>12</v>
      </c>
      <c r="P315">
        <v>14</v>
      </c>
      <c r="Q315" t="s">
        <v>72</v>
      </c>
      <c r="R315" t="s">
        <v>55</v>
      </c>
    </row>
    <row r="316" spans="1:18" x14ac:dyDescent="0.3">
      <c r="A316">
        <v>925</v>
      </c>
      <c r="B316" s="37">
        <v>40585</v>
      </c>
      <c r="C316">
        <v>1</v>
      </c>
      <c r="D316">
        <v>0</v>
      </c>
      <c r="E316">
        <v>2</v>
      </c>
      <c r="F316">
        <v>1</v>
      </c>
      <c r="G316" t="b">
        <v>0</v>
      </c>
      <c r="H316">
        <v>5</v>
      </c>
      <c r="I316">
        <v>1</v>
      </c>
      <c r="J316">
        <v>0.1</v>
      </c>
      <c r="K316">
        <v>0.13639999999999999</v>
      </c>
      <c r="L316">
        <v>0.54</v>
      </c>
      <c r="M316">
        <v>8.9599999999999999E-2</v>
      </c>
      <c r="N316">
        <v>1</v>
      </c>
      <c r="O316">
        <v>6</v>
      </c>
      <c r="P316">
        <v>7</v>
      </c>
      <c r="Q316" t="s">
        <v>72</v>
      </c>
      <c r="R316" t="s">
        <v>55</v>
      </c>
    </row>
    <row r="317" spans="1:18" x14ac:dyDescent="0.3">
      <c r="A317">
        <v>926</v>
      </c>
      <c r="B317" s="37">
        <v>40585</v>
      </c>
      <c r="C317">
        <v>1</v>
      </c>
      <c r="D317">
        <v>0</v>
      </c>
      <c r="E317">
        <v>2</v>
      </c>
      <c r="F317">
        <v>2</v>
      </c>
      <c r="G317" t="b">
        <v>0</v>
      </c>
      <c r="H317">
        <v>5</v>
      </c>
      <c r="I317">
        <v>1</v>
      </c>
      <c r="J317">
        <v>0.1</v>
      </c>
      <c r="K317">
        <v>0.13639999999999999</v>
      </c>
      <c r="L317">
        <v>0.54</v>
      </c>
      <c r="M317">
        <v>8.9599999999999999E-2</v>
      </c>
      <c r="N317">
        <v>0</v>
      </c>
      <c r="O317">
        <v>3</v>
      </c>
      <c r="P317">
        <v>3</v>
      </c>
      <c r="Q317" t="s">
        <v>72</v>
      </c>
      <c r="R317" t="s">
        <v>55</v>
      </c>
    </row>
    <row r="318" spans="1:18" x14ac:dyDescent="0.3">
      <c r="A318">
        <v>927</v>
      </c>
      <c r="B318" s="37">
        <v>40585</v>
      </c>
      <c r="C318">
        <v>1</v>
      </c>
      <c r="D318">
        <v>0</v>
      </c>
      <c r="E318">
        <v>2</v>
      </c>
      <c r="F318">
        <v>5</v>
      </c>
      <c r="G318" t="b">
        <v>0</v>
      </c>
      <c r="H318">
        <v>5</v>
      </c>
      <c r="I318">
        <v>1</v>
      </c>
      <c r="J318">
        <v>0.08</v>
      </c>
      <c r="K318">
        <v>0.1212</v>
      </c>
      <c r="L318">
        <v>0.63</v>
      </c>
      <c r="M318">
        <v>8.9599999999999999E-2</v>
      </c>
      <c r="N318">
        <v>0</v>
      </c>
      <c r="O318">
        <v>4</v>
      </c>
      <c r="P318">
        <v>4</v>
      </c>
      <c r="Q318" t="s">
        <v>72</v>
      </c>
      <c r="R318" t="s">
        <v>55</v>
      </c>
    </row>
    <row r="319" spans="1:18" x14ac:dyDescent="0.3">
      <c r="A319">
        <v>928</v>
      </c>
      <c r="B319" s="37">
        <v>40585</v>
      </c>
      <c r="C319">
        <v>1</v>
      </c>
      <c r="D319">
        <v>0</v>
      </c>
      <c r="E319">
        <v>2</v>
      </c>
      <c r="F319">
        <v>6</v>
      </c>
      <c r="G319" t="b">
        <v>0</v>
      </c>
      <c r="H319">
        <v>5</v>
      </c>
      <c r="I319">
        <v>1</v>
      </c>
      <c r="J319">
        <v>0.1</v>
      </c>
      <c r="K319">
        <v>0.18179999999999999</v>
      </c>
      <c r="L319">
        <v>0.68</v>
      </c>
      <c r="M319">
        <v>0</v>
      </c>
      <c r="N319">
        <v>1</v>
      </c>
      <c r="O319">
        <v>23</v>
      </c>
      <c r="P319">
        <v>24</v>
      </c>
      <c r="Q319" t="s">
        <v>72</v>
      </c>
      <c r="R319" t="s">
        <v>55</v>
      </c>
    </row>
    <row r="320" spans="1:18" x14ac:dyDescent="0.3">
      <c r="A320">
        <v>929</v>
      </c>
      <c r="B320" s="37">
        <v>40585</v>
      </c>
      <c r="C320">
        <v>1</v>
      </c>
      <c r="D320">
        <v>0</v>
      </c>
      <c r="E320">
        <v>2</v>
      </c>
      <c r="F320">
        <v>7</v>
      </c>
      <c r="G320" t="b">
        <v>0</v>
      </c>
      <c r="H320">
        <v>5</v>
      </c>
      <c r="I320">
        <v>1</v>
      </c>
      <c r="J320">
        <v>0.08</v>
      </c>
      <c r="K320">
        <v>0.16669999999999999</v>
      </c>
      <c r="L320">
        <v>0.73</v>
      </c>
      <c r="M320">
        <v>0</v>
      </c>
      <c r="N320">
        <v>1</v>
      </c>
      <c r="O320">
        <v>73</v>
      </c>
      <c r="P320">
        <v>74</v>
      </c>
      <c r="Q320" t="s">
        <v>72</v>
      </c>
      <c r="R320" t="s">
        <v>55</v>
      </c>
    </row>
    <row r="321" spans="1:18" x14ac:dyDescent="0.3">
      <c r="A321">
        <v>930</v>
      </c>
      <c r="B321" s="37">
        <v>40585</v>
      </c>
      <c r="C321">
        <v>1</v>
      </c>
      <c r="D321">
        <v>0</v>
      </c>
      <c r="E321">
        <v>2</v>
      </c>
      <c r="F321">
        <v>8</v>
      </c>
      <c r="G321" t="b">
        <v>0</v>
      </c>
      <c r="H321">
        <v>5</v>
      </c>
      <c r="I321">
        <v>1</v>
      </c>
      <c r="J321">
        <v>0.1</v>
      </c>
      <c r="K321">
        <v>0.1212</v>
      </c>
      <c r="L321">
        <v>0.74</v>
      </c>
      <c r="M321">
        <v>0.16420000000000001</v>
      </c>
      <c r="N321">
        <v>4</v>
      </c>
      <c r="O321">
        <v>212</v>
      </c>
      <c r="P321">
        <v>216</v>
      </c>
      <c r="Q321" t="s">
        <v>72</v>
      </c>
      <c r="R321" t="s">
        <v>55</v>
      </c>
    </row>
    <row r="322" spans="1:18" x14ac:dyDescent="0.3">
      <c r="A322">
        <v>931</v>
      </c>
      <c r="B322" s="37">
        <v>40585</v>
      </c>
      <c r="C322">
        <v>1</v>
      </c>
      <c r="D322">
        <v>0</v>
      </c>
      <c r="E322">
        <v>2</v>
      </c>
      <c r="F322">
        <v>9</v>
      </c>
      <c r="G322" t="b">
        <v>0</v>
      </c>
      <c r="H322">
        <v>5</v>
      </c>
      <c r="I322">
        <v>1</v>
      </c>
      <c r="J322">
        <v>0.12</v>
      </c>
      <c r="K322">
        <v>0.1212</v>
      </c>
      <c r="L322">
        <v>0.74</v>
      </c>
      <c r="M322">
        <v>0.22389999999999999</v>
      </c>
      <c r="N322">
        <v>8</v>
      </c>
      <c r="O322">
        <v>132</v>
      </c>
      <c r="P322">
        <v>140</v>
      </c>
      <c r="Q322" t="s">
        <v>72</v>
      </c>
      <c r="R322" t="s">
        <v>55</v>
      </c>
    </row>
    <row r="323" spans="1:18" x14ac:dyDescent="0.3">
      <c r="A323">
        <v>932</v>
      </c>
      <c r="B323" s="37">
        <v>40585</v>
      </c>
      <c r="C323">
        <v>1</v>
      </c>
      <c r="D323">
        <v>0</v>
      </c>
      <c r="E323">
        <v>2</v>
      </c>
      <c r="F323">
        <v>10</v>
      </c>
      <c r="G323" t="b">
        <v>0</v>
      </c>
      <c r="H323">
        <v>5</v>
      </c>
      <c r="I323">
        <v>1</v>
      </c>
      <c r="J323">
        <v>0.14000000000000001</v>
      </c>
      <c r="K323">
        <v>0.13639999999999999</v>
      </c>
      <c r="L323">
        <v>0.69</v>
      </c>
      <c r="M323">
        <v>0.19400000000000001</v>
      </c>
      <c r="N323">
        <v>5</v>
      </c>
      <c r="O323">
        <v>39</v>
      </c>
      <c r="P323">
        <v>44</v>
      </c>
      <c r="Q323" t="s">
        <v>72</v>
      </c>
      <c r="R323" t="s">
        <v>55</v>
      </c>
    </row>
    <row r="324" spans="1:18" x14ac:dyDescent="0.3">
      <c r="A324">
        <v>933</v>
      </c>
      <c r="B324" s="37">
        <v>40585</v>
      </c>
      <c r="C324">
        <v>1</v>
      </c>
      <c r="D324">
        <v>0</v>
      </c>
      <c r="E324">
        <v>2</v>
      </c>
      <c r="F324">
        <v>11</v>
      </c>
      <c r="G324" t="b">
        <v>0</v>
      </c>
      <c r="H324">
        <v>5</v>
      </c>
      <c r="I324">
        <v>1</v>
      </c>
      <c r="J324">
        <v>0.22</v>
      </c>
      <c r="K324">
        <v>0.2273</v>
      </c>
      <c r="L324">
        <v>0.47</v>
      </c>
      <c r="M324">
        <v>0.1343</v>
      </c>
      <c r="N324">
        <v>12</v>
      </c>
      <c r="O324">
        <v>52</v>
      </c>
      <c r="P324">
        <v>64</v>
      </c>
      <c r="Q324" t="s">
        <v>72</v>
      </c>
      <c r="R324" t="s">
        <v>55</v>
      </c>
    </row>
    <row r="325" spans="1:18" x14ac:dyDescent="0.3">
      <c r="A325">
        <v>934</v>
      </c>
      <c r="B325" s="37">
        <v>40585</v>
      </c>
      <c r="C325">
        <v>1</v>
      </c>
      <c r="D325">
        <v>0</v>
      </c>
      <c r="E325">
        <v>2</v>
      </c>
      <c r="F325">
        <v>12</v>
      </c>
      <c r="G325" t="b">
        <v>0</v>
      </c>
      <c r="H325">
        <v>5</v>
      </c>
      <c r="I325">
        <v>1</v>
      </c>
      <c r="J325">
        <v>0.22</v>
      </c>
      <c r="K325">
        <v>0.2273</v>
      </c>
      <c r="L325">
        <v>0.47</v>
      </c>
      <c r="M325">
        <v>0.1343</v>
      </c>
      <c r="N325">
        <v>7</v>
      </c>
      <c r="O325">
        <v>64</v>
      </c>
      <c r="P325">
        <v>71</v>
      </c>
      <c r="Q325" t="s">
        <v>72</v>
      </c>
      <c r="R325" t="s">
        <v>55</v>
      </c>
    </row>
    <row r="326" spans="1:18" x14ac:dyDescent="0.3">
      <c r="A326">
        <v>935</v>
      </c>
      <c r="B326" s="37">
        <v>40585</v>
      </c>
      <c r="C326">
        <v>1</v>
      </c>
      <c r="D326">
        <v>0</v>
      </c>
      <c r="E326">
        <v>2</v>
      </c>
      <c r="F326">
        <v>13</v>
      </c>
      <c r="G326" t="b">
        <v>0</v>
      </c>
      <c r="H326">
        <v>5</v>
      </c>
      <c r="I326">
        <v>1</v>
      </c>
      <c r="J326">
        <v>0.24</v>
      </c>
      <c r="K326">
        <v>0.2273</v>
      </c>
      <c r="L326">
        <v>0.35</v>
      </c>
      <c r="M326">
        <v>0.19400000000000001</v>
      </c>
      <c r="N326">
        <v>21</v>
      </c>
      <c r="O326">
        <v>89</v>
      </c>
      <c r="P326">
        <v>110</v>
      </c>
      <c r="Q326" t="s">
        <v>68</v>
      </c>
      <c r="R326" t="s">
        <v>55</v>
      </c>
    </row>
    <row r="327" spans="1:18" x14ac:dyDescent="0.3">
      <c r="A327">
        <v>936</v>
      </c>
      <c r="B327" s="37">
        <v>40585</v>
      </c>
      <c r="C327">
        <v>1</v>
      </c>
      <c r="D327">
        <v>0</v>
      </c>
      <c r="E327">
        <v>2</v>
      </c>
      <c r="F327">
        <v>14</v>
      </c>
      <c r="G327" t="b">
        <v>0</v>
      </c>
      <c r="H327">
        <v>5</v>
      </c>
      <c r="I327">
        <v>1</v>
      </c>
      <c r="J327">
        <v>0.3</v>
      </c>
      <c r="K327">
        <v>0.28789999999999999</v>
      </c>
      <c r="L327">
        <v>0.26</v>
      </c>
      <c r="M327">
        <v>0.25369999999999998</v>
      </c>
      <c r="N327">
        <v>17</v>
      </c>
      <c r="O327">
        <v>67</v>
      </c>
      <c r="P327">
        <v>84</v>
      </c>
      <c r="Q327" t="s">
        <v>68</v>
      </c>
      <c r="R327" t="s">
        <v>55</v>
      </c>
    </row>
    <row r="328" spans="1:18" x14ac:dyDescent="0.3">
      <c r="A328">
        <v>937</v>
      </c>
      <c r="B328" s="37">
        <v>40585</v>
      </c>
      <c r="C328">
        <v>1</v>
      </c>
      <c r="D328">
        <v>0</v>
      </c>
      <c r="E328">
        <v>2</v>
      </c>
      <c r="F328">
        <v>15</v>
      </c>
      <c r="G328" t="b">
        <v>0</v>
      </c>
      <c r="H328">
        <v>5</v>
      </c>
      <c r="I328">
        <v>1</v>
      </c>
      <c r="J328">
        <v>0.32</v>
      </c>
      <c r="K328">
        <v>0.31819999999999998</v>
      </c>
      <c r="L328">
        <v>0.21</v>
      </c>
      <c r="M328">
        <v>0.16420000000000001</v>
      </c>
      <c r="N328">
        <v>12</v>
      </c>
      <c r="O328">
        <v>62</v>
      </c>
      <c r="P328">
        <v>74</v>
      </c>
      <c r="Q328" t="s">
        <v>68</v>
      </c>
      <c r="R328" t="s">
        <v>55</v>
      </c>
    </row>
    <row r="329" spans="1:18" x14ac:dyDescent="0.3">
      <c r="A329">
        <v>938</v>
      </c>
      <c r="B329" s="37">
        <v>40585</v>
      </c>
      <c r="C329">
        <v>1</v>
      </c>
      <c r="D329">
        <v>0</v>
      </c>
      <c r="E329">
        <v>2</v>
      </c>
      <c r="F329">
        <v>16</v>
      </c>
      <c r="G329" t="b">
        <v>0</v>
      </c>
      <c r="H329">
        <v>5</v>
      </c>
      <c r="I329">
        <v>1</v>
      </c>
      <c r="J329">
        <v>0.3</v>
      </c>
      <c r="K329">
        <v>0.28789999999999999</v>
      </c>
      <c r="L329">
        <v>0.28000000000000003</v>
      </c>
      <c r="M329">
        <v>0.19400000000000001</v>
      </c>
      <c r="N329">
        <v>14</v>
      </c>
      <c r="O329">
        <v>111</v>
      </c>
      <c r="P329">
        <v>125</v>
      </c>
      <c r="Q329" t="s">
        <v>68</v>
      </c>
      <c r="R329" t="s">
        <v>55</v>
      </c>
    </row>
    <row r="330" spans="1:18" x14ac:dyDescent="0.3">
      <c r="A330">
        <v>939</v>
      </c>
      <c r="B330" s="37">
        <v>40585</v>
      </c>
      <c r="C330">
        <v>1</v>
      </c>
      <c r="D330">
        <v>0</v>
      </c>
      <c r="E330">
        <v>2</v>
      </c>
      <c r="F330">
        <v>17</v>
      </c>
      <c r="G330" t="b">
        <v>0</v>
      </c>
      <c r="H330">
        <v>5</v>
      </c>
      <c r="I330">
        <v>1</v>
      </c>
      <c r="J330">
        <v>0.3</v>
      </c>
      <c r="K330">
        <v>0.33329999999999999</v>
      </c>
      <c r="L330">
        <v>0.24</v>
      </c>
      <c r="M330">
        <v>0</v>
      </c>
      <c r="N330">
        <v>18</v>
      </c>
      <c r="O330">
        <v>193</v>
      </c>
      <c r="P330">
        <v>211</v>
      </c>
      <c r="Q330" t="s">
        <v>68</v>
      </c>
      <c r="R330" t="s">
        <v>55</v>
      </c>
    </row>
    <row r="331" spans="1:18" x14ac:dyDescent="0.3">
      <c r="A331">
        <v>940</v>
      </c>
      <c r="B331" s="37">
        <v>40585</v>
      </c>
      <c r="C331">
        <v>1</v>
      </c>
      <c r="D331">
        <v>0</v>
      </c>
      <c r="E331">
        <v>2</v>
      </c>
      <c r="F331">
        <v>18</v>
      </c>
      <c r="G331" t="b">
        <v>0</v>
      </c>
      <c r="H331">
        <v>5</v>
      </c>
      <c r="I331">
        <v>1</v>
      </c>
      <c r="J331">
        <v>0.28000000000000003</v>
      </c>
      <c r="K331">
        <v>0.31819999999999998</v>
      </c>
      <c r="L331">
        <v>0.28000000000000003</v>
      </c>
      <c r="M331">
        <v>0</v>
      </c>
      <c r="N331">
        <v>9</v>
      </c>
      <c r="O331">
        <v>165</v>
      </c>
      <c r="P331">
        <v>174</v>
      </c>
      <c r="Q331" t="s">
        <v>68</v>
      </c>
      <c r="R331" t="s">
        <v>55</v>
      </c>
    </row>
    <row r="332" spans="1:18" x14ac:dyDescent="0.3">
      <c r="A332">
        <v>941</v>
      </c>
      <c r="B332" s="37">
        <v>40585</v>
      </c>
      <c r="C332">
        <v>1</v>
      </c>
      <c r="D332">
        <v>0</v>
      </c>
      <c r="E332">
        <v>2</v>
      </c>
      <c r="F332">
        <v>19</v>
      </c>
      <c r="G332" t="b">
        <v>0</v>
      </c>
      <c r="H332">
        <v>5</v>
      </c>
      <c r="I332">
        <v>1</v>
      </c>
      <c r="J332">
        <v>0.26</v>
      </c>
      <c r="K332">
        <v>0.30299999999999999</v>
      </c>
      <c r="L332">
        <v>0.33</v>
      </c>
      <c r="M332">
        <v>0</v>
      </c>
      <c r="N332">
        <v>7</v>
      </c>
      <c r="O332">
        <v>94</v>
      </c>
      <c r="P332">
        <v>101</v>
      </c>
      <c r="Q332" t="s">
        <v>71</v>
      </c>
      <c r="R332" t="s">
        <v>55</v>
      </c>
    </row>
    <row r="333" spans="1:18" x14ac:dyDescent="0.3">
      <c r="A333">
        <v>942</v>
      </c>
      <c r="B333" s="37">
        <v>40585</v>
      </c>
      <c r="C333">
        <v>1</v>
      </c>
      <c r="D333">
        <v>0</v>
      </c>
      <c r="E333">
        <v>2</v>
      </c>
      <c r="F333">
        <v>20</v>
      </c>
      <c r="G333" t="b">
        <v>0</v>
      </c>
      <c r="H333">
        <v>5</v>
      </c>
      <c r="I333">
        <v>1</v>
      </c>
      <c r="J333">
        <v>0.22</v>
      </c>
      <c r="K333">
        <v>0.2273</v>
      </c>
      <c r="L333">
        <v>0.55000000000000004</v>
      </c>
      <c r="M333">
        <v>0.1343</v>
      </c>
      <c r="N333">
        <v>2</v>
      </c>
      <c r="O333">
        <v>61</v>
      </c>
      <c r="P333">
        <v>63</v>
      </c>
      <c r="Q333" t="s">
        <v>71</v>
      </c>
      <c r="R333" t="s">
        <v>55</v>
      </c>
    </row>
    <row r="334" spans="1:18" x14ac:dyDescent="0.3">
      <c r="A334">
        <v>943</v>
      </c>
      <c r="B334" s="37">
        <v>40585</v>
      </c>
      <c r="C334">
        <v>1</v>
      </c>
      <c r="D334">
        <v>0</v>
      </c>
      <c r="E334">
        <v>2</v>
      </c>
      <c r="F334">
        <v>21</v>
      </c>
      <c r="G334" t="b">
        <v>0</v>
      </c>
      <c r="H334">
        <v>5</v>
      </c>
      <c r="I334">
        <v>1</v>
      </c>
      <c r="J334">
        <v>0.2</v>
      </c>
      <c r="K334">
        <v>0.21210000000000001</v>
      </c>
      <c r="L334">
        <v>0.59</v>
      </c>
      <c r="M334">
        <v>0.1343</v>
      </c>
      <c r="N334">
        <v>1</v>
      </c>
      <c r="O334">
        <v>46</v>
      </c>
      <c r="P334">
        <v>47</v>
      </c>
      <c r="Q334" t="s">
        <v>71</v>
      </c>
      <c r="R334" t="s">
        <v>55</v>
      </c>
    </row>
    <row r="335" spans="1:18" x14ac:dyDescent="0.3">
      <c r="A335">
        <v>944</v>
      </c>
      <c r="B335" s="37">
        <v>40585</v>
      </c>
      <c r="C335">
        <v>1</v>
      </c>
      <c r="D335">
        <v>0</v>
      </c>
      <c r="E335">
        <v>2</v>
      </c>
      <c r="F335">
        <v>22</v>
      </c>
      <c r="G335" t="b">
        <v>0</v>
      </c>
      <c r="H335">
        <v>5</v>
      </c>
      <c r="I335">
        <v>1</v>
      </c>
      <c r="J335">
        <v>0.2</v>
      </c>
      <c r="K335">
        <v>0.2273</v>
      </c>
      <c r="L335">
        <v>0.64</v>
      </c>
      <c r="M335">
        <v>8.9599999999999999E-2</v>
      </c>
      <c r="N335">
        <v>2</v>
      </c>
      <c r="O335">
        <v>41</v>
      </c>
      <c r="P335">
        <v>43</v>
      </c>
      <c r="Q335" t="s">
        <v>71</v>
      </c>
      <c r="R335" t="s">
        <v>55</v>
      </c>
    </row>
    <row r="336" spans="1:18" x14ac:dyDescent="0.3">
      <c r="A336">
        <v>945</v>
      </c>
      <c r="B336" s="37">
        <v>40585</v>
      </c>
      <c r="C336">
        <v>1</v>
      </c>
      <c r="D336">
        <v>0</v>
      </c>
      <c r="E336">
        <v>2</v>
      </c>
      <c r="F336">
        <v>23</v>
      </c>
      <c r="G336" t="b">
        <v>0</v>
      </c>
      <c r="H336">
        <v>5</v>
      </c>
      <c r="I336">
        <v>1</v>
      </c>
      <c r="J336">
        <v>0.18</v>
      </c>
      <c r="K336">
        <v>0.2424</v>
      </c>
      <c r="L336">
        <v>0.69</v>
      </c>
      <c r="M336">
        <v>0</v>
      </c>
      <c r="N336">
        <v>5</v>
      </c>
      <c r="O336">
        <v>48</v>
      </c>
      <c r="P336">
        <v>53</v>
      </c>
      <c r="Q336" t="s">
        <v>71</v>
      </c>
      <c r="R336" t="s">
        <v>55</v>
      </c>
    </row>
    <row r="337" spans="1:18" x14ac:dyDescent="0.3">
      <c r="A337">
        <v>946</v>
      </c>
      <c r="B337" s="37">
        <v>40586</v>
      </c>
      <c r="C337">
        <v>1</v>
      </c>
      <c r="D337">
        <v>0</v>
      </c>
      <c r="E337">
        <v>2</v>
      </c>
      <c r="F337">
        <v>0</v>
      </c>
      <c r="G337" t="b">
        <v>0</v>
      </c>
      <c r="H337">
        <v>6</v>
      </c>
      <c r="I337">
        <v>1</v>
      </c>
      <c r="J337">
        <v>0.16</v>
      </c>
      <c r="K337">
        <v>0.19700000000000001</v>
      </c>
      <c r="L337">
        <v>0.69</v>
      </c>
      <c r="M337">
        <v>8.9599999999999999E-2</v>
      </c>
      <c r="N337">
        <v>3</v>
      </c>
      <c r="O337">
        <v>27</v>
      </c>
      <c r="P337">
        <v>30</v>
      </c>
      <c r="Q337" t="s">
        <v>72</v>
      </c>
      <c r="R337" t="s">
        <v>49</v>
      </c>
    </row>
    <row r="338" spans="1:18" x14ac:dyDescent="0.3">
      <c r="A338">
        <v>947</v>
      </c>
      <c r="B338" s="37">
        <v>40586</v>
      </c>
      <c r="C338">
        <v>1</v>
      </c>
      <c r="D338">
        <v>0</v>
      </c>
      <c r="E338">
        <v>2</v>
      </c>
      <c r="F338">
        <v>1</v>
      </c>
      <c r="G338" t="b">
        <v>0</v>
      </c>
      <c r="H338">
        <v>6</v>
      </c>
      <c r="I338">
        <v>1</v>
      </c>
      <c r="J338">
        <v>0.14000000000000001</v>
      </c>
      <c r="K338">
        <v>0.21210000000000001</v>
      </c>
      <c r="L338">
        <v>0.86</v>
      </c>
      <c r="M338">
        <v>0</v>
      </c>
      <c r="N338">
        <v>2</v>
      </c>
      <c r="O338">
        <v>22</v>
      </c>
      <c r="P338">
        <v>24</v>
      </c>
      <c r="Q338" t="s">
        <v>72</v>
      </c>
      <c r="R338" t="s">
        <v>49</v>
      </c>
    </row>
    <row r="339" spans="1:18" x14ac:dyDescent="0.3">
      <c r="A339">
        <v>948</v>
      </c>
      <c r="B339" s="37">
        <v>40586</v>
      </c>
      <c r="C339">
        <v>1</v>
      </c>
      <c r="D339">
        <v>0</v>
      </c>
      <c r="E339">
        <v>2</v>
      </c>
      <c r="F339">
        <v>2</v>
      </c>
      <c r="G339" t="b">
        <v>0</v>
      </c>
      <c r="H339">
        <v>6</v>
      </c>
      <c r="I339">
        <v>1</v>
      </c>
      <c r="J339">
        <v>0.14000000000000001</v>
      </c>
      <c r="K339">
        <v>0.21210000000000001</v>
      </c>
      <c r="L339">
        <v>0.8</v>
      </c>
      <c r="M339">
        <v>0</v>
      </c>
      <c r="N339">
        <v>2</v>
      </c>
      <c r="O339">
        <v>13</v>
      </c>
      <c r="P339">
        <v>15</v>
      </c>
      <c r="Q339" t="s">
        <v>72</v>
      </c>
      <c r="R339" t="s">
        <v>49</v>
      </c>
    </row>
    <row r="340" spans="1:18" x14ac:dyDescent="0.3">
      <c r="A340">
        <v>949</v>
      </c>
      <c r="B340" s="37">
        <v>40586</v>
      </c>
      <c r="C340">
        <v>1</v>
      </c>
      <c r="D340">
        <v>0</v>
      </c>
      <c r="E340">
        <v>2</v>
      </c>
      <c r="F340">
        <v>3</v>
      </c>
      <c r="G340" t="b">
        <v>0</v>
      </c>
      <c r="H340">
        <v>6</v>
      </c>
      <c r="I340">
        <v>1</v>
      </c>
      <c r="J340">
        <v>0.12</v>
      </c>
      <c r="K340">
        <v>0.19700000000000001</v>
      </c>
      <c r="L340">
        <v>0.8</v>
      </c>
      <c r="M340">
        <v>0</v>
      </c>
      <c r="N340">
        <v>3</v>
      </c>
      <c r="O340">
        <v>7</v>
      </c>
      <c r="P340">
        <v>10</v>
      </c>
      <c r="Q340" t="s">
        <v>72</v>
      </c>
      <c r="R340" t="s">
        <v>49</v>
      </c>
    </row>
    <row r="341" spans="1:18" x14ac:dyDescent="0.3">
      <c r="A341">
        <v>950</v>
      </c>
      <c r="B341" s="37">
        <v>40586</v>
      </c>
      <c r="C341">
        <v>1</v>
      </c>
      <c r="D341">
        <v>0</v>
      </c>
      <c r="E341">
        <v>2</v>
      </c>
      <c r="F341">
        <v>4</v>
      </c>
      <c r="G341" t="b">
        <v>0</v>
      </c>
      <c r="H341">
        <v>6</v>
      </c>
      <c r="I341">
        <v>1</v>
      </c>
      <c r="J341">
        <v>0.12</v>
      </c>
      <c r="K341">
        <v>0.16669999999999999</v>
      </c>
      <c r="L341">
        <v>0.74</v>
      </c>
      <c r="M341">
        <v>8.9599999999999999E-2</v>
      </c>
      <c r="N341">
        <v>0</v>
      </c>
      <c r="O341">
        <v>4</v>
      </c>
      <c r="P341">
        <v>4</v>
      </c>
      <c r="Q341" t="s">
        <v>72</v>
      </c>
      <c r="R341" t="s">
        <v>49</v>
      </c>
    </row>
    <row r="342" spans="1:18" x14ac:dyDescent="0.3">
      <c r="A342">
        <v>951</v>
      </c>
      <c r="B342" s="37">
        <v>40586</v>
      </c>
      <c r="C342">
        <v>1</v>
      </c>
      <c r="D342">
        <v>0</v>
      </c>
      <c r="E342">
        <v>2</v>
      </c>
      <c r="F342">
        <v>5</v>
      </c>
      <c r="G342" t="b">
        <v>0</v>
      </c>
      <c r="H342">
        <v>6</v>
      </c>
      <c r="I342">
        <v>1</v>
      </c>
      <c r="J342">
        <v>0.12</v>
      </c>
      <c r="K342">
        <v>0.16669999999999999</v>
      </c>
      <c r="L342">
        <v>0.74</v>
      </c>
      <c r="M342">
        <v>8.9599999999999999E-2</v>
      </c>
      <c r="N342">
        <v>0</v>
      </c>
      <c r="O342">
        <v>1</v>
      </c>
      <c r="P342">
        <v>1</v>
      </c>
      <c r="Q342" t="s">
        <v>72</v>
      </c>
      <c r="R342" t="s">
        <v>49</v>
      </c>
    </row>
    <row r="343" spans="1:18" x14ac:dyDescent="0.3">
      <c r="A343">
        <v>952</v>
      </c>
      <c r="B343" s="37">
        <v>40586</v>
      </c>
      <c r="C343">
        <v>1</v>
      </c>
      <c r="D343">
        <v>0</v>
      </c>
      <c r="E343">
        <v>2</v>
      </c>
      <c r="F343">
        <v>6</v>
      </c>
      <c r="G343" t="b">
        <v>0</v>
      </c>
      <c r="H343">
        <v>6</v>
      </c>
      <c r="I343">
        <v>1</v>
      </c>
      <c r="J343">
        <v>0.12</v>
      </c>
      <c r="K343">
        <v>0.13639999999999999</v>
      </c>
      <c r="L343">
        <v>0.93</v>
      </c>
      <c r="M343">
        <v>0.19400000000000001</v>
      </c>
      <c r="N343">
        <v>1</v>
      </c>
      <c r="O343">
        <v>1</v>
      </c>
      <c r="P343">
        <v>2</v>
      </c>
      <c r="Q343" t="s">
        <v>72</v>
      </c>
      <c r="R343" t="s">
        <v>49</v>
      </c>
    </row>
    <row r="344" spans="1:18" x14ac:dyDescent="0.3">
      <c r="A344">
        <v>953</v>
      </c>
      <c r="B344" s="37">
        <v>40586</v>
      </c>
      <c r="C344">
        <v>1</v>
      </c>
      <c r="D344">
        <v>0</v>
      </c>
      <c r="E344">
        <v>2</v>
      </c>
      <c r="F344">
        <v>7</v>
      </c>
      <c r="G344" t="b">
        <v>0</v>
      </c>
      <c r="H344">
        <v>6</v>
      </c>
      <c r="I344">
        <v>1</v>
      </c>
      <c r="J344">
        <v>0.12</v>
      </c>
      <c r="K344">
        <v>0.1515</v>
      </c>
      <c r="L344">
        <v>0.8</v>
      </c>
      <c r="M344">
        <v>0.1045</v>
      </c>
      <c r="N344">
        <v>2</v>
      </c>
      <c r="O344">
        <v>9</v>
      </c>
      <c r="P344">
        <v>11</v>
      </c>
      <c r="Q344" t="s">
        <v>72</v>
      </c>
      <c r="R344" t="s">
        <v>49</v>
      </c>
    </row>
    <row r="345" spans="1:18" x14ac:dyDescent="0.3">
      <c r="A345">
        <v>954</v>
      </c>
      <c r="B345" s="37">
        <v>40586</v>
      </c>
      <c r="C345">
        <v>1</v>
      </c>
      <c r="D345">
        <v>0</v>
      </c>
      <c r="E345">
        <v>2</v>
      </c>
      <c r="F345">
        <v>8</v>
      </c>
      <c r="G345" t="b">
        <v>0</v>
      </c>
      <c r="H345">
        <v>6</v>
      </c>
      <c r="I345">
        <v>1</v>
      </c>
      <c r="J345">
        <v>0.14000000000000001</v>
      </c>
      <c r="K345">
        <v>0.1515</v>
      </c>
      <c r="L345">
        <v>0.86</v>
      </c>
      <c r="M345">
        <v>0.1343</v>
      </c>
      <c r="N345">
        <v>2</v>
      </c>
      <c r="O345">
        <v>28</v>
      </c>
      <c r="P345">
        <v>30</v>
      </c>
      <c r="Q345" t="s">
        <v>72</v>
      </c>
      <c r="R345" t="s">
        <v>49</v>
      </c>
    </row>
    <row r="346" spans="1:18" x14ac:dyDescent="0.3">
      <c r="A346">
        <v>955</v>
      </c>
      <c r="B346" s="37">
        <v>40586</v>
      </c>
      <c r="C346">
        <v>1</v>
      </c>
      <c r="D346">
        <v>0</v>
      </c>
      <c r="E346">
        <v>2</v>
      </c>
      <c r="F346">
        <v>9</v>
      </c>
      <c r="G346" t="b">
        <v>0</v>
      </c>
      <c r="H346">
        <v>6</v>
      </c>
      <c r="I346">
        <v>1</v>
      </c>
      <c r="J346">
        <v>0.16</v>
      </c>
      <c r="K346">
        <v>0.18179999999999999</v>
      </c>
      <c r="L346">
        <v>0.64</v>
      </c>
      <c r="M346">
        <v>0.1343</v>
      </c>
      <c r="N346">
        <v>5</v>
      </c>
      <c r="O346">
        <v>38</v>
      </c>
      <c r="P346">
        <v>43</v>
      </c>
      <c r="Q346" t="s">
        <v>72</v>
      </c>
      <c r="R346" t="s">
        <v>49</v>
      </c>
    </row>
    <row r="347" spans="1:18" x14ac:dyDescent="0.3">
      <c r="A347">
        <v>956</v>
      </c>
      <c r="B347" s="37">
        <v>40586</v>
      </c>
      <c r="C347">
        <v>1</v>
      </c>
      <c r="D347">
        <v>0</v>
      </c>
      <c r="E347">
        <v>2</v>
      </c>
      <c r="F347">
        <v>10</v>
      </c>
      <c r="G347" t="b">
        <v>0</v>
      </c>
      <c r="H347">
        <v>6</v>
      </c>
      <c r="I347">
        <v>1</v>
      </c>
      <c r="J347">
        <v>0.22</v>
      </c>
      <c r="K347">
        <v>0.21210000000000001</v>
      </c>
      <c r="L347">
        <v>0.41</v>
      </c>
      <c r="M347">
        <v>0.25369999999999998</v>
      </c>
      <c r="N347">
        <v>13</v>
      </c>
      <c r="O347">
        <v>71</v>
      </c>
      <c r="P347">
        <v>84</v>
      </c>
      <c r="Q347" t="s">
        <v>72</v>
      </c>
      <c r="R347" t="s">
        <v>49</v>
      </c>
    </row>
    <row r="348" spans="1:18" x14ac:dyDescent="0.3">
      <c r="A348">
        <v>957</v>
      </c>
      <c r="B348" s="37">
        <v>40586</v>
      </c>
      <c r="C348">
        <v>1</v>
      </c>
      <c r="D348">
        <v>0</v>
      </c>
      <c r="E348">
        <v>2</v>
      </c>
      <c r="F348">
        <v>11</v>
      </c>
      <c r="G348" t="b">
        <v>0</v>
      </c>
      <c r="H348">
        <v>6</v>
      </c>
      <c r="I348">
        <v>1</v>
      </c>
      <c r="J348">
        <v>0.3</v>
      </c>
      <c r="K348">
        <v>0.2727</v>
      </c>
      <c r="L348">
        <v>0.28000000000000003</v>
      </c>
      <c r="M348">
        <v>0.32840000000000003</v>
      </c>
      <c r="N348">
        <v>30</v>
      </c>
      <c r="O348">
        <v>84</v>
      </c>
      <c r="P348">
        <v>114</v>
      </c>
      <c r="Q348" t="s">
        <v>72</v>
      </c>
      <c r="R348" t="s">
        <v>49</v>
      </c>
    </row>
    <row r="349" spans="1:18" x14ac:dyDescent="0.3">
      <c r="A349">
        <v>958</v>
      </c>
      <c r="B349" s="37">
        <v>40586</v>
      </c>
      <c r="C349">
        <v>1</v>
      </c>
      <c r="D349">
        <v>0</v>
      </c>
      <c r="E349">
        <v>2</v>
      </c>
      <c r="F349">
        <v>12</v>
      </c>
      <c r="G349" t="b">
        <v>0</v>
      </c>
      <c r="H349">
        <v>6</v>
      </c>
      <c r="I349">
        <v>1</v>
      </c>
      <c r="J349">
        <v>0.3</v>
      </c>
      <c r="K349">
        <v>0.2727</v>
      </c>
      <c r="L349">
        <v>0.39</v>
      </c>
      <c r="M349">
        <v>0.4627</v>
      </c>
      <c r="N349">
        <v>27</v>
      </c>
      <c r="O349">
        <v>93</v>
      </c>
      <c r="P349">
        <v>120</v>
      </c>
      <c r="Q349" t="s">
        <v>72</v>
      </c>
      <c r="R349" t="s">
        <v>49</v>
      </c>
    </row>
    <row r="350" spans="1:18" x14ac:dyDescent="0.3">
      <c r="A350">
        <v>959</v>
      </c>
      <c r="B350" s="37">
        <v>40586</v>
      </c>
      <c r="C350">
        <v>1</v>
      </c>
      <c r="D350">
        <v>0</v>
      </c>
      <c r="E350">
        <v>2</v>
      </c>
      <c r="F350">
        <v>13</v>
      </c>
      <c r="G350" t="b">
        <v>0</v>
      </c>
      <c r="H350">
        <v>6</v>
      </c>
      <c r="I350">
        <v>1</v>
      </c>
      <c r="J350">
        <v>0.3</v>
      </c>
      <c r="K350">
        <v>0.2727</v>
      </c>
      <c r="L350">
        <v>0.39</v>
      </c>
      <c r="M350">
        <v>0.41789999999999999</v>
      </c>
      <c r="N350">
        <v>32</v>
      </c>
      <c r="O350">
        <v>103</v>
      </c>
      <c r="P350">
        <v>135</v>
      </c>
      <c r="Q350" t="s">
        <v>68</v>
      </c>
      <c r="R350" t="s">
        <v>49</v>
      </c>
    </row>
    <row r="351" spans="1:18" x14ac:dyDescent="0.3">
      <c r="A351">
        <v>960</v>
      </c>
      <c r="B351" s="37">
        <v>40586</v>
      </c>
      <c r="C351">
        <v>1</v>
      </c>
      <c r="D351">
        <v>0</v>
      </c>
      <c r="E351">
        <v>2</v>
      </c>
      <c r="F351">
        <v>14</v>
      </c>
      <c r="G351" t="b">
        <v>0</v>
      </c>
      <c r="H351">
        <v>6</v>
      </c>
      <c r="I351">
        <v>1</v>
      </c>
      <c r="J351">
        <v>0.34</v>
      </c>
      <c r="K351">
        <v>0.31819999999999998</v>
      </c>
      <c r="L351">
        <v>0.31</v>
      </c>
      <c r="M351">
        <v>0.28360000000000002</v>
      </c>
      <c r="N351">
        <v>30</v>
      </c>
      <c r="O351">
        <v>90</v>
      </c>
      <c r="P351">
        <v>120</v>
      </c>
      <c r="Q351" t="s">
        <v>68</v>
      </c>
      <c r="R351" t="s">
        <v>49</v>
      </c>
    </row>
    <row r="352" spans="1:18" x14ac:dyDescent="0.3">
      <c r="A352">
        <v>961</v>
      </c>
      <c r="B352" s="37">
        <v>40586</v>
      </c>
      <c r="C352">
        <v>1</v>
      </c>
      <c r="D352">
        <v>0</v>
      </c>
      <c r="E352">
        <v>2</v>
      </c>
      <c r="F352">
        <v>15</v>
      </c>
      <c r="G352" t="b">
        <v>0</v>
      </c>
      <c r="H352">
        <v>6</v>
      </c>
      <c r="I352">
        <v>1</v>
      </c>
      <c r="J352">
        <v>0.34</v>
      </c>
      <c r="K352">
        <v>0.30299999999999999</v>
      </c>
      <c r="L352">
        <v>0.28999999999999998</v>
      </c>
      <c r="M352">
        <v>0.41789999999999999</v>
      </c>
      <c r="N352">
        <v>47</v>
      </c>
      <c r="O352">
        <v>127</v>
      </c>
      <c r="P352">
        <v>174</v>
      </c>
      <c r="Q352" t="s">
        <v>68</v>
      </c>
      <c r="R352" t="s">
        <v>49</v>
      </c>
    </row>
    <row r="353" spans="1:18" x14ac:dyDescent="0.3">
      <c r="A353">
        <v>962</v>
      </c>
      <c r="B353" s="37">
        <v>40586</v>
      </c>
      <c r="C353">
        <v>1</v>
      </c>
      <c r="D353">
        <v>0</v>
      </c>
      <c r="E353">
        <v>2</v>
      </c>
      <c r="F353">
        <v>16</v>
      </c>
      <c r="G353" t="b">
        <v>0</v>
      </c>
      <c r="H353">
        <v>6</v>
      </c>
      <c r="I353">
        <v>1</v>
      </c>
      <c r="J353">
        <v>0.34</v>
      </c>
      <c r="K353">
        <v>0.30299999999999999</v>
      </c>
      <c r="L353">
        <v>0.28999999999999998</v>
      </c>
      <c r="M353">
        <v>0.41789999999999999</v>
      </c>
      <c r="N353">
        <v>42</v>
      </c>
      <c r="O353">
        <v>103</v>
      </c>
      <c r="P353">
        <v>145</v>
      </c>
      <c r="Q353" t="s">
        <v>68</v>
      </c>
      <c r="R353" t="s">
        <v>49</v>
      </c>
    </row>
    <row r="354" spans="1:18" x14ac:dyDescent="0.3">
      <c r="A354">
        <v>963</v>
      </c>
      <c r="B354" s="37">
        <v>40586</v>
      </c>
      <c r="C354">
        <v>1</v>
      </c>
      <c r="D354">
        <v>0</v>
      </c>
      <c r="E354">
        <v>2</v>
      </c>
      <c r="F354">
        <v>17</v>
      </c>
      <c r="G354" t="b">
        <v>0</v>
      </c>
      <c r="H354">
        <v>6</v>
      </c>
      <c r="I354">
        <v>1</v>
      </c>
      <c r="J354">
        <v>0.32</v>
      </c>
      <c r="K354">
        <v>0.28789999999999999</v>
      </c>
      <c r="L354">
        <v>0.31</v>
      </c>
      <c r="M354">
        <v>0.52239999999999998</v>
      </c>
      <c r="N354">
        <v>24</v>
      </c>
      <c r="O354">
        <v>113</v>
      </c>
      <c r="P354">
        <v>137</v>
      </c>
      <c r="Q354" t="s">
        <v>68</v>
      </c>
      <c r="R354" t="s">
        <v>49</v>
      </c>
    </row>
    <row r="355" spans="1:18" x14ac:dyDescent="0.3">
      <c r="A355">
        <v>964</v>
      </c>
      <c r="B355" s="37">
        <v>40586</v>
      </c>
      <c r="C355">
        <v>1</v>
      </c>
      <c r="D355">
        <v>0</v>
      </c>
      <c r="E355">
        <v>2</v>
      </c>
      <c r="F355">
        <v>18</v>
      </c>
      <c r="G355" t="b">
        <v>0</v>
      </c>
      <c r="H355">
        <v>6</v>
      </c>
      <c r="I355">
        <v>1</v>
      </c>
      <c r="J355">
        <v>0.28000000000000003</v>
      </c>
      <c r="K355">
        <v>0.2576</v>
      </c>
      <c r="L355">
        <v>0.38</v>
      </c>
      <c r="M355">
        <v>0.32840000000000003</v>
      </c>
      <c r="N355">
        <v>4</v>
      </c>
      <c r="O355">
        <v>60</v>
      </c>
      <c r="P355">
        <v>64</v>
      </c>
      <c r="Q355" t="s">
        <v>68</v>
      </c>
      <c r="R355" t="s">
        <v>49</v>
      </c>
    </row>
    <row r="356" spans="1:18" x14ac:dyDescent="0.3">
      <c r="A356">
        <v>965</v>
      </c>
      <c r="B356" s="37">
        <v>40586</v>
      </c>
      <c r="C356">
        <v>1</v>
      </c>
      <c r="D356">
        <v>0</v>
      </c>
      <c r="E356">
        <v>2</v>
      </c>
      <c r="F356">
        <v>19</v>
      </c>
      <c r="G356" t="b">
        <v>0</v>
      </c>
      <c r="H356">
        <v>6</v>
      </c>
      <c r="I356">
        <v>1</v>
      </c>
      <c r="J356">
        <v>0.28000000000000003</v>
      </c>
      <c r="K356">
        <v>0.2727</v>
      </c>
      <c r="L356">
        <v>0.38</v>
      </c>
      <c r="M356">
        <v>0.16420000000000001</v>
      </c>
      <c r="N356">
        <v>2</v>
      </c>
      <c r="O356">
        <v>39</v>
      </c>
      <c r="P356">
        <v>41</v>
      </c>
      <c r="Q356" t="s">
        <v>71</v>
      </c>
      <c r="R356" t="s">
        <v>49</v>
      </c>
    </row>
    <row r="357" spans="1:18" x14ac:dyDescent="0.3">
      <c r="A357">
        <v>966</v>
      </c>
      <c r="B357" s="37">
        <v>40586</v>
      </c>
      <c r="C357">
        <v>1</v>
      </c>
      <c r="D357">
        <v>0</v>
      </c>
      <c r="E357">
        <v>2</v>
      </c>
      <c r="F357">
        <v>20</v>
      </c>
      <c r="G357" t="b">
        <v>0</v>
      </c>
      <c r="H357">
        <v>6</v>
      </c>
      <c r="I357">
        <v>1</v>
      </c>
      <c r="J357">
        <v>0.26</v>
      </c>
      <c r="K357">
        <v>0.2576</v>
      </c>
      <c r="L357">
        <v>0.41</v>
      </c>
      <c r="M357">
        <v>0.22389999999999999</v>
      </c>
      <c r="N357">
        <v>1</v>
      </c>
      <c r="O357">
        <v>39</v>
      </c>
      <c r="P357">
        <v>40</v>
      </c>
      <c r="Q357" t="s">
        <v>71</v>
      </c>
      <c r="R357" t="s">
        <v>49</v>
      </c>
    </row>
    <row r="358" spans="1:18" x14ac:dyDescent="0.3">
      <c r="A358">
        <v>967</v>
      </c>
      <c r="B358" s="37">
        <v>40586</v>
      </c>
      <c r="C358">
        <v>1</v>
      </c>
      <c r="D358">
        <v>0</v>
      </c>
      <c r="E358">
        <v>2</v>
      </c>
      <c r="F358">
        <v>21</v>
      </c>
      <c r="G358" t="b">
        <v>0</v>
      </c>
      <c r="H358">
        <v>6</v>
      </c>
      <c r="I358">
        <v>1</v>
      </c>
      <c r="J358">
        <v>0.26</v>
      </c>
      <c r="K358">
        <v>0.30299999999999999</v>
      </c>
      <c r="L358">
        <v>0.41</v>
      </c>
      <c r="M358">
        <v>0</v>
      </c>
      <c r="N358">
        <v>9</v>
      </c>
      <c r="O358">
        <v>42</v>
      </c>
      <c r="P358">
        <v>51</v>
      </c>
      <c r="Q358" t="s">
        <v>71</v>
      </c>
      <c r="R358" t="s">
        <v>49</v>
      </c>
    </row>
    <row r="359" spans="1:18" x14ac:dyDescent="0.3">
      <c r="A359">
        <v>968</v>
      </c>
      <c r="B359" s="37">
        <v>40586</v>
      </c>
      <c r="C359">
        <v>1</v>
      </c>
      <c r="D359">
        <v>0</v>
      </c>
      <c r="E359">
        <v>2</v>
      </c>
      <c r="F359">
        <v>22</v>
      </c>
      <c r="G359" t="b">
        <v>0</v>
      </c>
      <c r="H359">
        <v>6</v>
      </c>
      <c r="I359">
        <v>1</v>
      </c>
      <c r="J359">
        <v>0.24</v>
      </c>
      <c r="K359">
        <v>0.2576</v>
      </c>
      <c r="L359">
        <v>0.44</v>
      </c>
      <c r="M359">
        <v>8.9599999999999999E-2</v>
      </c>
      <c r="N359">
        <v>6</v>
      </c>
      <c r="O359">
        <v>39</v>
      </c>
      <c r="P359">
        <v>45</v>
      </c>
      <c r="Q359" t="s">
        <v>71</v>
      </c>
      <c r="R359" t="s">
        <v>49</v>
      </c>
    </row>
    <row r="360" spans="1:18" x14ac:dyDescent="0.3">
      <c r="A360">
        <v>969</v>
      </c>
      <c r="B360" s="37">
        <v>40586</v>
      </c>
      <c r="C360">
        <v>1</v>
      </c>
      <c r="D360">
        <v>0</v>
      </c>
      <c r="E360">
        <v>2</v>
      </c>
      <c r="F360">
        <v>23</v>
      </c>
      <c r="G360" t="b">
        <v>0</v>
      </c>
      <c r="H360">
        <v>6</v>
      </c>
      <c r="I360">
        <v>1</v>
      </c>
      <c r="J360">
        <v>0.22</v>
      </c>
      <c r="K360">
        <v>0.2273</v>
      </c>
      <c r="L360">
        <v>0.51</v>
      </c>
      <c r="M360">
        <v>0.1343</v>
      </c>
      <c r="N360">
        <v>1</v>
      </c>
      <c r="O360">
        <v>31</v>
      </c>
      <c r="P360">
        <v>32</v>
      </c>
      <c r="Q360" t="s">
        <v>71</v>
      </c>
      <c r="R360" t="s">
        <v>49</v>
      </c>
    </row>
    <row r="361" spans="1:18" x14ac:dyDescent="0.3">
      <c r="A361">
        <v>970</v>
      </c>
      <c r="B361" s="37">
        <v>40587</v>
      </c>
      <c r="C361">
        <v>1</v>
      </c>
      <c r="D361">
        <v>0</v>
      </c>
      <c r="E361">
        <v>2</v>
      </c>
      <c r="F361">
        <v>0</v>
      </c>
      <c r="G361" t="b">
        <v>0</v>
      </c>
      <c r="H361">
        <v>0</v>
      </c>
      <c r="I361">
        <v>1</v>
      </c>
      <c r="J361">
        <v>0.2</v>
      </c>
      <c r="K361">
        <v>0.2273</v>
      </c>
      <c r="L361">
        <v>0.64</v>
      </c>
      <c r="M361">
        <v>0.1045</v>
      </c>
      <c r="N361">
        <v>5</v>
      </c>
      <c r="O361">
        <v>34</v>
      </c>
      <c r="P361">
        <v>39</v>
      </c>
      <c r="Q361" t="s">
        <v>72</v>
      </c>
      <c r="R361" t="s">
        <v>50</v>
      </c>
    </row>
    <row r="362" spans="1:18" x14ac:dyDescent="0.3">
      <c r="A362">
        <v>971</v>
      </c>
      <c r="B362" s="37">
        <v>40587</v>
      </c>
      <c r="C362">
        <v>1</v>
      </c>
      <c r="D362">
        <v>0</v>
      </c>
      <c r="E362">
        <v>2</v>
      </c>
      <c r="F362">
        <v>1</v>
      </c>
      <c r="G362" t="b">
        <v>0</v>
      </c>
      <c r="H362">
        <v>0</v>
      </c>
      <c r="I362">
        <v>1</v>
      </c>
      <c r="J362">
        <v>0.2</v>
      </c>
      <c r="K362">
        <v>0.2273</v>
      </c>
      <c r="L362">
        <v>0.59</v>
      </c>
      <c r="M362">
        <v>8.9599999999999999E-2</v>
      </c>
      <c r="N362">
        <v>1</v>
      </c>
      <c r="O362">
        <v>23</v>
      </c>
      <c r="P362">
        <v>24</v>
      </c>
      <c r="Q362" t="s">
        <v>72</v>
      </c>
      <c r="R362" t="s">
        <v>50</v>
      </c>
    </row>
    <row r="363" spans="1:18" x14ac:dyDescent="0.3">
      <c r="A363">
        <v>972</v>
      </c>
      <c r="B363" s="37">
        <v>40587</v>
      </c>
      <c r="C363">
        <v>1</v>
      </c>
      <c r="D363">
        <v>0</v>
      </c>
      <c r="E363">
        <v>2</v>
      </c>
      <c r="F363">
        <v>2</v>
      </c>
      <c r="G363" t="b">
        <v>0</v>
      </c>
      <c r="H363">
        <v>0</v>
      </c>
      <c r="I363">
        <v>2</v>
      </c>
      <c r="J363">
        <v>0.2</v>
      </c>
      <c r="K363">
        <v>0.2273</v>
      </c>
      <c r="L363">
        <v>0.75</v>
      </c>
      <c r="M363">
        <v>8.9599999999999999E-2</v>
      </c>
      <c r="N363">
        <v>1</v>
      </c>
      <c r="O363">
        <v>19</v>
      </c>
      <c r="P363">
        <v>20</v>
      </c>
      <c r="Q363" t="s">
        <v>72</v>
      </c>
      <c r="R363" t="s">
        <v>50</v>
      </c>
    </row>
    <row r="364" spans="1:18" x14ac:dyDescent="0.3">
      <c r="A364">
        <v>973</v>
      </c>
      <c r="B364" s="37">
        <v>40587</v>
      </c>
      <c r="C364">
        <v>1</v>
      </c>
      <c r="D364">
        <v>0</v>
      </c>
      <c r="E364">
        <v>2</v>
      </c>
      <c r="F364">
        <v>3</v>
      </c>
      <c r="G364" t="b">
        <v>0</v>
      </c>
      <c r="H364">
        <v>0</v>
      </c>
      <c r="I364">
        <v>2</v>
      </c>
      <c r="J364">
        <v>0.2</v>
      </c>
      <c r="K364">
        <v>0.2273</v>
      </c>
      <c r="L364">
        <v>0.69</v>
      </c>
      <c r="M364">
        <v>0.1045</v>
      </c>
      <c r="N364">
        <v>4</v>
      </c>
      <c r="O364">
        <v>8</v>
      </c>
      <c r="P364">
        <v>12</v>
      </c>
      <c r="Q364" t="s">
        <v>72</v>
      </c>
      <c r="R364" t="s">
        <v>50</v>
      </c>
    </row>
    <row r="365" spans="1:18" x14ac:dyDescent="0.3">
      <c r="A365">
        <v>974</v>
      </c>
      <c r="B365" s="37">
        <v>40587</v>
      </c>
      <c r="C365">
        <v>1</v>
      </c>
      <c r="D365">
        <v>0</v>
      </c>
      <c r="E365">
        <v>2</v>
      </c>
      <c r="F365">
        <v>4</v>
      </c>
      <c r="G365" t="b">
        <v>0</v>
      </c>
      <c r="H365">
        <v>0</v>
      </c>
      <c r="I365">
        <v>2</v>
      </c>
      <c r="J365">
        <v>0.2</v>
      </c>
      <c r="K365">
        <v>0.21210000000000001</v>
      </c>
      <c r="L365">
        <v>0.69</v>
      </c>
      <c r="M365">
        <v>0.16420000000000001</v>
      </c>
      <c r="N365">
        <v>0</v>
      </c>
      <c r="O365">
        <v>2</v>
      </c>
      <c r="P365">
        <v>2</v>
      </c>
      <c r="Q365" t="s">
        <v>72</v>
      </c>
      <c r="R365" t="s">
        <v>50</v>
      </c>
    </row>
    <row r="366" spans="1:18" x14ac:dyDescent="0.3">
      <c r="A366">
        <v>975</v>
      </c>
      <c r="B366" s="37">
        <v>40587</v>
      </c>
      <c r="C366">
        <v>1</v>
      </c>
      <c r="D366">
        <v>0</v>
      </c>
      <c r="E366">
        <v>2</v>
      </c>
      <c r="F366">
        <v>6</v>
      </c>
      <c r="G366" t="b">
        <v>0</v>
      </c>
      <c r="H366">
        <v>0</v>
      </c>
      <c r="I366">
        <v>2</v>
      </c>
      <c r="J366">
        <v>0.2</v>
      </c>
      <c r="K366">
        <v>0.21210000000000001</v>
      </c>
      <c r="L366">
        <v>0.69</v>
      </c>
      <c r="M366">
        <v>0.1343</v>
      </c>
      <c r="N366">
        <v>2</v>
      </c>
      <c r="O366">
        <v>3</v>
      </c>
      <c r="P366">
        <v>5</v>
      </c>
      <c r="Q366" t="s">
        <v>72</v>
      </c>
      <c r="R366" t="s">
        <v>50</v>
      </c>
    </row>
    <row r="367" spans="1:18" x14ac:dyDescent="0.3">
      <c r="A367">
        <v>976</v>
      </c>
      <c r="B367" s="37">
        <v>40587</v>
      </c>
      <c r="C367">
        <v>1</v>
      </c>
      <c r="D367">
        <v>0</v>
      </c>
      <c r="E367">
        <v>2</v>
      </c>
      <c r="F367">
        <v>7</v>
      </c>
      <c r="G367" t="b">
        <v>0</v>
      </c>
      <c r="H367">
        <v>0</v>
      </c>
      <c r="I367">
        <v>2</v>
      </c>
      <c r="J367">
        <v>0.22</v>
      </c>
      <c r="K367">
        <v>0.2727</v>
      </c>
      <c r="L367">
        <v>0.55000000000000004</v>
      </c>
      <c r="M367">
        <v>0</v>
      </c>
      <c r="N367">
        <v>0</v>
      </c>
      <c r="O367">
        <v>3</v>
      </c>
      <c r="P367">
        <v>3</v>
      </c>
      <c r="Q367" t="s">
        <v>72</v>
      </c>
      <c r="R367" t="s">
        <v>50</v>
      </c>
    </row>
    <row r="368" spans="1:18" x14ac:dyDescent="0.3">
      <c r="A368">
        <v>977</v>
      </c>
      <c r="B368" s="37">
        <v>40587</v>
      </c>
      <c r="C368">
        <v>1</v>
      </c>
      <c r="D368">
        <v>0</v>
      </c>
      <c r="E368">
        <v>2</v>
      </c>
      <c r="F368">
        <v>8</v>
      </c>
      <c r="G368" t="b">
        <v>0</v>
      </c>
      <c r="H368">
        <v>0</v>
      </c>
      <c r="I368">
        <v>2</v>
      </c>
      <c r="J368">
        <v>0.22</v>
      </c>
      <c r="K368">
        <v>0.2273</v>
      </c>
      <c r="L368">
        <v>0.64</v>
      </c>
      <c r="M368">
        <v>0.19400000000000001</v>
      </c>
      <c r="N368">
        <v>1</v>
      </c>
      <c r="O368">
        <v>11</v>
      </c>
      <c r="P368">
        <v>12</v>
      </c>
      <c r="Q368" t="s">
        <v>72</v>
      </c>
      <c r="R368" t="s">
        <v>50</v>
      </c>
    </row>
    <row r="369" spans="1:18" x14ac:dyDescent="0.3">
      <c r="A369">
        <v>978</v>
      </c>
      <c r="B369" s="37">
        <v>40587</v>
      </c>
      <c r="C369">
        <v>1</v>
      </c>
      <c r="D369">
        <v>0</v>
      </c>
      <c r="E369">
        <v>2</v>
      </c>
      <c r="F369">
        <v>9</v>
      </c>
      <c r="G369" t="b">
        <v>0</v>
      </c>
      <c r="H369">
        <v>0</v>
      </c>
      <c r="I369">
        <v>2</v>
      </c>
      <c r="J369">
        <v>0.24</v>
      </c>
      <c r="K369">
        <v>0.2273</v>
      </c>
      <c r="L369">
        <v>0.6</v>
      </c>
      <c r="M369">
        <v>0.22389999999999999</v>
      </c>
      <c r="N369">
        <v>12</v>
      </c>
      <c r="O369">
        <v>35</v>
      </c>
      <c r="P369">
        <v>47</v>
      </c>
      <c r="Q369" t="s">
        <v>72</v>
      </c>
      <c r="R369" t="s">
        <v>50</v>
      </c>
    </row>
    <row r="370" spans="1:18" x14ac:dyDescent="0.3">
      <c r="A370">
        <v>979</v>
      </c>
      <c r="B370" s="37">
        <v>40587</v>
      </c>
      <c r="C370">
        <v>1</v>
      </c>
      <c r="D370">
        <v>0</v>
      </c>
      <c r="E370">
        <v>2</v>
      </c>
      <c r="F370">
        <v>10</v>
      </c>
      <c r="G370" t="b">
        <v>0</v>
      </c>
      <c r="H370">
        <v>0</v>
      </c>
      <c r="I370">
        <v>1</v>
      </c>
      <c r="J370">
        <v>0.3</v>
      </c>
      <c r="K370">
        <v>0.2727</v>
      </c>
      <c r="L370">
        <v>0.45</v>
      </c>
      <c r="M370">
        <v>0.32840000000000003</v>
      </c>
      <c r="N370">
        <v>19</v>
      </c>
      <c r="O370">
        <v>86</v>
      </c>
      <c r="P370">
        <v>105</v>
      </c>
      <c r="Q370" t="s">
        <v>72</v>
      </c>
      <c r="R370" t="s">
        <v>50</v>
      </c>
    </row>
    <row r="371" spans="1:18" x14ac:dyDescent="0.3">
      <c r="A371">
        <v>980</v>
      </c>
      <c r="B371" s="37">
        <v>40587</v>
      </c>
      <c r="C371">
        <v>1</v>
      </c>
      <c r="D371">
        <v>0</v>
      </c>
      <c r="E371">
        <v>2</v>
      </c>
      <c r="F371">
        <v>11</v>
      </c>
      <c r="G371" t="b">
        <v>0</v>
      </c>
      <c r="H371">
        <v>0</v>
      </c>
      <c r="I371">
        <v>1</v>
      </c>
      <c r="J371">
        <v>0.32</v>
      </c>
      <c r="K371">
        <v>0.28789999999999999</v>
      </c>
      <c r="L371">
        <v>0.39</v>
      </c>
      <c r="M371">
        <v>0.44779999999999998</v>
      </c>
      <c r="N371">
        <v>26</v>
      </c>
      <c r="O371">
        <v>86</v>
      </c>
      <c r="P371">
        <v>112</v>
      </c>
      <c r="Q371" t="s">
        <v>72</v>
      </c>
      <c r="R371" t="s">
        <v>50</v>
      </c>
    </row>
    <row r="372" spans="1:18" x14ac:dyDescent="0.3">
      <c r="A372">
        <v>981</v>
      </c>
      <c r="B372" s="37">
        <v>40587</v>
      </c>
      <c r="C372">
        <v>1</v>
      </c>
      <c r="D372">
        <v>0</v>
      </c>
      <c r="E372">
        <v>2</v>
      </c>
      <c r="F372">
        <v>12</v>
      </c>
      <c r="G372" t="b">
        <v>0</v>
      </c>
      <c r="H372">
        <v>0</v>
      </c>
      <c r="I372">
        <v>1</v>
      </c>
      <c r="J372">
        <v>0.36</v>
      </c>
      <c r="K372">
        <v>0.31819999999999998</v>
      </c>
      <c r="L372">
        <v>0.32</v>
      </c>
      <c r="M372">
        <v>0.4627</v>
      </c>
      <c r="N372">
        <v>58</v>
      </c>
      <c r="O372">
        <v>94</v>
      </c>
      <c r="P372">
        <v>152</v>
      </c>
      <c r="Q372" t="s">
        <v>72</v>
      </c>
      <c r="R372" t="s">
        <v>50</v>
      </c>
    </row>
    <row r="373" spans="1:18" x14ac:dyDescent="0.3">
      <c r="A373">
        <v>982</v>
      </c>
      <c r="B373" s="37">
        <v>40587</v>
      </c>
      <c r="C373">
        <v>1</v>
      </c>
      <c r="D373">
        <v>0</v>
      </c>
      <c r="E373">
        <v>2</v>
      </c>
      <c r="F373">
        <v>13</v>
      </c>
      <c r="G373" t="b">
        <v>0</v>
      </c>
      <c r="H373">
        <v>0</v>
      </c>
      <c r="I373">
        <v>1</v>
      </c>
      <c r="J373">
        <v>0.38</v>
      </c>
      <c r="K373">
        <v>0.39389999999999997</v>
      </c>
      <c r="L373">
        <v>0.28999999999999998</v>
      </c>
      <c r="M373">
        <v>0.35820000000000002</v>
      </c>
      <c r="N373">
        <v>62</v>
      </c>
      <c r="O373">
        <v>92</v>
      </c>
      <c r="P373">
        <v>154</v>
      </c>
      <c r="Q373" t="s">
        <v>68</v>
      </c>
      <c r="R373" t="s">
        <v>50</v>
      </c>
    </row>
    <row r="374" spans="1:18" x14ac:dyDescent="0.3">
      <c r="A374">
        <v>983</v>
      </c>
      <c r="B374" s="37">
        <v>40587</v>
      </c>
      <c r="C374">
        <v>1</v>
      </c>
      <c r="D374">
        <v>0</v>
      </c>
      <c r="E374">
        <v>2</v>
      </c>
      <c r="F374">
        <v>14</v>
      </c>
      <c r="G374" t="b">
        <v>0</v>
      </c>
      <c r="H374">
        <v>0</v>
      </c>
      <c r="I374">
        <v>2</v>
      </c>
      <c r="J374">
        <v>0.4</v>
      </c>
      <c r="K374">
        <v>0.40910000000000002</v>
      </c>
      <c r="L374">
        <v>0.3</v>
      </c>
      <c r="M374">
        <v>0.41789999999999999</v>
      </c>
      <c r="N374">
        <v>51</v>
      </c>
      <c r="O374">
        <v>110</v>
      </c>
      <c r="P374">
        <v>161</v>
      </c>
      <c r="Q374" t="s">
        <v>68</v>
      </c>
      <c r="R374" t="s">
        <v>50</v>
      </c>
    </row>
    <row r="375" spans="1:18" x14ac:dyDescent="0.3">
      <c r="A375">
        <v>984</v>
      </c>
      <c r="B375" s="37">
        <v>40587</v>
      </c>
      <c r="C375">
        <v>1</v>
      </c>
      <c r="D375">
        <v>0</v>
      </c>
      <c r="E375">
        <v>2</v>
      </c>
      <c r="F375">
        <v>15</v>
      </c>
      <c r="G375" t="b">
        <v>0</v>
      </c>
      <c r="H375">
        <v>0</v>
      </c>
      <c r="I375">
        <v>2</v>
      </c>
      <c r="J375">
        <v>0.4</v>
      </c>
      <c r="K375">
        <v>0.40910000000000002</v>
      </c>
      <c r="L375">
        <v>0.3</v>
      </c>
      <c r="M375">
        <v>0.29849999999999999</v>
      </c>
      <c r="N375">
        <v>40</v>
      </c>
      <c r="O375">
        <v>122</v>
      </c>
      <c r="P375">
        <v>162</v>
      </c>
      <c r="Q375" t="s">
        <v>68</v>
      </c>
      <c r="R375" t="s">
        <v>50</v>
      </c>
    </row>
    <row r="376" spans="1:18" x14ac:dyDescent="0.3">
      <c r="A376">
        <v>985</v>
      </c>
      <c r="B376" s="37">
        <v>40587</v>
      </c>
      <c r="C376">
        <v>1</v>
      </c>
      <c r="D376">
        <v>0</v>
      </c>
      <c r="E376">
        <v>2</v>
      </c>
      <c r="F376">
        <v>16</v>
      </c>
      <c r="G376" t="b">
        <v>0</v>
      </c>
      <c r="H376">
        <v>0</v>
      </c>
      <c r="I376">
        <v>2</v>
      </c>
      <c r="J376">
        <v>0.42</v>
      </c>
      <c r="K376">
        <v>0.42420000000000002</v>
      </c>
      <c r="L376">
        <v>0.28000000000000003</v>
      </c>
      <c r="M376">
        <v>0.32840000000000003</v>
      </c>
      <c r="N376">
        <v>28</v>
      </c>
      <c r="O376">
        <v>106</v>
      </c>
      <c r="P376">
        <v>134</v>
      </c>
      <c r="Q376" t="s">
        <v>68</v>
      </c>
      <c r="R376" t="s">
        <v>50</v>
      </c>
    </row>
    <row r="377" spans="1:18" x14ac:dyDescent="0.3">
      <c r="A377">
        <v>986</v>
      </c>
      <c r="B377" s="37">
        <v>40587</v>
      </c>
      <c r="C377">
        <v>1</v>
      </c>
      <c r="D377">
        <v>0</v>
      </c>
      <c r="E377">
        <v>2</v>
      </c>
      <c r="F377">
        <v>17</v>
      </c>
      <c r="G377" t="b">
        <v>0</v>
      </c>
      <c r="H377">
        <v>0</v>
      </c>
      <c r="I377">
        <v>1</v>
      </c>
      <c r="J377">
        <v>0.42</v>
      </c>
      <c r="K377">
        <v>0.42420000000000002</v>
      </c>
      <c r="L377">
        <v>0.28000000000000003</v>
      </c>
      <c r="M377">
        <v>0.32840000000000003</v>
      </c>
      <c r="N377">
        <v>30</v>
      </c>
      <c r="O377">
        <v>95</v>
      </c>
      <c r="P377">
        <v>125</v>
      </c>
      <c r="Q377" t="s">
        <v>68</v>
      </c>
      <c r="R377" t="s">
        <v>50</v>
      </c>
    </row>
    <row r="378" spans="1:18" x14ac:dyDescent="0.3">
      <c r="A378">
        <v>987</v>
      </c>
      <c r="B378" s="37">
        <v>40587</v>
      </c>
      <c r="C378">
        <v>1</v>
      </c>
      <c r="D378">
        <v>0</v>
      </c>
      <c r="E378">
        <v>2</v>
      </c>
      <c r="F378">
        <v>18</v>
      </c>
      <c r="G378" t="b">
        <v>0</v>
      </c>
      <c r="H378">
        <v>0</v>
      </c>
      <c r="I378">
        <v>1</v>
      </c>
      <c r="J378">
        <v>0.4</v>
      </c>
      <c r="K378">
        <v>0.40910000000000002</v>
      </c>
      <c r="L378">
        <v>0.32</v>
      </c>
      <c r="M378">
        <v>0.29849999999999999</v>
      </c>
      <c r="N378">
        <v>17</v>
      </c>
      <c r="O378">
        <v>78</v>
      </c>
      <c r="P378">
        <v>95</v>
      </c>
      <c r="Q378" t="s">
        <v>68</v>
      </c>
      <c r="R378" t="s">
        <v>50</v>
      </c>
    </row>
    <row r="379" spans="1:18" x14ac:dyDescent="0.3">
      <c r="A379">
        <v>988</v>
      </c>
      <c r="B379" s="37">
        <v>40587</v>
      </c>
      <c r="C379">
        <v>1</v>
      </c>
      <c r="D379">
        <v>0</v>
      </c>
      <c r="E379">
        <v>2</v>
      </c>
      <c r="F379">
        <v>19</v>
      </c>
      <c r="G379" t="b">
        <v>0</v>
      </c>
      <c r="H379">
        <v>0</v>
      </c>
      <c r="I379">
        <v>1</v>
      </c>
      <c r="J379">
        <v>0.4</v>
      </c>
      <c r="K379">
        <v>0.40910000000000002</v>
      </c>
      <c r="L379">
        <v>0.35</v>
      </c>
      <c r="M379">
        <v>0.28360000000000002</v>
      </c>
      <c r="N379">
        <v>11</v>
      </c>
      <c r="O379">
        <v>50</v>
      </c>
      <c r="P379">
        <v>61</v>
      </c>
      <c r="Q379" t="s">
        <v>71</v>
      </c>
      <c r="R379" t="s">
        <v>50</v>
      </c>
    </row>
    <row r="380" spans="1:18" x14ac:dyDescent="0.3">
      <c r="A380">
        <v>989</v>
      </c>
      <c r="B380" s="37">
        <v>40587</v>
      </c>
      <c r="C380">
        <v>1</v>
      </c>
      <c r="D380">
        <v>0</v>
      </c>
      <c r="E380">
        <v>2</v>
      </c>
      <c r="F380">
        <v>20</v>
      </c>
      <c r="G380" t="b">
        <v>0</v>
      </c>
      <c r="H380">
        <v>0</v>
      </c>
      <c r="I380">
        <v>1</v>
      </c>
      <c r="J380">
        <v>0.4</v>
      </c>
      <c r="K380">
        <v>0.40910000000000002</v>
      </c>
      <c r="L380">
        <v>0.35</v>
      </c>
      <c r="M380">
        <v>0.32840000000000003</v>
      </c>
      <c r="N380">
        <v>15</v>
      </c>
      <c r="O380">
        <v>32</v>
      </c>
      <c r="P380">
        <v>47</v>
      </c>
      <c r="Q380" t="s">
        <v>71</v>
      </c>
      <c r="R380" t="s">
        <v>50</v>
      </c>
    </row>
    <row r="381" spans="1:18" x14ac:dyDescent="0.3">
      <c r="A381">
        <v>990</v>
      </c>
      <c r="B381" s="37">
        <v>40587</v>
      </c>
      <c r="C381">
        <v>1</v>
      </c>
      <c r="D381">
        <v>0</v>
      </c>
      <c r="E381">
        <v>2</v>
      </c>
      <c r="F381">
        <v>21</v>
      </c>
      <c r="G381" t="b">
        <v>0</v>
      </c>
      <c r="H381">
        <v>0</v>
      </c>
      <c r="I381">
        <v>1</v>
      </c>
      <c r="J381">
        <v>0.4</v>
      </c>
      <c r="K381">
        <v>0.40910000000000002</v>
      </c>
      <c r="L381">
        <v>0.35</v>
      </c>
      <c r="M381">
        <v>0.35820000000000002</v>
      </c>
      <c r="N381">
        <v>6</v>
      </c>
      <c r="O381">
        <v>45</v>
      </c>
      <c r="P381">
        <v>51</v>
      </c>
      <c r="Q381" t="s">
        <v>71</v>
      </c>
      <c r="R381" t="s">
        <v>50</v>
      </c>
    </row>
    <row r="382" spans="1:18" x14ac:dyDescent="0.3">
      <c r="A382">
        <v>991</v>
      </c>
      <c r="B382" s="37">
        <v>40587</v>
      </c>
      <c r="C382">
        <v>1</v>
      </c>
      <c r="D382">
        <v>0</v>
      </c>
      <c r="E382">
        <v>2</v>
      </c>
      <c r="F382">
        <v>22</v>
      </c>
      <c r="G382" t="b">
        <v>0</v>
      </c>
      <c r="H382">
        <v>0</v>
      </c>
      <c r="I382">
        <v>1</v>
      </c>
      <c r="J382">
        <v>0.4</v>
      </c>
      <c r="K382">
        <v>0.40910000000000002</v>
      </c>
      <c r="L382">
        <v>0.35</v>
      </c>
      <c r="M382">
        <v>0.29849999999999999</v>
      </c>
      <c r="N382">
        <v>5</v>
      </c>
      <c r="O382">
        <v>31</v>
      </c>
      <c r="P382">
        <v>36</v>
      </c>
      <c r="Q382" t="s">
        <v>71</v>
      </c>
      <c r="R382" t="s">
        <v>50</v>
      </c>
    </row>
    <row r="383" spans="1:18" x14ac:dyDescent="0.3">
      <c r="A383">
        <v>992</v>
      </c>
      <c r="B383" s="37">
        <v>40587</v>
      </c>
      <c r="C383">
        <v>1</v>
      </c>
      <c r="D383">
        <v>0</v>
      </c>
      <c r="E383">
        <v>2</v>
      </c>
      <c r="F383">
        <v>23</v>
      </c>
      <c r="G383" t="b">
        <v>0</v>
      </c>
      <c r="H383">
        <v>0</v>
      </c>
      <c r="I383">
        <v>1</v>
      </c>
      <c r="J383">
        <v>0.4</v>
      </c>
      <c r="K383">
        <v>0.40910000000000002</v>
      </c>
      <c r="L383">
        <v>0.35</v>
      </c>
      <c r="M383">
        <v>0.35820000000000002</v>
      </c>
      <c r="N383">
        <v>3</v>
      </c>
      <c r="O383">
        <v>27</v>
      </c>
      <c r="P383">
        <v>30</v>
      </c>
      <c r="Q383" t="s">
        <v>71</v>
      </c>
      <c r="R383" t="s">
        <v>50</v>
      </c>
    </row>
    <row r="384" spans="1:18" x14ac:dyDescent="0.3">
      <c r="A384">
        <v>993</v>
      </c>
      <c r="B384" s="37">
        <v>40588</v>
      </c>
      <c r="C384">
        <v>1</v>
      </c>
      <c r="D384">
        <v>0</v>
      </c>
      <c r="E384">
        <v>2</v>
      </c>
      <c r="F384">
        <v>0</v>
      </c>
      <c r="G384" t="b">
        <v>0</v>
      </c>
      <c r="H384">
        <v>1</v>
      </c>
      <c r="I384">
        <v>1</v>
      </c>
      <c r="J384">
        <v>0.38</v>
      </c>
      <c r="K384">
        <v>0.39389999999999997</v>
      </c>
      <c r="L384">
        <v>0.37</v>
      </c>
      <c r="M384">
        <v>0.35820000000000002</v>
      </c>
      <c r="N384">
        <v>3</v>
      </c>
      <c r="O384">
        <v>8</v>
      </c>
      <c r="P384">
        <v>11</v>
      </c>
      <c r="Q384" t="s">
        <v>72</v>
      </c>
      <c r="R384" t="s">
        <v>51</v>
      </c>
    </row>
    <row r="385" spans="1:20" x14ac:dyDescent="0.3">
      <c r="A385">
        <v>994</v>
      </c>
      <c r="B385" s="37">
        <v>40588</v>
      </c>
      <c r="C385">
        <v>1</v>
      </c>
      <c r="D385">
        <v>0</v>
      </c>
      <c r="E385">
        <v>2</v>
      </c>
      <c r="F385">
        <v>1</v>
      </c>
      <c r="G385" t="b">
        <v>0</v>
      </c>
      <c r="H385">
        <v>1</v>
      </c>
      <c r="I385">
        <v>1</v>
      </c>
      <c r="J385">
        <v>0.38</v>
      </c>
      <c r="K385">
        <v>0.39389999999999997</v>
      </c>
      <c r="L385">
        <v>0.37</v>
      </c>
      <c r="M385">
        <v>0.35820000000000002</v>
      </c>
      <c r="N385">
        <v>1</v>
      </c>
      <c r="O385">
        <v>6</v>
      </c>
      <c r="P385">
        <v>7</v>
      </c>
      <c r="Q385" t="s">
        <v>72</v>
      </c>
      <c r="R385" t="s">
        <v>51</v>
      </c>
    </row>
    <row r="386" spans="1:20" x14ac:dyDescent="0.3">
      <c r="A386">
        <v>995</v>
      </c>
      <c r="B386" s="37">
        <v>40588</v>
      </c>
      <c r="C386">
        <v>1</v>
      </c>
      <c r="D386">
        <v>0</v>
      </c>
      <c r="E386">
        <v>2</v>
      </c>
      <c r="F386">
        <v>2</v>
      </c>
      <c r="G386" t="b">
        <v>0</v>
      </c>
      <c r="H386">
        <v>1</v>
      </c>
      <c r="I386">
        <v>1</v>
      </c>
      <c r="J386">
        <v>0.36</v>
      </c>
      <c r="K386">
        <v>0.33329999999999999</v>
      </c>
      <c r="L386">
        <v>0.4</v>
      </c>
      <c r="M386">
        <v>0.29849999999999999</v>
      </c>
      <c r="N386">
        <v>0</v>
      </c>
      <c r="O386">
        <v>2</v>
      </c>
      <c r="P386">
        <v>2</v>
      </c>
      <c r="Q386" t="s">
        <v>72</v>
      </c>
      <c r="R386" t="s">
        <v>51</v>
      </c>
    </row>
    <row r="387" spans="1:20" x14ac:dyDescent="0.3">
      <c r="A387">
        <v>996</v>
      </c>
      <c r="B387" s="37">
        <v>40588</v>
      </c>
      <c r="C387">
        <v>1</v>
      </c>
      <c r="D387">
        <v>0</v>
      </c>
      <c r="E387">
        <v>2</v>
      </c>
      <c r="F387">
        <v>3</v>
      </c>
      <c r="G387" t="b">
        <v>0</v>
      </c>
      <c r="H387">
        <v>1</v>
      </c>
      <c r="I387">
        <v>1</v>
      </c>
      <c r="J387">
        <v>0.34</v>
      </c>
      <c r="K387">
        <v>0.31819999999999998</v>
      </c>
      <c r="L387">
        <v>0.46</v>
      </c>
      <c r="M387">
        <v>0.22389999999999999</v>
      </c>
      <c r="N387">
        <v>1</v>
      </c>
      <c r="O387">
        <v>1</v>
      </c>
      <c r="P387">
        <v>2</v>
      </c>
      <c r="Q387" t="s">
        <v>72</v>
      </c>
      <c r="R387" t="s">
        <v>51</v>
      </c>
    </row>
    <row r="388" spans="1:20" x14ac:dyDescent="0.3">
      <c r="A388">
        <v>997</v>
      </c>
      <c r="B388" s="37">
        <v>40588</v>
      </c>
      <c r="C388">
        <v>1</v>
      </c>
      <c r="D388">
        <v>0</v>
      </c>
      <c r="E388">
        <v>2</v>
      </c>
      <c r="F388">
        <v>4</v>
      </c>
      <c r="G388" t="b">
        <v>0</v>
      </c>
      <c r="H388">
        <v>1</v>
      </c>
      <c r="I388">
        <v>1</v>
      </c>
      <c r="J388">
        <v>0.32</v>
      </c>
      <c r="K388">
        <v>0.30299999999999999</v>
      </c>
      <c r="L388">
        <v>0.53</v>
      </c>
      <c r="M388">
        <v>0.28360000000000002</v>
      </c>
      <c r="N388">
        <v>0</v>
      </c>
      <c r="O388">
        <v>2</v>
      </c>
      <c r="P388">
        <v>2</v>
      </c>
      <c r="Q388" t="s">
        <v>72</v>
      </c>
      <c r="R388" t="s">
        <v>51</v>
      </c>
    </row>
    <row r="389" spans="1:20" x14ac:dyDescent="0.3">
      <c r="A389">
        <v>998</v>
      </c>
      <c r="B389" s="37">
        <v>40588</v>
      </c>
      <c r="C389">
        <v>1</v>
      </c>
      <c r="D389">
        <v>0</v>
      </c>
      <c r="E389">
        <v>2</v>
      </c>
      <c r="F389">
        <v>5</v>
      </c>
      <c r="G389" t="b">
        <v>0</v>
      </c>
      <c r="H389">
        <v>1</v>
      </c>
      <c r="I389">
        <v>1</v>
      </c>
      <c r="J389">
        <v>0.32</v>
      </c>
      <c r="K389">
        <v>0.30299999999999999</v>
      </c>
      <c r="L389">
        <v>0.53</v>
      </c>
      <c r="M389">
        <v>0.28360000000000002</v>
      </c>
      <c r="N389">
        <v>0</v>
      </c>
      <c r="O389">
        <v>3</v>
      </c>
      <c r="P389">
        <v>3</v>
      </c>
      <c r="Q389" t="s">
        <v>72</v>
      </c>
      <c r="R389" t="s">
        <v>51</v>
      </c>
    </row>
    <row r="390" spans="1:20" x14ac:dyDescent="0.3">
      <c r="A390">
        <v>999</v>
      </c>
      <c r="B390" s="37">
        <v>40588</v>
      </c>
      <c r="C390">
        <v>1</v>
      </c>
      <c r="D390">
        <v>0</v>
      </c>
      <c r="E390">
        <v>2</v>
      </c>
      <c r="F390">
        <v>6</v>
      </c>
      <c r="G390" t="b">
        <v>0</v>
      </c>
      <c r="H390">
        <v>1</v>
      </c>
      <c r="I390">
        <v>1</v>
      </c>
      <c r="J390">
        <v>0.34</v>
      </c>
      <c r="K390">
        <v>0.30299999999999999</v>
      </c>
      <c r="L390">
        <v>0.46</v>
      </c>
      <c r="M390">
        <v>0.29849999999999999</v>
      </c>
      <c r="N390">
        <v>1</v>
      </c>
      <c r="O390">
        <v>25</v>
      </c>
      <c r="P390">
        <v>26</v>
      </c>
      <c r="Q390" t="s">
        <v>72</v>
      </c>
      <c r="R390" t="s">
        <v>51</v>
      </c>
    </row>
    <row r="391" spans="1:20" x14ac:dyDescent="0.3">
      <c r="A391">
        <v>1000</v>
      </c>
      <c r="B391" s="37">
        <v>40588</v>
      </c>
      <c r="C391">
        <v>1</v>
      </c>
      <c r="D391">
        <v>0</v>
      </c>
      <c r="E391">
        <v>2</v>
      </c>
      <c r="F391">
        <v>7</v>
      </c>
      <c r="G391" t="b">
        <v>0</v>
      </c>
      <c r="H391">
        <v>1</v>
      </c>
      <c r="I391">
        <v>1</v>
      </c>
      <c r="J391">
        <v>0.34</v>
      </c>
      <c r="K391">
        <v>0.30299999999999999</v>
      </c>
      <c r="L391">
        <v>0.46</v>
      </c>
      <c r="M391">
        <v>0.29849999999999999</v>
      </c>
      <c r="N391">
        <v>2</v>
      </c>
      <c r="O391">
        <v>96</v>
      </c>
      <c r="P391">
        <v>98</v>
      </c>
      <c r="Q391" t="s">
        <v>72</v>
      </c>
      <c r="R391" t="s">
        <v>51</v>
      </c>
    </row>
    <row r="392" spans="1:20" x14ac:dyDescent="0.3">
      <c r="A392">
        <v>1</v>
      </c>
      <c r="B392" s="37">
        <v>40544</v>
      </c>
      <c r="F392">
        <v>0</v>
      </c>
      <c r="G392" t="b">
        <v>0</v>
      </c>
      <c r="H392">
        <v>6</v>
      </c>
      <c r="I392">
        <v>1</v>
      </c>
      <c r="J392">
        <v>0.24</v>
      </c>
      <c r="K392">
        <v>40544</v>
      </c>
      <c r="L392">
        <v>0.28789999999999999</v>
      </c>
      <c r="M392">
        <v>0.81</v>
      </c>
      <c r="N392">
        <v>0</v>
      </c>
      <c r="O392">
        <v>3</v>
      </c>
      <c r="P392">
        <v>13</v>
      </c>
      <c r="S392" t="s">
        <v>20</v>
      </c>
      <c r="T392" t="s">
        <v>29</v>
      </c>
    </row>
    <row r="393" spans="1:20" x14ac:dyDescent="0.3">
      <c r="A393">
        <v>2</v>
      </c>
      <c r="B393" s="37">
        <v>40544</v>
      </c>
      <c r="F393">
        <v>1</v>
      </c>
      <c r="G393" t="b">
        <v>0</v>
      </c>
      <c r="H393">
        <v>6</v>
      </c>
      <c r="I393">
        <v>1</v>
      </c>
      <c r="J393">
        <v>0.22</v>
      </c>
      <c r="K393">
        <v>40544</v>
      </c>
      <c r="L393">
        <v>0.2727</v>
      </c>
      <c r="M393">
        <v>0.8</v>
      </c>
      <c r="N393">
        <v>0</v>
      </c>
      <c r="O393">
        <v>8</v>
      </c>
      <c r="P393">
        <v>32</v>
      </c>
      <c r="S393" t="s">
        <v>20</v>
      </c>
      <c r="T393" t="s">
        <v>29</v>
      </c>
    </row>
    <row r="394" spans="1:20" x14ac:dyDescent="0.3">
      <c r="A394">
        <v>3</v>
      </c>
      <c r="B394" s="37">
        <v>40544</v>
      </c>
      <c r="F394">
        <v>2</v>
      </c>
      <c r="G394" t="b">
        <v>0</v>
      </c>
      <c r="H394">
        <v>6</v>
      </c>
      <c r="I394">
        <v>1</v>
      </c>
      <c r="J394">
        <v>0.22</v>
      </c>
      <c r="K394">
        <v>40544</v>
      </c>
      <c r="L394">
        <v>0.2727</v>
      </c>
      <c r="M394">
        <v>0.8</v>
      </c>
      <c r="N394">
        <v>0</v>
      </c>
      <c r="O394">
        <v>5</v>
      </c>
      <c r="P394">
        <v>27</v>
      </c>
      <c r="S394" t="s">
        <v>20</v>
      </c>
      <c r="T394" t="s">
        <v>29</v>
      </c>
    </row>
    <row r="395" spans="1:20" x14ac:dyDescent="0.3">
      <c r="A395">
        <v>4</v>
      </c>
      <c r="B395" s="37">
        <v>40544</v>
      </c>
      <c r="F395">
        <v>3</v>
      </c>
      <c r="G395" t="b">
        <v>0</v>
      </c>
      <c r="H395">
        <v>6</v>
      </c>
      <c r="I395">
        <v>1</v>
      </c>
      <c r="J395">
        <v>0.24</v>
      </c>
      <c r="K395">
        <v>40544</v>
      </c>
      <c r="L395">
        <v>0.28789999999999999</v>
      </c>
      <c r="M395">
        <v>0.75</v>
      </c>
      <c r="N395">
        <v>0</v>
      </c>
      <c r="O395">
        <v>3</v>
      </c>
      <c r="P395">
        <v>10</v>
      </c>
      <c r="S395" t="s">
        <v>20</v>
      </c>
      <c r="T395" t="s">
        <v>29</v>
      </c>
    </row>
    <row r="396" spans="1:20" x14ac:dyDescent="0.3">
      <c r="A396">
        <v>5</v>
      </c>
      <c r="B396" s="37">
        <v>40544</v>
      </c>
      <c r="F396">
        <v>4</v>
      </c>
      <c r="G396" t="b">
        <v>0</v>
      </c>
      <c r="H396">
        <v>6</v>
      </c>
      <c r="I396">
        <v>1</v>
      </c>
      <c r="J396">
        <v>0.24</v>
      </c>
      <c r="K396">
        <v>40544</v>
      </c>
      <c r="L396">
        <v>0.28789999999999999</v>
      </c>
      <c r="M396">
        <v>0.75</v>
      </c>
      <c r="N396">
        <v>0</v>
      </c>
      <c r="O396">
        <v>0</v>
      </c>
      <c r="P396">
        <v>1</v>
      </c>
      <c r="S396" t="s">
        <v>20</v>
      </c>
      <c r="T396" t="s">
        <v>29</v>
      </c>
    </row>
    <row r="397" spans="1:20" x14ac:dyDescent="0.3">
      <c r="A397">
        <v>6</v>
      </c>
      <c r="B397" s="37">
        <v>40544</v>
      </c>
      <c r="F397">
        <v>5</v>
      </c>
      <c r="G397" t="b">
        <v>0</v>
      </c>
      <c r="H397">
        <v>6</v>
      </c>
      <c r="I397">
        <v>2</v>
      </c>
      <c r="J397">
        <v>0.24</v>
      </c>
      <c r="K397">
        <v>40544</v>
      </c>
      <c r="L397">
        <v>0.2576</v>
      </c>
      <c r="M397">
        <v>0.75</v>
      </c>
      <c r="N397">
        <v>8.9599999999999999E-2</v>
      </c>
      <c r="O397">
        <v>0</v>
      </c>
      <c r="P397">
        <v>1</v>
      </c>
      <c r="S397" t="s">
        <v>20</v>
      </c>
      <c r="T397" t="s">
        <v>29</v>
      </c>
    </row>
    <row r="398" spans="1:20" x14ac:dyDescent="0.3">
      <c r="A398">
        <v>7</v>
      </c>
      <c r="B398" s="37">
        <v>40544</v>
      </c>
      <c r="F398">
        <v>6</v>
      </c>
      <c r="G398" t="b">
        <v>0</v>
      </c>
      <c r="H398">
        <v>6</v>
      </c>
      <c r="I398">
        <v>1</v>
      </c>
      <c r="J398">
        <v>0.22</v>
      </c>
      <c r="K398">
        <v>40544</v>
      </c>
      <c r="L398">
        <v>0.2727</v>
      </c>
      <c r="M398">
        <v>0.8</v>
      </c>
      <c r="N398">
        <v>0</v>
      </c>
      <c r="O398">
        <v>2</v>
      </c>
      <c r="P398">
        <v>0</v>
      </c>
      <c r="S398" t="s">
        <v>20</v>
      </c>
      <c r="T398" t="s">
        <v>69</v>
      </c>
    </row>
    <row r="399" spans="1:20" x14ac:dyDescent="0.3">
      <c r="A399">
        <v>8</v>
      </c>
      <c r="B399" s="37">
        <v>40544</v>
      </c>
      <c r="F399">
        <v>7</v>
      </c>
      <c r="G399" t="b">
        <v>0</v>
      </c>
      <c r="H399">
        <v>6</v>
      </c>
      <c r="I399">
        <v>1</v>
      </c>
      <c r="J399">
        <v>0.2</v>
      </c>
      <c r="K399">
        <v>40544</v>
      </c>
      <c r="L399">
        <v>0.2576</v>
      </c>
      <c r="M399">
        <v>0.86</v>
      </c>
      <c r="N399">
        <v>0</v>
      </c>
      <c r="O399">
        <v>1</v>
      </c>
      <c r="P399">
        <v>2</v>
      </c>
      <c r="S399" t="s">
        <v>20</v>
      </c>
      <c r="T399" t="s">
        <v>69</v>
      </c>
    </row>
    <row r="400" spans="1:20" x14ac:dyDescent="0.3">
      <c r="A400">
        <v>9</v>
      </c>
      <c r="B400" s="37">
        <v>40544</v>
      </c>
      <c r="F400">
        <v>8</v>
      </c>
      <c r="G400" t="b">
        <v>0</v>
      </c>
      <c r="H400">
        <v>6</v>
      </c>
      <c r="I400">
        <v>1</v>
      </c>
      <c r="J400">
        <v>0.24</v>
      </c>
      <c r="K400">
        <v>40544</v>
      </c>
      <c r="L400" t="s">
        <v>37</v>
      </c>
      <c r="M400">
        <v>0.75</v>
      </c>
      <c r="N400">
        <v>0</v>
      </c>
      <c r="O400">
        <v>1</v>
      </c>
      <c r="P400">
        <v>7</v>
      </c>
      <c r="S400" t="s">
        <v>20</v>
      </c>
      <c r="T400" t="s">
        <v>69</v>
      </c>
    </row>
    <row r="401" spans="1:20" x14ac:dyDescent="0.3">
      <c r="A401">
        <v>10</v>
      </c>
      <c r="B401" s="37">
        <v>40544</v>
      </c>
      <c r="F401">
        <v>9</v>
      </c>
      <c r="G401" t="b">
        <v>0</v>
      </c>
      <c r="H401">
        <v>6</v>
      </c>
      <c r="I401">
        <v>1</v>
      </c>
      <c r="J401">
        <v>0.32</v>
      </c>
      <c r="K401">
        <v>40544</v>
      </c>
      <c r="L401">
        <v>0.34849999999999998</v>
      </c>
      <c r="M401">
        <v>0.76</v>
      </c>
      <c r="N401">
        <v>0</v>
      </c>
      <c r="O401">
        <v>8</v>
      </c>
      <c r="P401">
        <v>6</v>
      </c>
      <c r="S401" t="s">
        <v>20</v>
      </c>
      <c r="T401" t="s">
        <v>69</v>
      </c>
    </row>
    <row r="402" spans="1:20" x14ac:dyDescent="0.3">
      <c r="A402">
        <v>11</v>
      </c>
      <c r="B402" s="37">
        <v>40544</v>
      </c>
      <c r="F402">
        <v>10</v>
      </c>
      <c r="G402" t="b">
        <v>0</v>
      </c>
      <c r="H402">
        <v>6</v>
      </c>
      <c r="I402">
        <v>1</v>
      </c>
      <c r="J402">
        <v>0.38</v>
      </c>
      <c r="K402">
        <v>40544</v>
      </c>
      <c r="L402">
        <v>0.39389999999999997</v>
      </c>
      <c r="M402">
        <v>0.76</v>
      </c>
      <c r="N402">
        <v>0.25369999999999998</v>
      </c>
      <c r="O402">
        <v>12</v>
      </c>
      <c r="P402">
        <v>24</v>
      </c>
      <c r="S402" t="s">
        <v>20</v>
      </c>
      <c r="T402" t="s">
        <v>69</v>
      </c>
    </row>
    <row r="403" spans="1:20" x14ac:dyDescent="0.3">
      <c r="A403">
        <v>12</v>
      </c>
      <c r="B403" s="37">
        <v>40544</v>
      </c>
      <c r="F403">
        <v>11</v>
      </c>
      <c r="G403" t="b">
        <v>0</v>
      </c>
      <c r="H403">
        <v>6</v>
      </c>
      <c r="I403">
        <v>1</v>
      </c>
      <c r="J403">
        <v>0.36</v>
      </c>
      <c r="K403">
        <v>40544</v>
      </c>
      <c r="L403">
        <v>0.33329999999999999</v>
      </c>
      <c r="M403">
        <v>0.81</v>
      </c>
      <c r="N403">
        <v>0.28360000000000002</v>
      </c>
      <c r="O403">
        <v>26</v>
      </c>
      <c r="P403">
        <v>30</v>
      </c>
      <c r="S403" t="s">
        <v>20</v>
      </c>
      <c r="T403" t="s">
        <v>69</v>
      </c>
    </row>
    <row r="404" spans="1:20" x14ac:dyDescent="0.3">
      <c r="A404">
        <v>13</v>
      </c>
      <c r="B404" s="37">
        <v>40544</v>
      </c>
      <c r="F404">
        <v>12</v>
      </c>
      <c r="G404" t="b">
        <v>0</v>
      </c>
      <c r="H404">
        <v>6</v>
      </c>
      <c r="I404">
        <v>1</v>
      </c>
      <c r="J404">
        <v>0.42</v>
      </c>
      <c r="K404">
        <v>40544</v>
      </c>
      <c r="L404">
        <v>0.42420000000000002</v>
      </c>
      <c r="M404">
        <v>0.77</v>
      </c>
      <c r="N404">
        <v>0.28360000000000002</v>
      </c>
      <c r="O404">
        <v>29</v>
      </c>
      <c r="P404">
        <v>55</v>
      </c>
      <c r="S404" t="s">
        <v>20</v>
      </c>
      <c r="T404" t="s">
        <v>69</v>
      </c>
    </row>
    <row r="405" spans="1:20" x14ac:dyDescent="0.3">
      <c r="A405">
        <v>14</v>
      </c>
      <c r="B405" s="37">
        <v>40544</v>
      </c>
      <c r="F405">
        <v>13</v>
      </c>
      <c r="G405" t="b">
        <v>0</v>
      </c>
      <c r="H405">
        <v>6</v>
      </c>
      <c r="I405">
        <v>2</v>
      </c>
      <c r="J405">
        <v>0.46</v>
      </c>
      <c r="K405">
        <v>40544</v>
      </c>
      <c r="L405">
        <v>0.45450000000000002</v>
      </c>
      <c r="M405">
        <v>0.72</v>
      </c>
      <c r="N405">
        <v>0.29849999999999999</v>
      </c>
      <c r="O405">
        <v>47</v>
      </c>
      <c r="P405">
        <v>47</v>
      </c>
      <c r="S405" t="s">
        <v>20</v>
      </c>
      <c r="T405" t="s">
        <v>69</v>
      </c>
    </row>
    <row r="406" spans="1:20" x14ac:dyDescent="0.3">
      <c r="A406">
        <v>15</v>
      </c>
      <c r="B406" s="37">
        <v>40544</v>
      </c>
      <c r="F406">
        <v>14</v>
      </c>
      <c r="G406" t="b">
        <v>0</v>
      </c>
      <c r="H406">
        <v>6</v>
      </c>
      <c r="I406">
        <v>2</v>
      </c>
      <c r="J406">
        <v>0.46</v>
      </c>
      <c r="K406">
        <v>40544</v>
      </c>
      <c r="L406">
        <v>0.45450000000000002</v>
      </c>
      <c r="M406">
        <v>0.72</v>
      </c>
      <c r="N406">
        <v>0.28360000000000002</v>
      </c>
      <c r="O406">
        <v>35</v>
      </c>
      <c r="P406">
        <v>71</v>
      </c>
      <c r="S406" t="s">
        <v>20</v>
      </c>
      <c r="T406" t="s">
        <v>69</v>
      </c>
    </row>
    <row r="407" spans="1:20" x14ac:dyDescent="0.3">
      <c r="A407">
        <v>16</v>
      </c>
      <c r="B407" s="37">
        <v>40544</v>
      </c>
      <c r="F407">
        <v>15</v>
      </c>
      <c r="G407" t="b">
        <v>0</v>
      </c>
      <c r="H407">
        <v>6</v>
      </c>
      <c r="I407">
        <v>2</v>
      </c>
      <c r="J407">
        <v>0.44</v>
      </c>
      <c r="K407">
        <v>40544</v>
      </c>
      <c r="L407">
        <v>0.43940000000000001</v>
      </c>
      <c r="M407">
        <v>0.77</v>
      </c>
      <c r="N407">
        <v>0.29849999999999999</v>
      </c>
      <c r="O407">
        <v>40</v>
      </c>
      <c r="P407">
        <v>70</v>
      </c>
      <c r="S407" t="s">
        <v>20</v>
      </c>
      <c r="T407" t="s">
        <v>69</v>
      </c>
    </row>
    <row r="408" spans="1:20" x14ac:dyDescent="0.3">
      <c r="A408">
        <v>17</v>
      </c>
      <c r="B408" s="37">
        <v>40544</v>
      </c>
      <c r="F408">
        <v>16</v>
      </c>
      <c r="G408" t="b">
        <v>0</v>
      </c>
      <c r="H408">
        <v>6</v>
      </c>
      <c r="I408">
        <v>2</v>
      </c>
      <c r="J408">
        <v>0.42</v>
      </c>
      <c r="K408">
        <v>40544</v>
      </c>
      <c r="L408">
        <v>0.42420000000000002</v>
      </c>
      <c r="M408">
        <v>0.82</v>
      </c>
      <c r="N408">
        <v>0.29849999999999999</v>
      </c>
      <c r="O408">
        <v>41</v>
      </c>
      <c r="P408">
        <v>52</v>
      </c>
      <c r="S408" t="s">
        <v>20</v>
      </c>
      <c r="T408" t="s">
        <v>69</v>
      </c>
    </row>
    <row r="409" spans="1:20" x14ac:dyDescent="0.3">
      <c r="A409">
        <v>18</v>
      </c>
      <c r="B409" s="37">
        <v>40544</v>
      </c>
      <c r="F409">
        <v>17</v>
      </c>
      <c r="G409" t="b">
        <v>0</v>
      </c>
      <c r="H409">
        <v>6</v>
      </c>
      <c r="I409">
        <v>2</v>
      </c>
      <c r="J409">
        <v>0.44</v>
      </c>
      <c r="K409">
        <v>40544</v>
      </c>
      <c r="L409" t="s">
        <v>37</v>
      </c>
      <c r="M409">
        <v>0.82</v>
      </c>
      <c r="N409">
        <v>0.28360000000000002</v>
      </c>
      <c r="O409">
        <v>15</v>
      </c>
      <c r="P409">
        <v>52</v>
      </c>
      <c r="S409" t="s">
        <v>20</v>
      </c>
      <c r="T409" t="s">
        <v>69</v>
      </c>
    </row>
    <row r="410" spans="1:20" x14ac:dyDescent="0.3">
      <c r="A410">
        <v>19</v>
      </c>
      <c r="B410" s="37">
        <v>40544</v>
      </c>
      <c r="F410">
        <v>18</v>
      </c>
      <c r="G410" t="b">
        <v>0</v>
      </c>
      <c r="H410">
        <v>6</v>
      </c>
      <c r="I410">
        <v>3</v>
      </c>
      <c r="J410">
        <v>0.42</v>
      </c>
      <c r="K410">
        <v>40544</v>
      </c>
      <c r="L410">
        <v>0.42420000000000002</v>
      </c>
      <c r="M410">
        <v>0.88</v>
      </c>
      <c r="N410">
        <v>0.25369999999999998</v>
      </c>
      <c r="O410">
        <v>9</v>
      </c>
      <c r="P410">
        <v>26</v>
      </c>
      <c r="S410" t="s">
        <v>20</v>
      </c>
      <c r="T410" t="s">
        <v>69</v>
      </c>
    </row>
    <row r="411" spans="1:20" x14ac:dyDescent="0.3">
      <c r="A411">
        <v>20</v>
      </c>
      <c r="B411" s="37">
        <v>40544</v>
      </c>
      <c r="F411">
        <v>19</v>
      </c>
      <c r="G411" t="b">
        <v>0</v>
      </c>
      <c r="H411">
        <v>6</v>
      </c>
      <c r="I411">
        <v>3</v>
      </c>
      <c r="J411">
        <v>0.42</v>
      </c>
      <c r="K411">
        <v>40544</v>
      </c>
      <c r="L411">
        <v>0.42420000000000002</v>
      </c>
      <c r="M411">
        <v>0.88</v>
      </c>
      <c r="N411">
        <v>0.25369999999999998</v>
      </c>
      <c r="O411">
        <v>6</v>
      </c>
      <c r="P411">
        <v>31</v>
      </c>
      <c r="S411" t="s">
        <v>20</v>
      </c>
      <c r="T411" t="s">
        <v>29</v>
      </c>
    </row>
    <row r="412" spans="1:20" x14ac:dyDescent="0.3">
      <c r="A412">
        <v>21</v>
      </c>
      <c r="B412" s="37">
        <v>40544</v>
      </c>
      <c r="F412">
        <v>20</v>
      </c>
      <c r="G412" t="b">
        <v>0</v>
      </c>
      <c r="H412">
        <v>6</v>
      </c>
      <c r="I412">
        <v>2</v>
      </c>
      <c r="J412">
        <v>0.4</v>
      </c>
      <c r="K412">
        <v>40544</v>
      </c>
      <c r="L412">
        <v>0.40910000000000002</v>
      </c>
      <c r="M412">
        <v>0.87</v>
      </c>
      <c r="N412">
        <v>0.25369999999999998</v>
      </c>
      <c r="O412">
        <v>11</v>
      </c>
      <c r="P412">
        <v>25</v>
      </c>
      <c r="S412" t="s">
        <v>20</v>
      </c>
      <c r="T412" t="s">
        <v>29</v>
      </c>
    </row>
    <row r="413" spans="1:20" x14ac:dyDescent="0.3">
      <c r="A413">
        <v>22</v>
      </c>
      <c r="B413" s="37">
        <v>40544</v>
      </c>
      <c r="F413">
        <v>21</v>
      </c>
      <c r="G413" t="b">
        <v>0</v>
      </c>
      <c r="H413">
        <v>6</v>
      </c>
      <c r="I413">
        <v>2</v>
      </c>
      <c r="J413">
        <v>0.4</v>
      </c>
      <c r="K413">
        <v>40544</v>
      </c>
      <c r="L413">
        <v>0.40910000000000002</v>
      </c>
      <c r="M413">
        <v>0.87</v>
      </c>
      <c r="N413">
        <v>0.19400000000000001</v>
      </c>
      <c r="O413">
        <v>3</v>
      </c>
      <c r="P413">
        <v>31</v>
      </c>
      <c r="S413" t="s">
        <v>20</v>
      </c>
      <c r="T413" t="s">
        <v>29</v>
      </c>
    </row>
    <row r="414" spans="1:20" x14ac:dyDescent="0.3">
      <c r="A414">
        <v>23</v>
      </c>
      <c r="B414" s="37">
        <v>40544</v>
      </c>
      <c r="F414">
        <v>22</v>
      </c>
      <c r="G414" t="b">
        <v>0</v>
      </c>
      <c r="H414">
        <v>6</v>
      </c>
      <c r="I414">
        <v>2</v>
      </c>
      <c r="J414">
        <v>0.4</v>
      </c>
      <c r="K414">
        <v>40544</v>
      </c>
      <c r="L414">
        <v>0.40910000000000002</v>
      </c>
      <c r="M414">
        <v>0.94</v>
      </c>
      <c r="N414">
        <v>0.22389999999999999</v>
      </c>
      <c r="O414">
        <v>11</v>
      </c>
      <c r="P414">
        <v>17</v>
      </c>
      <c r="S414" t="s">
        <v>20</v>
      </c>
      <c r="T414" t="s">
        <v>29</v>
      </c>
    </row>
    <row r="415" spans="1:20" x14ac:dyDescent="0.3">
      <c r="A415">
        <v>24</v>
      </c>
      <c r="B415" s="37">
        <v>40544</v>
      </c>
      <c r="F415">
        <v>23</v>
      </c>
      <c r="G415" t="b">
        <v>0</v>
      </c>
      <c r="H415">
        <v>6</v>
      </c>
      <c r="I415">
        <v>2</v>
      </c>
      <c r="J415">
        <v>0.46</v>
      </c>
      <c r="K415">
        <v>40544</v>
      </c>
      <c r="L415" t="s">
        <v>37</v>
      </c>
      <c r="M415">
        <v>0.88</v>
      </c>
      <c r="N415">
        <v>0.29849999999999999</v>
      </c>
      <c r="O415">
        <v>15</v>
      </c>
      <c r="P415">
        <v>24</v>
      </c>
      <c r="S415" t="s">
        <v>20</v>
      </c>
      <c r="T415" t="s">
        <v>29</v>
      </c>
    </row>
    <row r="416" spans="1:20" x14ac:dyDescent="0.3">
      <c r="A416">
        <v>25</v>
      </c>
      <c r="B416" s="37">
        <v>40545</v>
      </c>
      <c r="F416">
        <v>0</v>
      </c>
      <c r="G416" t="b">
        <v>0</v>
      </c>
      <c r="H416">
        <v>0</v>
      </c>
      <c r="I416">
        <v>2</v>
      </c>
      <c r="J416">
        <v>0.46</v>
      </c>
      <c r="K416">
        <v>40545</v>
      </c>
      <c r="L416">
        <v>0.45450000000000002</v>
      </c>
      <c r="M416">
        <v>0.88</v>
      </c>
      <c r="N416">
        <v>0.29849999999999999</v>
      </c>
      <c r="O416">
        <v>4</v>
      </c>
      <c r="P416">
        <v>13</v>
      </c>
      <c r="S416" t="s">
        <v>21</v>
      </c>
      <c r="T416" t="s">
        <v>29</v>
      </c>
    </row>
    <row r="417" spans="1:20" x14ac:dyDescent="0.3">
      <c r="A417">
        <v>26</v>
      </c>
      <c r="B417" s="37">
        <v>40545</v>
      </c>
      <c r="F417">
        <v>1</v>
      </c>
      <c r="G417" t="b">
        <v>0</v>
      </c>
      <c r="H417">
        <v>0</v>
      </c>
      <c r="I417">
        <v>2</v>
      </c>
      <c r="J417">
        <v>0.44</v>
      </c>
      <c r="K417">
        <v>40545</v>
      </c>
      <c r="L417">
        <v>0.43940000000000001</v>
      </c>
      <c r="M417">
        <v>0.94</v>
      </c>
      <c r="N417">
        <v>0.25369999999999998</v>
      </c>
      <c r="O417">
        <v>1</v>
      </c>
      <c r="P417">
        <v>16</v>
      </c>
      <c r="S417" t="s">
        <v>21</v>
      </c>
      <c r="T417" t="s">
        <v>29</v>
      </c>
    </row>
    <row r="418" spans="1:20" x14ac:dyDescent="0.3">
      <c r="A418">
        <v>27</v>
      </c>
      <c r="B418" s="37">
        <v>40545</v>
      </c>
      <c r="F418">
        <v>2</v>
      </c>
      <c r="G418" t="b">
        <v>0</v>
      </c>
      <c r="H418">
        <v>0</v>
      </c>
      <c r="I418">
        <v>2</v>
      </c>
      <c r="J418">
        <v>0.42</v>
      </c>
      <c r="K418">
        <v>40545</v>
      </c>
      <c r="L418">
        <v>0.42420000000000002</v>
      </c>
      <c r="M418">
        <v>1</v>
      </c>
      <c r="N418">
        <v>0.28360000000000002</v>
      </c>
      <c r="O418">
        <v>1</v>
      </c>
      <c r="P418">
        <v>8</v>
      </c>
      <c r="S418" t="s">
        <v>21</v>
      </c>
      <c r="T418" t="s">
        <v>29</v>
      </c>
    </row>
    <row r="419" spans="1:20" x14ac:dyDescent="0.3">
      <c r="A419">
        <v>28</v>
      </c>
      <c r="B419" s="37">
        <v>40545</v>
      </c>
      <c r="F419">
        <v>3</v>
      </c>
      <c r="G419" t="b">
        <v>0</v>
      </c>
      <c r="H419">
        <v>0</v>
      </c>
      <c r="I419">
        <v>2</v>
      </c>
      <c r="J419">
        <v>0.46</v>
      </c>
      <c r="K419">
        <v>40545</v>
      </c>
      <c r="L419">
        <v>0.45450000000000002</v>
      </c>
      <c r="M419">
        <v>0.94</v>
      </c>
      <c r="N419">
        <v>0.19400000000000001</v>
      </c>
      <c r="O419">
        <v>2</v>
      </c>
      <c r="P419">
        <v>4</v>
      </c>
      <c r="S419" t="s">
        <v>21</v>
      </c>
      <c r="T419" t="s">
        <v>29</v>
      </c>
    </row>
    <row r="420" spans="1:20" x14ac:dyDescent="0.3">
      <c r="A420">
        <v>29</v>
      </c>
      <c r="B420" s="37">
        <v>40545</v>
      </c>
      <c r="F420">
        <v>4</v>
      </c>
      <c r="G420" t="b">
        <v>0</v>
      </c>
      <c r="H420">
        <v>0</v>
      </c>
      <c r="I420">
        <v>2</v>
      </c>
      <c r="J420">
        <v>0.46</v>
      </c>
      <c r="K420">
        <v>40545</v>
      </c>
      <c r="L420" t="s">
        <v>37</v>
      </c>
      <c r="M420">
        <v>0.94</v>
      </c>
      <c r="N420">
        <v>0.19400000000000001</v>
      </c>
      <c r="O420">
        <v>2</v>
      </c>
      <c r="P420">
        <v>1</v>
      </c>
      <c r="S420" t="s">
        <v>21</v>
      </c>
      <c r="T420" t="s">
        <v>29</v>
      </c>
    </row>
    <row r="421" spans="1:20" x14ac:dyDescent="0.3">
      <c r="A421">
        <v>30</v>
      </c>
      <c r="B421" s="37">
        <v>40545</v>
      </c>
      <c r="F421">
        <v>6</v>
      </c>
      <c r="G421" t="b">
        <v>0</v>
      </c>
      <c r="H421">
        <v>0</v>
      </c>
      <c r="I421">
        <v>3</v>
      </c>
      <c r="J421">
        <v>0.42</v>
      </c>
      <c r="K421">
        <v>40545</v>
      </c>
      <c r="L421">
        <v>0.42420000000000002</v>
      </c>
      <c r="M421">
        <v>0.77</v>
      </c>
      <c r="N421">
        <v>0.29849999999999999</v>
      </c>
      <c r="O421">
        <v>0</v>
      </c>
      <c r="P421">
        <v>2</v>
      </c>
      <c r="S421" t="s">
        <v>21</v>
      </c>
      <c r="T421" t="s">
        <v>69</v>
      </c>
    </row>
    <row r="422" spans="1:20" x14ac:dyDescent="0.3">
      <c r="A422">
        <v>31</v>
      </c>
      <c r="B422" s="37">
        <v>40545</v>
      </c>
      <c r="F422">
        <v>7</v>
      </c>
      <c r="G422" t="b">
        <v>0</v>
      </c>
      <c r="H422">
        <v>0</v>
      </c>
      <c r="I422">
        <v>2</v>
      </c>
      <c r="J422">
        <v>0.4</v>
      </c>
      <c r="K422">
        <v>40545</v>
      </c>
      <c r="L422">
        <v>0.40910000000000002</v>
      </c>
      <c r="M422">
        <v>0.76</v>
      </c>
      <c r="N422">
        <v>0.19400000000000001</v>
      </c>
      <c r="O422">
        <v>0</v>
      </c>
      <c r="P422">
        <v>1</v>
      </c>
      <c r="S422" t="s">
        <v>21</v>
      </c>
      <c r="T422" t="s">
        <v>69</v>
      </c>
    </row>
    <row r="423" spans="1:20" x14ac:dyDescent="0.3">
      <c r="A423">
        <v>32</v>
      </c>
      <c r="B423" s="37">
        <v>40545</v>
      </c>
      <c r="F423">
        <v>8</v>
      </c>
      <c r="G423" t="b">
        <v>0</v>
      </c>
      <c r="H423">
        <v>0</v>
      </c>
      <c r="I423">
        <v>3</v>
      </c>
      <c r="J423">
        <v>0.4</v>
      </c>
      <c r="K423">
        <v>40545</v>
      </c>
      <c r="L423">
        <v>0.40910000000000002</v>
      </c>
      <c r="M423">
        <v>0.71</v>
      </c>
      <c r="N423">
        <v>0.22389999999999999</v>
      </c>
      <c r="O423">
        <v>0</v>
      </c>
      <c r="P423">
        <v>8</v>
      </c>
      <c r="S423" t="s">
        <v>21</v>
      </c>
      <c r="T423" t="s">
        <v>69</v>
      </c>
    </row>
    <row r="424" spans="1:20" x14ac:dyDescent="0.3">
      <c r="A424">
        <v>33</v>
      </c>
      <c r="B424" s="37">
        <v>40545</v>
      </c>
      <c r="F424">
        <v>9</v>
      </c>
      <c r="G424" t="b">
        <v>0</v>
      </c>
      <c r="H424">
        <v>0</v>
      </c>
      <c r="I424">
        <v>2</v>
      </c>
      <c r="J424">
        <v>0.38</v>
      </c>
      <c r="K424">
        <v>40545</v>
      </c>
      <c r="L424" t="s">
        <v>37</v>
      </c>
      <c r="M424">
        <v>0.76</v>
      </c>
      <c r="N424">
        <v>0.22389999999999999</v>
      </c>
      <c r="O424">
        <v>1</v>
      </c>
      <c r="P424">
        <v>19</v>
      </c>
      <c r="S424" t="s">
        <v>21</v>
      </c>
      <c r="T424" t="s">
        <v>69</v>
      </c>
    </row>
    <row r="425" spans="1:20" x14ac:dyDescent="0.3">
      <c r="A425">
        <v>34</v>
      </c>
      <c r="B425" s="37">
        <v>40545</v>
      </c>
      <c r="F425">
        <v>10</v>
      </c>
      <c r="G425" t="b">
        <v>0</v>
      </c>
      <c r="H425">
        <v>0</v>
      </c>
      <c r="I425">
        <v>2</v>
      </c>
      <c r="J425">
        <v>0.36</v>
      </c>
      <c r="K425">
        <v>40545</v>
      </c>
      <c r="L425">
        <v>0.34849999999999998</v>
      </c>
      <c r="M425">
        <v>0.81</v>
      </c>
      <c r="N425">
        <v>0.22389999999999999</v>
      </c>
      <c r="O425">
        <v>7</v>
      </c>
      <c r="P425">
        <v>46</v>
      </c>
      <c r="S425" t="s">
        <v>21</v>
      </c>
      <c r="T425" t="s">
        <v>69</v>
      </c>
    </row>
    <row r="426" spans="1:20" x14ac:dyDescent="0.3">
      <c r="A426">
        <v>35</v>
      </c>
      <c r="B426" s="37">
        <v>40545</v>
      </c>
      <c r="F426">
        <v>11</v>
      </c>
      <c r="G426" t="b">
        <v>0</v>
      </c>
      <c r="H426">
        <v>0</v>
      </c>
      <c r="I426">
        <v>2</v>
      </c>
      <c r="J426">
        <v>0.36</v>
      </c>
      <c r="K426">
        <v>40545</v>
      </c>
      <c r="L426">
        <v>0.33329999999999999</v>
      </c>
      <c r="M426">
        <v>0.71</v>
      </c>
      <c r="N426">
        <v>0.25369999999999998</v>
      </c>
      <c r="O426">
        <v>16</v>
      </c>
      <c r="P426">
        <v>54</v>
      </c>
      <c r="S426" t="s">
        <v>21</v>
      </c>
      <c r="T426" t="s">
        <v>69</v>
      </c>
    </row>
    <row r="427" spans="1:20" x14ac:dyDescent="0.3">
      <c r="A427">
        <v>36</v>
      </c>
      <c r="B427" s="37">
        <v>40545</v>
      </c>
      <c r="F427">
        <v>12</v>
      </c>
      <c r="G427" t="b">
        <v>0</v>
      </c>
      <c r="H427">
        <v>0</v>
      </c>
      <c r="I427">
        <v>2</v>
      </c>
      <c r="J427">
        <v>0.36</v>
      </c>
      <c r="K427">
        <v>40545</v>
      </c>
      <c r="L427">
        <v>0.33329999999999999</v>
      </c>
      <c r="M427">
        <v>0.66</v>
      </c>
      <c r="N427">
        <v>0.29849999999999999</v>
      </c>
      <c r="O427">
        <v>20</v>
      </c>
      <c r="P427">
        <v>73</v>
      </c>
      <c r="S427" t="s">
        <v>21</v>
      </c>
      <c r="T427" t="s">
        <v>69</v>
      </c>
    </row>
    <row r="428" spans="1:20" x14ac:dyDescent="0.3">
      <c r="A428">
        <v>37</v>
      </c>
      <c r="B428" s="37">
        <v>40545</v>
      </c>
      <c r="F428">
        <v>13</v>
      </c>
      <c r="G428" t="b">
        <v>0</v>
      </c>
      <c r="H428">
        <v>0</v>
      </c>
      <c r="I428">
        <v>2</v>
      </c>
      <c r="J428">
        <v>0.36</v>
      </c>
      <c r="K428">
        <v>40545</v>
      </c>
      <c r="L428">
        <v>0.34849999999999998</v>
      </c>
      <c r="M428">
        <v>0.66</v>
      </c>
      <c r="N428">
        <v>0.1343</v>
      </c>
      <c r="O428">
        <v>11</v>
      </c>
      <c r="P428">
        <v>64</v>
      </c>
      <c r="S428" t="s">
        <v>21</v>
      </c>
      <c r="T428" t="s">
        <v>69</v>
      </c>
    </row>
    <row r="429" spans="1:20" x14ac:dyDescent="0.3">
      <c r="A429">
        <v>38</v>
      </c>
      <c r="B429" s="37">
        <v>40545</v>
      </c>
      <c r="F429">
        <v>14</v>
      </c>
      <c r="G429" t="b">
        <v>0</v>
      </c>
      <c r="H429">
        <v>0</v>
      </c>
      <c r="I429">
        <v>3</v>
      </c>
      <c r="J429">
        <v>0.36</v>
      </c>
      <c r="K429">
        <v>40545</v>
      </c>
      <c r="L429" t="s">
        <v>37</v>
      </c>
      <c r="M429">
        <v>0.76</v>
      </c>
      <c r="N429">
        <v>0.19400000000000001</v>
      </c>
      <c r="O429">
        <v>4</v>
      </c>
      <c r="P429">
        <v>55</v>
      </c>
      <c r="S429" t="s">
        <v>21</v>
      </c>
      <c r="T429" t="s">
        <v>69</v>
      </c>
    </row>
    <row r="430" spans="1:20" x14ac:dyDescent="0.3">
      <c r="A430">
        <v>39</v>
      </c>
      <c r="B430" s="37">
        <v>40545</v>
      </c>
      <c r="F430">
        <v>15</v>
      </c>
      <c r="G430" t="b">
        <v>0</v>
      </c>
      <c r="H430">
        <v>0</v>
      </c>
      <c r="I430">
        <v>3</v>
      </c>
      <c r="J430">
        <v>0.34</v>
      </c>
      <c r="K430">
        <v>40545</v>
      </c>
      <c r="L430">
        <v>0.33329999999999999</v>
      </c>
      <c r="M430">
        <v>0.81</v>
      </c>
      <c r="N430">
        <v>0.16420000000000001</v>
      </c>
      <c r="O430">
        <v>19</v>
      </c>
      <c r="P430">
        <v>55</v>
      </c>
      <c r="S430" t="s">
        <v>21</v>
      </c>
      <c r="T430" t="s">
        <v>69</v>
      </c>
    </row>
    <row r="431" spans="1:20" x14ac:dyDescent="0.3">
      <c r="A431">
        <v>40</v>
      </c>
      <c r="B431" s="37">
        <v>40545</v>
      </c>
      <c r="F431">
        <v>16</v>
      </c>
      <c r="G431" t="b">
        <v>0</v>
      </c>
      <c r="H431">
        <v>0</v>
      </c>
      <c r="I431">
        <v>3</v>
      </c>
      <c r="J431">
        <v>0.34</v>
      </c>
      <c r="K431">
        <v>40545</v>
      </c>
      <c r="L431">
        <v>0.33329999999999999</v>
      </c>
      <c r="M431">
        <v>0.71</v>
      </c>
      <c r="N431">
        <v>0.16420000000000001</v>
      </c>
      <c r="O431">
        <v>9</v>
      </c>
      <c r="P431">
        <v>67</v>
      </c>
      <c r="S431" t="s">
        <v>21</v>
      </c>
      <c r="T431" t="s">
        <v>69</v>
      </c>
    </row>
    <row r="432" spans="1:20" x14ac:dyDescent="0.3">
      <c r="A432">
        <v>41</v>
      </c>
      <c r="B432" s="37">
        <v>40545</v>
      </c>
      <c r="F432">
        <v>17</v>
      </c>
      <c r="G432" t="b">
        <v>0</v>
      </c>
      <c r="H432">
        <v>0</v>
      </c>
      <c r="I432">
        <v>1</v>
      </c>
      <c r="J432">
        <v>0.34</v>
      </c>
      <c r="K432">
        <v>40545</v>
      </c>
      <c r="L432">
        <v>0.33329999999999999</v>
      </c>
      <c r="M432">
        <v>0.56999999999999995</v>
      </c>
      <c r="N432">
        <v>0.19400000000000001</v>
      </c>
      <c r="O432">
        <v>7</v>
      </c>
      <c r="P432">
        <v>58</v>
      </c>
      <c r="S432" t="s">
        <v>21</v>
      </c>
      <c r="T432" t="s">
        <v>69</v>
      </c>
    </row>
    <row r="433" spans="1:20" x14ac:dyDescent="0.3">
      <c r="A433">
        <v>42</v>
      </c>
      <c r="B433" s="37">
        <v>40545</v>
      </c>
      <c r="F433">
        <v>18</v>
      </c>
      <c r="G433" t="b">
        <v>0</v>
      </c>
      <c r="H433">
        <v>0</v>
      </c>
      <c r="I433">
        <v>2</v>
      </c>
      <c r="J433">
        <v>0.36</v>
      </c>
      <c r="K433">
        <v>40545</v>
      </c>
      <c r="L433">
        <v>0.33329999999999999</v>
      </c>
      <c r="M433">
        <v>0.46</v>
      </c>
      <c r="N433">
        <v>0.32840000000000003</v>
      </c>
      <c r="O433">
        <v>10</v>
      </c>
      <c r="P433">
        <v>43</v>
      </c>
      <c r="S433" t="s">
        <v>21</v>
      </c>
      <c r="T433" t="s">
        <v>69</v>
      </c>
    </row>
    <row r="434" spans="1:20" x14ac:dyDescent="0.3">
      <c r="A434">
        <v>43</v>
      </c>
      <c r="B434" s="37">
        <v>40545</v>
      </c>
      <c r="F434">
        <v>19</v>
      </c>
      <c r="G434" t="b">
        <v>0</v>
      </c>
      <c r="H434">
        <v>0</v>
      </c>
      <c r="I434">
        <v>1</v>
      </c>
      <c r="J434">
        <v>0.32</v>
      </c>
      <c r="K434">
        <v>40545</v>
      </c>
      <c r="L434">
        <v>0.28789999999999999</v>
      </c>
      <c r="M434">
        <v>0.42</v>
      </c>
      <c r="N434">
        <v>0.44779999999999998</v>
      </c>
      <c r="O434">
        <v>1</v>
      </c>
      <c r="P434">
        <v>29</v>
      </c>
      <c r="S434" t="s">
        <v>21</v>
      </c>
      <c r="T434" t="s">
        <v>29</v>
      </c>
    </row>
    <row r="435" spans="1:20" x14ac:dyDescent="0.3">
      <c r="A435">
        <v>44</v>
      </c>
      <c r="B435" s="37">
        <v>40545</v>
      </c>
      <c r="F435">
        <v>20</v>
      </c>
      <c r="G435" t="b">
        <v>0</v>
      </c>
      <c r="H435">
        <v>0</v>
      </c>
      <c r="I435">
        <v>1</v>
      </c>
      <c r="J435">
        <v>0.3</v>
      </c>
      <c r="K435">
        <v>40545</v>
      </c>
      <c r="L435" t="s">
        <v>37</v>
      </c>
      <c r="M435">
        <v>0.39</v>
      </c>
      <c r="N435">
        <v>0.35820000000000002</v>
      </c>
      <c r="O435">
        <v>5</v>
      </c>
      <c r="P435">
        <v>17</v>
      </c>
      <c r="S435" t="s">
        <v>21</v>
      </c>
      <c r="T435" t="s">
        <v>29</v>
      </c>
    </row>
    <row r="436" spans="1:20" x14ac:dyDescent="0.3">
      <c r="A436">
        <v>45</v>
      </c>
      <c r="B436" s="37">
        <v>40545</v>
      </c>
      <c r="F436">
        <v>21</v>
      </c>
      <c r="G436" t="b">
        <v>0</v>
      </c>
      <c r="H436">
        <v>0</v>
      </c>
      <c r="I436">
        <v>1</v>
      </c>
      <c r="J436">
        <v>0.26</v>
      </c>
      <c r="K436">
        <v>40545</v>
      </c>
      <c r="L436">
        <v>0.2273</v>
      </c>
      <c r="M436">
        <v>0.44</v>
      </c>
      <c r="N436">
        <v>0.32840000000000003</v>
      </c>
      <c r="O436">
        <v>11</v>
      </c>
      <c r="P436">
        <v>20</v>
      </c>
      <c r="S436" t="s">
        <v>21</v>
      </c>
      <c r="T436" t="s">
        <v>29</v>
      </c>
    </row>
    <row r="437" spans="1:20" x14ac:dyDescent="0.3">
      <c r="A437">
        <v>46</v>
      </c>
      <c r="B437" s="37">
        <v>40545</v>
      </c>
      <c r="F437">
        <v>22</v>
      </c>
      <c r="G437" t="b">
        <v>0</v>
      </c>
      <c r="H437">
        <v>0</v>
      </c>
      <c r="I437">
        <v>1</v>
      </c>
      <c r="J437">
        <v>0.24</v>
      </c>
      <c r="K437">
        <v>40545</v>
      </c>
      <c r="L437">
        <v>0.21210000000000001</v>
      </c>
      <c r="M437">
        <v>0.44</v>
      </c>
      <c r="N437">
        <v>0.29849999999999999</v>
      </c>
      <c r="O437">
        <v>0</v>
      </c>
      <c r="P437">
        <v>9</v>
      </c>
      <c r="S437" t="s">
        <v>21</v>
      </c>
      <c r="T437" t="s">
        <v>29</v>
      </c>
    </row>
    <row r="438" spans="1:20" x14ac:dyDescent="0.3">
      <c r="A438">
        <v>47</v>
      </c>
      <c r="B438" s="37">
        <v>40545</v>
      </c>
      <c r="F438">
        <v>23</v>
      </c>
      <c r="G438" t="b">
        <v>0</v>
      </c>
      <c r="H438">
        <v>0</v>
      </c>
      <c r="I438">
        <v>1</v>
      </c>
      <c r="J438">
        <v>0.22</v>
      </c>
      <c r="K438">
        <v>40545</v>
      </c>
      <c r="L438">
        <v>0.2273</v>
      </c>
      <c r="M438">
        <v>0.47</v>
      </c>
      <c r="N438">
        <v>0.16420000000000001</v>
      </c>
      <c r="O438">
        <v>0</v>
      </c>
      <c r="P438">
        <v>8</v>
      </c>
      <c r="S438" t="s">
        <v>21</v>
      </c>
      <c r="T438" t="s">
        <v>29</v>
      </c>
    </row>
    <row r="439" spans="1:20" x14ac:dyDescent="0.3">
      <c r="A439">
        <v>48</v>
      </c>
      <c r="B439" s="37">
        <v>40546</v>
      </c>
      <c r="F439">
        <v>0</v>
      </c>
      <c r="G439" t="b">
        <v>0</v>
      </c>
      <c r="H439">
        <v>1</v>
      </c>
      <c r="I439">
        <v>1</v>
      </c>
      <c r="J439">
        <v>0.22</v>
      </c>
      <c r="K439">
        <v>40546</v>
      </c>
      <c r="L439">
        <v>0.19700000000000001</v>
      </c>
      <c r="M439">
        <v>0.44</v>
      </c>
      <c r="N439">
        <v>0.35820000000000002</v>
      </c>
      <c r="O439">
        <v>0</v>
      </c>
      <c r="P439">
        <v>5</v>
      </c>
      <c r="S439" t="s">
        <v>22</v>
      </c>
      <c r="T439" t="s">
        <v>29</v>
      </c>
    </row>
    <row r="440" spans="1:20" x14ac:dyDescent="0.3">
      <c r="A440">
        <v>49</v>
      </c>
      <c r="B440" s="37">
        <v>40546</v>
      </c>
      <c r="F440">
        <v>1</v>
      </c>
      <c r="G440" t="b">
        <v>0</v>
      </c>
      <c r="H440">
        <v>1</v>
      </c>
      <c r="I440">
        <v>1</v>
      </c>
      <c r="J440">
        <v>0.2</v>
      </c>
      <c r="K440">
        <v>40546</v>
      </c>
      <c r="L440" t="s">
        <v>37</v>
      </c>
      <c r="M440">
        <v>0.44</v>
      </c>
      <c r="N440">
        <v>0.41789999999999999</v>
      </c>
      <c r="O440">
        <v>0</v>
      </c>
      <c r="P440">
        <v>2</v>
      </c>
      <c r="S440" t="s">
        <v>22</v>
      </c>
      <c r="T440" t="s">
        <v>29</v>
      </c>
    </row>
    <row r="441" spans="1:20" x14ac:dyDescent="0.3">
      <c r="A441">
        <v>50</v>
      </c>
      <c r="B441" s="37">
        <v>40546</v>
      </c>
      <c r="F441">
        <v>4</v>
      </c>
      <c r="G441" t="b">
        <v>0</v>
      </c>
      <c r="H441">
        <v>1</v>
      </c>
      <c r="I441">
        <v>1</v>
      </c>
      <c r="J441">
        <v>0.16</v>
      </c>
      <c r="K441">
        <v>40546</v>
      </c>
      <c r="L441">
        <v>0.13639999999999999</v>
      </c>
      <c r="M441">
        <v>0.47</v>
      </c>
      <c r="N441">
        <v>0.3881</v>
      </c>
      <c r="O441">
        <v>0</v>
      </c>
      <c r="P441">
        <v>1</v>
      </c>
      <c r="S441" t="s">
        <v>22</v>
      </c>
      <c r="T441" t="s">
        <v>29</v>
      </c>
    </row>
    <row r="442" spans="1:20" x14ac:dyDescent="0.3">
      <c r="A442">
        <v>51</v>
      </c>
      <c r="B442" s="37">
        <v>40546</v>
      </c>
      <c r="F442">
        <v>5</v>
      </c>
      <c r="G442" t="b">
        <v>0</v>
      </c>
      <c r="H442">
        <v>1</v>
      </c>
      <c r="I442">
        <v>1</v>
      </c>
      <c r="J442">
        <v>0.16</v>
      </c>
      <c r="K442">
        <v>40546</v>
      </c>
      <c r="L442">
        <v>0.13639999999999999</v>
      </c>
      <c r="M442">
        <v>0.47</v>
      </c>
      <c r="N442">
        <v>0.28360000000000002</v>
      </c>
      <c r="O442">
        <v>0</v>
      </c>
      <c r="P442">
        <v>3</v>
      </c>
      <c r="S442" t="s">
        <v>22</v>
      </c>
      <c r="T442" t="s">
        <v>29</v>
      </c>
    </row>
    <row r="443" spans="1:20" x14ac:dyDescent="0.3">
      <c r="A443">
        <v>52</v>
      </c>
      <c r="B443" s="37">
        <v>40546</v>
      </c>
      <c r="F443">
        <v>6</v>
      </c>
      <c r="G443" t="b">
        <v>0</v>
      </c>
      <c r="H443">
        <v>1</v>
      </c>
      <c r="I443">
        <v>1</v>
      </c>
      <c r="J443">
        <v>0.14000000000000001</v>
      </c>
      <c r="K443">
        <v>40546</v>
      </c>
      <c r="L443">
        <v>0.1061</v>
      </c>
      <c r="M443">
        <v>0.5</v>
      </c>
      <c r="N443">
        <v>0.3881</v>
      </c>
      <c r="O443">
        <v>0</v>
      </c>
      <c r="P443">
        <v>30</v>
      </c>
      <c r="S443" t="s">
        <v>22</v>
      </c>
      <c r="T443" t="s">
        <v>69</v>
      </c>
    </row>
    <row r="444" spans="1:20" x14ac:dyDescent="0.3">
      <c r="A444">
        <v>53</v>
      </c>
      <c r="B444" s="37">
        <v>40546</v>
      </c>
      <c r="F444">
        <v>7</v>
      </c>
      <c r="G444" t="b">
        <v>0</v>
      </c>
      <c r="H444">
        <v>1</v>
      </c>
      <c r="I444">
        <v>1</v>
      </c>
      <c r="J444">
        <v>0.14000000000000001</v>
      </c>
      <c r="K444">
        <v>40546</v>
      </c>
      <c r="L444">
        <v>0.13639999999999999</v>
      </c>
      <c r="M444">
        <v>0.5</v>
      </c>
      <c r="N444">
        <v>0.19400000000000001</v>
      </c>
      <c r="O444">
        <v>1</v>
      </c>
      <c r="P444">
        <v>63</v>
      </c>
      <c r="S444" t="s">
        <v>22</v>
      </c>
      <c r="T444" t="s">
        <v>69</v>
      </c>
    </row>
    <row r="445" spans="1:20" x14ac:dyDescent="0.3">
      <c r="A445">
        <v>54</v>
      </c>
      <c r="B445" s="37">
        <v>40546</v>
      </c>
      <c r="F445">
        <v>8</v>
      </c>
      <c r="G445" t="b">
        <v>0</v>
      </c>
      <c r="H445">
        <v>1</v>
      </c>
      <c r="I445">
        <v>1</v>
      </c>
      <c r="J445">
        <v>0.14000000000000001</v>
      </c>
      <c r="K445">
        <v>40546</v>
      </c>
      <c r="L445">
        <v>0.1212</v>
      </c>
      <c r="M445">
        <v>0.5</v>
      </c>
      <c r="N445">
        <v>0.28360000000000002</v>
      </c>
      <c r="O445">
        <v>1</v>
      </c>
      <c r="P445">
        <v>153</v>
      </c>
      <c r="S445" t="s">
        <v>22</v>
      </c>
      <c r="T445" t="s">
        <v>69</v>
      </c>
    </row>
    <row r="446" spans="1:20" x14ac:dyDescent="0.3">
      <c r="A446">
        <v>55</v>
      </c>
      <c r="B446" s="37">
        <v>40546</v>
      </c>
      <c r="F446">
        <v>9</v>
      </c>
      <c r="G446" t="b">
        <v>0</v>
      </c>
      <c r="H446">
        <v>1</v>
      </c>
      <c r="I446">
        <v>1</v>
      </c>
      <c r="J446">
        <v>0.16</v>
      </c>
      <c r="K446">
        <v>40546</v>
      </c>
      <c r="L446">
        <v>0.13639999999999999</v>
      </c>
      <c r="M446">
        <v>0.43</v>
      </c>
      <c r="N446">
        <v>0.3881</v>
      </c>
      <c r="O446">
        <v>7</v>
      </c>
      <c r="P446">
        <v>81</v>
      </c>
      <c r="S446" t="s">
        <v>22</v>
      </c>
      <c r="T446" t="s">
        <v>69</v>
      </c>
    </row>
    <row r="447" spans="1:20" x14ac:dyDescent="0.3">
      <c r="A447">
        <v>56</v>
      </c>
      <c r="B447" s="37">
        <v>40546</v>
      </c>
      <c r="F447">
        <v>10</v>
      </c>
      <c r="G447" t="b">
        <v>0</v>
      </c>
      <c r="H447">
        <v>1</v>
      </c>
      <c r="I447">
        <v>1</v>
      </c>
      <c r="J447">
        <v>0.18</v>
      </c>
      <c r="K447">
        <v>40546</v>
      </c>
      <c r="L447">
        <v>0.16669999999999999</v>
      </c>
      <c r="M447">
        <v>0.43</v>
      </c>
      <c r="N447">
        <v>0.25369999999999998</v>
      </c>
      <c r="O447">
        <v>11</v>
      </c>
      <c r="P447">
        <v>33</v>
      </c>
      <c r="S447" t="s">
        <v>22</v>
      </c>
      <c r="T447" t="s">
        <v>69</v>
      </c>
    </row>
    <row r="448" spans="1:20" x14ac:dyDescent="0.3">
      <c r="A448">
        <v>57</v>
      </c>
      <c r="B448" s="37">
        <v>40546</v>
      </c>
      <c r="F448">
        <v>11</v>
      </c>
      <c r="G448" t="b">
        <v>0</v>
      </c>
      <c r="H448">
        <v>1</v>
      </c>
      <c r="I448">
        <v>1</v>
      </c>
      <c r="J448">
        <v>0.2</v>
      </c>
      <c r="K448">
        <v>40546</v>
      </c>
      <c r="L448">
        <v>0.18179999999999999</v>
      </c>
      <c r="M448">
        <v>0.4</v>
      </c>
      <c r="N448">
        <v>0.32840000000000003</v>
      </c>
      <c r="O448">
        <v>10</v>
      </c>
      <c r="P448">
        <v>41</v>
      </c>
      <c r="S448" t="s">
        <v>22</v>
      </c>
      <c r="T448" t="s">
        <v>69</v>
      </c>
    </row>
    <row r="449" spans="1:20" x14ac:dyDescent="0.3">
      <c r="A449">
        <v>58</v>
      </c>
      <c r="B449" s="37">
        <v>40546</v>
      </c>
      <c r="F449">
        <v>12</v>
      </c>
      <c r="G449" t="b">
        <v>0</v>
      </c>
      <c r="H449">
        <v>1</v>
      </c>
      <c r="I449">
        <v>1</v>
      </c>
      <c r="J449">
        <v>0.22</v>
      </c>
      <c r="K449">
        <v>40546</v>
      </c>
      <c r="L449">
        <v>0.21210000000000001</v>
      </c>
      <c r="M449">
        <v>0.35</v>
      </c>
      <c r="N449">
        <v>0.29849999999999999</v>
      </c>
      <c r="O449">
        <v>13</v>
      </c>
      <c r="P449">
        <v>48</v>
      </c>
      <c r="S449" t="s">
        <v>22</v>
      </c>
      <c r="T449" t="s">
        <v>69</v>
      </c>
    </row>
    <row r="450" spans="1:20" x14ac:dyDescent="0.3">
      <c r="A450">
        <v>59</v>
      </c>
      <c r="B450" s="37">
        <v>40546</v>
      </c>
      <c r="F450">
        <v>13</v>
      </c>
      <c r="G450" t="b">
        <v>0</v>
      </c>
      <c r="H450">
        <v>1</v>
      </c>
      <c r="I450">
        <v>1</v>
      </c>
      <c r="J450">
        <v>0.24</v>
      </c>
      <c r="K450">
        <v>40546</v>
      </c>
      <c r="L450" t="s">
        <v>37</v>
      </c>
      <c r="M450">
        <v>0.35</v>
      </c>
      <c r="N450">
        <v>0.28360000000000002</v>
      </c>
      <c r="O450">
        <v>8</v>
      </c>
      <c r="P450">
        <v>53</v>
      </c>
      <c r="S450" t="s">
        <v>22</v>
      </c>
      <c r="T450" t="s">
        <v>69</v>
      </c>
    </row>
    <row r="451" spans="1:20" x14ac:dyDescent="0.3">
      <c r="A451">
        <v>60</v>
      </c>
      <c r="B451" s="37">
        <v>40546</v>
      </c>
      <c r="F451">
        <v>14</v>
      </c>
      <c r="G451" t="b">
        <v>0</v>
      </c>
      <c r="H451">
        <v>1</v>
      </c>
      <c r="I451">
        <v>1</v>
      </c>
      <c r="J451">
        <v>0.26</v>
      </c>
      <c r="K451">
        <v>40546</v>
      </c>
      <c r="L451">
        <v>0.2424</v>
      </c>
      <c r="M451">
        <v>0.3</v>
      </c>
      <c r="N451">
        <v>0.28360000000000002</v>
      </c>
      <c r="O451">
        <v>11</v>
      </c>
      <c r="P451">
        <v>66</v>
      </c>
      <c r="S451" t="s">
        <v>22</v>
      </c>
      <c r="T451" t="s">
        <v>69</v>
      </c>
    </row>
    <row r="452" spans="1:20" x14ac:dyDescent="0.3">
      <c r="A452">
        <v>61</v>
      </c>
      <c r="B452" s="37">
        <v>40546</v>
      </c>
      <c r="F452">
        <v>15</v>
      </c>
      <c r="G452" t="b">
        <v>0</v>
      </c>
      <c r="H452">
        <v>1</v>
      </c>
      <c r="I452">
        <v>1</v>
      </c>
      <c r="J452">
        <v>0.26</v>
      </c>
      <c r="K452">
        <v>40546</v>
      </c>
      <c r="L452">
        <v>0.2424</v>
      </c>
      <c r="M452">
        <v>0.3</v>
      </c>
      <c r="N452">
        <v>0.25369999999999998</v>
      </c>
      <c r="O452">
        <v>14</v>
      </c>
      <c r="P452">
        <v>58</v>
      </c>
      <c r="S452" t="s">
        <v>22</v>
      </c>
      <c r="T452" t="s">
        <v>69</v>
      </c>
    </row>
    <row r="453" spans="1:20" x14ac:dyDescent="0.3">
      <c r="A453">
        <v>62</v>
      </c>
      <c r="B453" s="37">
        <v>40546</v>
      </c>
      <c r="F453">
        <v>16</v>
      </c>
      <c r="G453" t="b">
        <v>0</v>
      </c>
      <c r="H453">
        <v>1</v>
      </c>
      <c r="I453">
        <v>1</v>
      </c>
      <c r="J453">
        <v>0.26</v>
      </c>
      <c r="K453">
        <v>40546</v>
      </c>
      <c r="L453">
        <v>0.2424</v>
      </c>
      <c r="M453">
        <v>0.3</v>
      </c>
      <c r="N453">
        <v>0.25369999999999998</v>
      </c>
      <c r="O453">
        <v>9</v>
      </c>
      <c r="P453">
        <v>67</v>
      </c>
      <c r="S453" t="s">
        <v>22</v>
      </c>
      <c r="T453" t="s">
        <v>69</v>
      </c>
    </row>
    <row r="454" spans="1:20" x14ac:dyDescent="0.3">
      <c r="A454">
        <v>63</v>
      </c>
      <c r="B454" s="37">
        <v>40546</v>
      </c>
      <c r="F454">
        <v>17</v>
      </c>
      <c r="G454" t="b">
        <v>0</v>
      </c>
      <c r="H454">
        <v>1</v>
      </c>
      <c r="I454">
        <v>1</v>
      </c>
      <c r="J454">
        <v>0.24</v>
      </c>
      <c r="K454">
        <v>40546</v>
      </c>
      <c r="L454">
        <v>0.2273</v>
      </c>
      <c r="M454">
        <v>0.3</v>
      </c>
      <c r="N454">
        <v>0.22389999999999999</v>
      </c>
      <c r="O454">
        <v>11</v>
      </c>
      <c r="P454">
        <v>146</v>
      </c>
      <c r="S454" t="s">
        <v>22</v>
      </c>
      <c r="T454" t="s">
        <v>69</v>
      </c>
    </row>
    <row r="455" spans="1:20" x14ac:dyDescent="0.3">
      <c r="A455">
        <v>64</v>
      </c>
      <c r="B455" s="37">
        <v>40546</v>
      </c>
      <c r="F455">
        <v>18</v>
      </c>
      <c r="G455" t="b">
        <v>0</v>
      </c>
      <c r="H455">
        <v>1</v>
      </c>
      <c r="I455">
        <v>1</v>
      </c>
      <c r="J455">
        <v>0.24</v>
      </c>
      <c r="K455">
        <v>40546</v>
      </c>
      <c r="L455">
        <v>0.2576</v>
      </c>
      <c r="M455">
        <v>0.32</v>
      </c>
      <c r="N455">
        <v>0.1045</v>
      </c>
      <c r="O455">
        <v>9</v>
      </c>
      <c r="P455">
        <v>148</v>
      </c>
      <c r="S455" t="s">
        <v>22</v>
      </c>
      <c r="T455" t="s">
        <v>69</v>
      </c>
    </row>
    <row r="456" spans="1:20" x14ac:dyDescent="0.3">
      <c r="A456">
        <v>65</v>
      </c>
      <c r="B456" s="37">
        <v>40546</v>
      </c>
      <c r="F456">
        <v>19</v>
      </c>
      <c r="G456" t="b">
        <v>0</v>
      </c>
      <c r="H456">
        <v>1</v>
      </c>
      <c r="I456">
        <v>1</v>
      </c>
      <c r="J456">
        <v>0.2</v>
      </c>
      <c r="K456">
        <v>40546</v>
      </c>
      <c r="L456">
        <v>0.2576</v>
      </c>
      <c r="M456">
        <v>0.47</v>
      </c>
      <c r="N456">
        <v>0</v>
      </c>
      <c r="O456">
        <v>8</v>
      </c>
      <c r="P456">
        <v>102</v>
      </c>
      <c r="S456" t="s">
        <v>22</v>
      </c>
      <c r="T456" t="s">
        <v>29</v>
      </c>
    </row>
    <row r="457" spans="1:20" x14ac:dyDescent="0.3">
      <c r="A457">
        <v>66</v>
      </c>
      <c r="B457" s="37">
        <v>40546</v>
      </c>
      <c r="F457">
        <v>20</v>
      </c>
      <c r="G457" t="b">
        <v>0</v>
      </c>
      <c r="H457">
        <v>1</v>
      </c>
      <c r="I457">
        <v>1</v>
      </c>
      <c r="J457">
        <v>0.2</v>
      </c>
      <c r="K457">
        <v>40546</v>
      </c>
      <c r="L457" t="s">
        <v>37</v>
      </c>
      <c r="M457">
        <v>0.47</v>
      </c>
      <c r="N457">
        <v>0.1045</v>
      </c>
      <c r="O457">
        <v>3</v>
      </c>
      <c r="P457">
        <v>49</v>
      </c>
      <c r="S457" t="s">
        <v>22</v>
      </c>
      <c r="T457" t="s">
        <v>29</v>
      </c>
    </row>
    <row r="458" spans="1:20" x14ac:dyDescent="0.3">
      <c r="A458">
        <v>67</v>
      </c>
      <c r="B458" s="37">
        <v>40546</v>
      </c>
      <c r="F458">
        <v>21</v>
      </c>
      <c r="G458" t="b">
        <v>0</v>
      </c>
      <c r="H458">
        <v>1</v>
      </c>
      <c r="I458">
        <v>1</v>
      </c>
      <c r="J458">
        <v>0.18</v>
      </c>
      <c r="K458">
        <v>40546</v>
      </c>
      <c r="L458">
        <v>0.19700000000000001</v>
      </c>
      <c r="M458">
        <v>0.64</v>
      </c>
      <c r="N458">
        <v>0.1343</v>
      </c>
      <c r="O458">
        <v>3</v>
      </c>
      <c r="P458">
        <v>49</v>
      </c>
      <c r="S458" t="s">
        <v>22</v>
      </c>
      <c r="T458" t="s">
        <v>29</v>
      </c>
    </row>
    <row r="459" spans="1:20" x14ac:dyDescent="0.3">
      <c r="A459">
        <v>68</v>
      </c>
      <c r="B459" s="37">
        <v>40546</v>
      </c>
      <c r="F459">
        <v>22</v>
      </c>
      <c r="G459" t="b">
        <v>0</v>
      </c>
      <c r="H459">
        <v>1</v>
      </c>
      <c r="I459">
        <v>1</v>
      </c>
      <c r="J459">
        <v>0.14000000000000001</v>
      </c>
      <c r="K459">
        <v>40546</v>
      </c>
      <c r="L459">
        <v>0.1515</v>
      </c>
      <c r="M459">
        <v>0.69</v>
      </c>
      <c r="N459">
        <v>0.1343</v>
      </c>
      <c r="O459">
        <v>0</v>
      </c>
      <c r="P459">
        <v>20</v>
      </c>
      <c r="S459" t="s">
        <v>22</v>
      </c>
      <c r="T459" t="s">
        <v>29</v>
      </c>
    </row>
    <row r="460" spans="1:20" x14ac:dyDescent="0.3">
      <c r="A460">
        <v>69</v>
      </c>
      <c r="B460" s="37">
        <v>40546</v>
      </c>
      <c r="F460">
        <v>23</v>
      </c>
      <c r="G460" t="b">
        <v>0</v>
      </c>
      <c r="H460">
        <v>1</v>
      </c>
      <c r="I460">
        <v>1</v>
      </c>
      <c r="J460">
        <v>0.18</v>
      </c>
      <c r="K460">
        <v>40546</v>
      </c>
      <c r="L460">
        <v>0.21210000000000001</v>
      </c>
      <c r="M460">
        <v>0.55000000000000004</v>
      </c>
      <c r="N460">
        <v>0.1045</v>
      </c>
      <c r="O460">
        <v>1</v>
      </c>
      <c r="P460">
        <v>11</v>
      </c>
      <c r="S460" t="s">
        <v>22</v>
      </c>
      <c r="T460" t="s">
        <v>29</v>
      </c>
    </row>
    <row r="461" spans="1:20" x14ac:dyDescent="0.3">
      <c r="A461">
        <v>70</v>
      </c>
      <c r="B461" s="37">
        <v>40547</v>
      </c>
      <c r="F461">
        <v>0</v>
      </c>
      <c r="G461" t="b">
        <v>0</v>
      </c>
      <c r="H461">
        <v>2</v>
      </c>
      <c r="I461">
        <v>1</v>
      </c>
      <c r="J461">
        <v>0.16</v>
      </c>
      <c r="K461">
        <v>40547</v>
      </c>
      <c r="L461" t="s">
        <v>37</v>
      </c>
      <c r="M461">
        <v>0.55000000000000004</v>
      </c>
      <c r="N461">
        <v>0.1045</v>
      </c>
      <c r="O461">
        <v>0</v>
      </c>
      <c r="P461">
        <v>5</v>
      </c>
      <c r="S461" t="s">
        <v>23</v>
      </c>
      <c r="T461" t="s">
        <v>29</v>
      </c>
    </row>
    <row r="462" spans="1:20" x14ac:dyDescent="0.3">
      <c r="A462">
        <v>71</v>
      </c>
      <c r="B462" s="37">
        <v>40547</v>
      </c>
      <c r="F462">
        <v>1</v>
      </c>
      <c r="G462" t="b">
        <v>0</v>
      </c>
      <c r="H462">
        <v>2</v>
      </c>
      <c r="I462">
        <v>1</v>
      </c>
      <c r="J462">
        <v>0.16</v>
      </c>
      <c r="K462">
        <v>40547</v>
      </c>
      <c r="L462">
        <v>0.18179999999999999</v>
      </c>
      <c r="M462">
        <v>0.59</v>
      </c>
      <c r="N462">
        <v>0.1045</v>
      </c>
      <c r="O462">
        <v>0</v>
      </c>
      <c r="P462">
        <v>2</v>
      </c>
      <c r="S462" t="s">
        <v>23</v>
      </c>
      <c r="T462" t="s">
        <v>29</v>
      </c>
    </row>
    <row r="463" spans="1:20" x14ac:dyDescent="0.3">
      <c r="A463">
        <v>72</v>
      </c>
      <c r="B463" s="37">
        <v>40547</v>
      </c>
      <c r="F463">
        <v>2</v>
      </c>
      <c r="G463" t="b">
        <v>0</v>
      </c>
      <c r="H463">
        <v>2</v>
      </c>
      <c r="I463">
        <v>1</v>
      </c>
      <c r="J463">
        <v>0.14000000000000001</v>
      </c>
      <c r="K463">
        <v>40547</v>
      </c>
      <c r="L463">
        <v>0.1515</v>
      </c>
      <c r="M463">
        <v>0.63</v>
      </c>
      <c r="N463">
        <v>0.1343</v>
      </c>
      <c r="O463">
        <v>0</v>
      </c>
      <c r="P463">
        <v>1</v>
      </c>
      <c r="S463" t="s">
        <v>23</v>
      </c>
      <c r="T463" t="s">
        <v>29</v>
      </c>
    </row>
    <row r="464" spans="1:20" x14ac:dyDescent="0.3">
      <c r="A464">
        <v>73</v>
      </c>
      <c r="B464" s="37">
        <v>40547</v>
      </c>
      <c r="F464">
        <v>4</v>
      </c>
      <c r="G464" t="b">
        <v>0</v>
      </c>
      <c r="H464">
        <v>2</v>
      </c>
      <c r="I464">
        <v>1</v>
      </c>
      <c r="J464">
        <v>0.14000000000000001</v>
      </c>
      <c r="K464">
        <v>40547</v>
      </c>
      <c r="L464">
        <v>0.18179999999999999</v>
      </c>
      <c r="M464">
        <v>0.63</v>
      </c>
      <c r="N464">
        <v>8.9599999999999999E-2</v>
      </c>
      <c r="O464">
        <v>0</v>
      </c>
      <c r="P464">
        <v>2</v>
      </c>
      <c r="S464" t="s">
        <v>23</v>
      </c>
      <c r="T464" t="s">
        <v>29</v>
      </c>
    </row>
    <row r="465" spans="1:20" x14ac:dyDescent="0.3">
      <c r="A465">
        <v>74</v>
      </c>
      <c r="B465" s="37">
        <v>40547</v>
      </c>
      <c r="F465">
        <v>5</v>
      </c>
      <c r="G465" t="b">
        <v>0</v>
      </c>
      <c r="H465">
        <v>2</v>
      </c>
      <c r="I465">
        <v>1</v>
      </c>
      <c r="J465">
        <v>0.12</v>
      </c>
      <c r="K465">
        <v>40547</v>
      </c>
      <c r="L465">
        <v>0.1515</v>
      </c>
      <c r="M465">
        <v>0.68</v>
      </c>
      <c r="N465">
        <v>0.1045</v>
      </c>
      <c r="O465">
        <v>0</v>
      </c>
      <c r="P465">
        <v>4</v>
      </c>
      <c r="S465" t="s">
        <v>23</v>
      </c>
      <c r="T465" t="s">
        <v>29</v>
      </c>
    </row>
    <row r="466" spans="1:20" x14ac:dyDescent="0.3">
      <c r="A466">
        <v>75</v>
      </c>
      <c r="B466" s="37">
        <v>40547</v>
      </c>
      <c r="F466">
        <v>6</v>
      </c>
      <c r="G466" t="b">
        <v>0</v>
      </c>
      <c r="H466">
        <v>2</v>
      </c>
      <c r="I466">
        <v>1</v>
      </c>
      <c r="J466">
        <v>0.12</v>
      </c>
      <c r="K466">
        <v>40547</v>
      </c>
      <c r="L466">
        <v>0.1515</v>
      </c>
      <c r="M466">
        <v>0.74</v>
      </c>
      <c r="N466">
        <v>0.1045</v>
      </c>
      <c r="O466">
        <v>0</v>
      </c>
      <c r="P466">
        <v>36</v>
      </c>
      <c r="S466" t="s">
        <v>23</v>
      </c>
      <c r="T466" t="s">
        <v>69</v>
      </c>
    </row>
    <row r="467" spans="1:20" x14ac:dyDescent="0.3">
      <c r="A467">
        <v>76</v>
      </c>
      <c r="B467" s="37">
        <v>40547</v>
      </c>
      <c r="F467">
        <v>7</v>
      </c>
      <c r="G467" t="b">
        <v>0</v>
      </c>
      <c r="H467">
        <v>2</v>
      </c>
      <c r="I467">
        <v>1</v>
      </c>
      <c r="J467">
        <v>0.12</v>
      </c>
      <c r="K467">
        <v>40547</v>
      </c>
      <c r="L467">
        <v>0.1515</v>
      </c>
      <c r="M467">
        <v>0.74</v>
      </c>
      <c r="N467">
        <v>0.1343</v>
      </c>
      <c r="O467">
        <v>2</v>
      </c>
      <c r="P467">
        <v>92</v>
      </c>
      <c r="S467" t="s">
        <v>23</v>
      </c>
      <c r="T467" t="s">
        <v>69</v>
      </c>
    </row>
    <row r="468" spans="1:20" x14ac:dyDescent="0.3">
      <c r="A468">
        <v>77</v>
      </c>
      <c r="B468" s="37">
        <v>40547</v>
      </c>
      <c r="F468">
        <v>8</v>
      </c>
      <c r="G468" t="b">
        <v>0</v>
      </c>
      <c r="H468">
        <v>2</v>
      </c>
      <c r="I468">
        <v>1</v>
      </c>
      <c r="J468">
        <v>0.14000000000000001</v>
      </c>
      <c r="K468">
        <v>40547</v>
      </c>
      <c r="L468">
        <v>0.1515</v>
      </c>
      <c r="M468">
        <v>0.69</v>
      </c>
      <c r="N468">
        <v>0.16420000000000001</v>
      </c>
      <c r="O468">
        <v>2</v>
      </c>
      <c r="P468">
        <v>177</v>
      </c>
      <c r="S468" t="s">
        <v>23</v>
      </c>
      <c r="T468" t="s">
        <v>69</v>
      </c>
    </row>
    <row r="469" spans="1:20" x14ac:dyDescent="0.3">
      <c r="A469">
        <v>78</v>
      </c>
      <c r="B469" s="37">
        <v>40547</v>
      </c>
      <c r="F469">
        <v>9</v>
      </c>
      <c r="G469" t="b">
        <v>0</v>
      </c>
      <c r="H469">
        <v>2</v>
      </c>
      <c r="I469">
        <v>1</v>
      </c>
      <c r="J469">
        <v>0.16</v>
      </c>
      <c r="K469">
        <v>40547</v>
      </c>
      <c r="L469">
        <v>0.1515</v>
      </c>
      <c r="M469">
        <v>0.64</v>
      </c>
      <c r="N469">
        <v>0.22389999999999999</v>
      </c>
      <c r="O469">
        <v>2</v>
      </c>
      <c r="P469">
        <v>98</v>
      </c>
      <c r="S469" t="s">
        <v>23</v>
      </c>
      <c r="T469" t="s">
        <v>69</v>
      </c>
    </row>
    <row r="470" spans="1:20" x14ac:dyDescent="0.3">
      <c r="A470">
        <v>79</v>
      </c>
      <c r="B470" s="37">
        <v>40547</v>
      </c>
      <c r="F470">
        <v>10</v>
      </c>
      <c r="G470" t="b">
        <v>0</v>
      </c>
      <c r="H470">
        <v>2</v>
      </c>
      <c r="I470">
        <v>2</v>
      </c>
      <c r="J470">
        <v>0.16</v>
      </c>
      <c r="K470">
        <v>40547</v>
      </c>
      <c r="L470">
        <v>0.13639999999999999</v>
      </c>
      <c r="M470">
        <v>0.69</v>
      </c>
      <c r="N470">
        <v>0.32840000000000003</v>
      </c>
      <c r="O470">
        <v>5</v>
      </c>
      <c r="P470">
        <v>37</v>
      </c>
      <c r="S470" t="s">
        <v>23</v>
      </c>
      <c r="T470" t="s">
        <v>69</v>
      </c>
    </row>
    <row r="471" spans="1:20" x14ac:dyDescent="0.3">
      <c r="A471">
        <v>80</v>
      </c>
      <c r="B471" s="37">
        <v>40547</v>
      </c>
      <c r="F471">
        <v>11</v>
      </c>
      <c r="G471" t="b">
        <v>0</v>
      </c>
      <c r="H471">
        <v>2</v>
      </c>
      <c r="I471">
        <v>1</v>
      </c>
      <c r="J471">
        <v>0.22</v>
      </c>
      <c r="K471">
        <v>40547</v>
      </c>
      <c r="L471">
        <v>0.21210000000000001</v>
      </c>
      <c r="M471">
        <v>0.51</v>
      </c>
      <c r="N471">
        <v>0.29849999999999999</v>
      </c>
      <c r="O471">
        <v>7</v>
      </c>
      <c r="P471">
        <v>50</v>
      </c>
      <c r="S471" t="s">
        <v>23</v>
      </c>
      <c r="T471" t="s">
        <v>69</v>
      </c>
    </row>
    <row r="472" spans="1:20" x14ac:dyDescent="0.3">
      <c r="A472">
        <v>81</v>
      </c>
      <c r="B472" s="37">
        <v>40547</v>
      </c>
      <c r="F472">
        <v>12</v>
      </c>
      <c r="G472" t="b">
        <v>0</v>
      </c>
      <c r="H472">
        <v>2</v>
      </c>
      <c r="I472">
        <v>1</v>
      </c>
      <c r="J472">
        <v>0.22</v>
      </c>
      <c r="K472">
        <v>40547</v>
      </c>
      <c r="L472">
        <v>0.2273</v>
      </c>
      <c r="M472">
        <v>0.51</v>
      </c>
      <c r="N472">
        <v>0.16420000000000001</v>
      </c>
      <c r="O472">
        <v>12</v>
      </c>
      <c r="P472">
        <v>66</v>
      </c>
      <c r="S472" t="s">
        <v>23</v>
      </c>
      <c r="T472" t="s">
        <v>69</v>
      </c>
    </row>
    <row r="473" spans="1:20" x14ac:dyDescent="0.3">
      <c r="A473">
        <v>82</v>
      </c>
      <c r="B473" s="37">
        <v>40547</v>
      </c>
      <c r="F473">
        <v>13</v>
      </c>
      <c r="G473" t="b">
        <v>0</v>
      </c>
      <c r="H473">
        <v>2</v>
      </c>
      <c r="I473">
        <v>1</v>
      </c>
      <c r="J473">
        <v>0.24</v>
      </c>
      <c r="K473">
        <v>40547</v>
      </c>
      <c r="L473">
        <v>0.2273</v>
      </c>
      <c r="M473">
        <v>0.56000000000000005</v>
      </c>
      <c r="N473">
        <v>0.19400000000000001</v>
      </c>
      <c r="O473">
        <v>18</v>
      </c>
      <c r="P473">
        <v>79</v>
      </c>
      <c r="S473" t="s">
        <v>23</v>
      </c>
      <c r="T473" t="s">
        <v>69</v>
      </c>
    </row>
    <row r="474" spans="1:20" x14ac:dyDescent="0.3">
      <c r="A474">
        <v>83</v>
      </c>
      <c r="B474" s="37">
        <v>40547</v>
      </c>
      <c r="F474">
        <v>14</v>
      </c>
      <c r="G474" t="b">
        <v>0</v>
      </c>
      <c r="H474">
        <v>2</v>
      </c>
      <c r="I474">
        <v>1</v>
      </c>
      <c r="J474">
        <v>0.26</v>
      </c>
      <c r="K474">
        <v>40547</v>
      </c>
      <c r="L474">
        <v>0.2576</v>
      </c>
      <c r="M474">
        <v>0.52</v>
      </c>
      <c r="N474">
        <v>0.22389999999999999</v>
      </c>
      <c r="O474">
        <v>9</v>
      </c>
      <c r="P474">
        <v>54</v>
      </c>
      <c r="S474" t="s">
        <v>23</v>
      </c>
      <c r="T474" t="s">
        <v>69</v>
      </c>
    </row>
    <row r="475" spans="1:20" x14ac:dyDescent="0.3">
      <c r="A475">
        <v>84</v>
      </c>
      <c r="B475" s="37">
        <v>40547</v>
      </c>
      <c r="F475">
        <v>15</v>
      </c>
      <c r="G475" t="b">
        <v>0</v>
      </c>
      <c r="H475">
        <v>2</v>
      </c>
      <c r="I475">
        <v>1</v>
      </c>
      <c r="J475">
        <v>0.28000000000000003</v>
      </c>
      <c r="K475">
        <v>40547</v>
      </c>
      <c r="L475">
        <v>0.2727</v>
      </c>
      <c r="M475">
        <v>0.52</v>
      </c>
      <c r="N475">
        <v>0.25369999999999998</v>
      </c>
      <c r="O475">
        <v>17</v>
      </c>
      <c r="P475">
        <v>48</v>
      </c>
      <c r="S475" t="s">
        <v>23</v>
      </c>
      <c r="T475" t="s">
        <v>69</v>
      </c>
    </row>
    <row r="476" spans="1:20" x14ac:dyDescent="0.3">
      <c r="A476">
        <v>85</v>
      </c>
      <c r="B476" s="37">
        <v>40547</v>
      </c>
      <c r="F476">
        <v>16</v>
      </c>
      <c r="G476" t="b">
        <v>0</v>
      </c>
      <c r="H476">
        <v>2</v>
      </c>
      <c r="I476">
        <v>1</v>
      </c>
      <c r="J476">
        <v>0.3</v>
      </c>
      <c r="K476">
        <v>40547</v>
      </c>
      <c r="L476">
        <v>0.28789999999999999</v>
      </c>
      <c r="M476">
        <v>0.49</v>
      </c>
      <c r="N476">
        <v>0.25369999999999998</v>
      </c>
      <c r="O476">
        <v>15</v>
      </c>
      <c r="P476">
        <v>68</v>
      </c>
      <c r="S476" t="s">
        <v>23</v>
      </c>
      <c r="T476" t="s">
        <v>69</v>
      </c>
    </row>
    <row r="477" spans="1:20" x14ac:dyDescent="0.3">
      <c r="A477">
        <v>86</v>
      </c>
      <c r="B477" s="37">
        <v>40547</v>
      </c>
      <c r="F477">
        <v>17</v>
      </c>
      <c r="G477" t="b">
        <v>0</v>
      </c>
      <c r="H477">
        <v>2</v>
      </c>
      <c r="I477">
        <v>1</v>
      </c>
      <c r="J477">
        <v>0.28000000000000003</v>
      </c>
      <c r="K477">
        <v>40547</v>
      </c>
      <c r="L477">
        <v>0.2727</v>
      </c>
      <c r="M477">
        <v>0.48</v>
      </c>
      <c r="N477">
        <v>0.22389999999999999</v>
      </c>
      <c r="O477">
        <v>10</v>
      </c>
      <c r="P477">
        <v>202</v>
      </c>
      <c r="S477" t="s">
        <v>23</v>
      </c>
      <c r="T477" t="s">
        <v>69</v>
      </c>
    </row>
    <row r="478" spans="1:20" x14ac:dyDescent="0.3">
      <c r="A478">
        <v>87</v>
      </c>
      <c r="B478" s="37">
        <v>40547</v>
      </c>
      <c r="F478">
        <v>18</v>
      </c>
      <c r="G478" t="b">
        <v>0</v>
      </c>
      <c r="H478">
        <v>2</v>
      </c>
      <c r="I478">
        <v>1</v>
      </c>
      <c r="J478">
        <v>0.26</v>
      </c>
      <c r="K478">
        <v>40547</v>
      </c>
      <c r="L478">
        <v>0.2576</v>
      </c>
      <c r="M478">
        <v>0.48</v>
      </c>
      <c r="N478">
        <v>0.19400000000000001</v>
      </c>
      <c r="O478">
        <v>3</v>
      </c>
      <c r="P478">
        <v>179</v>
      </c>
      <c r="S478" t="s">
        <v>23</v>
      </c>
      <c r="T478" t="s">
        <v>69</v>
      </c>
    </row>
    <row r="479" spans="1:20" x14ac:dyDescent="0.3">
      <c r="A479">
        <v>88</v>
      </c>
      <c r="B479" s="37">
        <v>40547</v>
      </c>
      <c r="F479">
        <v>19</v>
      </c>
      <c r="G479" t="b">
        <v>0</v>
      </c>
      <c r="H479">
        <v>2</v>
      </c>
      <c r="I479">
        <v>1</v>
      </c>
      <c r="J479">
        <v>0.24</v>
      </c>
      <c r="K479">
        <v>40547</v>
      </c>
      <c r="L479">
        <v>0.2576</v>
      </c>
      <c r="M479">
        <v>0.48</v>
      </c>
      <c r="N479">
        <v>0.1045</v>
      </c>
      <c r="O479">
        <v>2</v>
      </c>
      <c r="P479">
        <v>110</v>
      </c>
      <c r="S479" t="s">
        <v>23</v>
      </c>
      <c r="T479" t="s">
        <v>29</v>
      </c>
    </row>
    <row r="480" spans="1:20" x14ac:dyDescent="0.3">
      <c r="A480">
        <v>89</v>
      </c>
      <c r="B480" s="37">
        <v>40547</v>
      </c>
      <c r="F480">
        <v>20</v>
      </c>
      <c r="G480" t="b">
        <v>0</v>
      </c>
      <c r="H480">
        <v>2</v>
      </c>
      <c r="I480">
        <v>1</v>
      </c>
      <c r="J480">
        <v>0.24</v>
      </c>
      <c r="K480">
        <v>40547</v>
      </c>
      <c r="L480">
        <v>0.2576</v>
      </c>
      <c r="M480">
        <v>0.48</v>
      </c>
      <c r="N480">
        <v>0.1045</v>
      </c>
      <c r="O480">
        <v>1</v>
      </c>
      <c r="P480">
        <v>53</v>
      </c>
      <c r="S480" t="s">
        <v>23</v>
      </c>
      <c r="T480" t="s">
        <v>29</v>
      </c>
    </row>
    <row r="481" spans="1:20" x14ac:dyDescent="0.3">
      <c r="A481">
        <v>90</v>
      </c>
      <c r="B481" s="37">
        <v>40547</v>
      </c>
      <c r="F481">
        <v>21</v>
      </c>
      <c r="G481" t="b">
        <v>0</v>
      </c>
      <c r="H481">
        <v>2</v>
      </c>
      <c r="I481">
        <v>1</v>
      </c>
      <c r="J481">
        <v>0.22</v>
      </c>
      <c r="K481">
        <v>40547</v>
      </c>
      <c r="L481">
        <v>0.2727</v>
      </c>
      <c r="M481">
        <v>0.64</v>
      </c>
      <c r="N481">
        <v>0</v>
      </c>
      <c r="O481">
        <v>0</v>
      </c>
      <c r="P481">
        <v>48</v>
      </c>
      <c r="S481" t="s">
        <v>23</v>
      </c>
      <c r="T481" t="s">
        <v>29</v>
      </c>
    </row>
    <row r="482" spans="1:20" x14ac:dyDescent="0.3">
      <c r="A482">
        <v>91</v>
      </c>
      <c r="B482" s="37">
        <v>40547</v>
      </c>
      <c r="F482">
        <v>22</v>
      </c>
      <c r="G482" t="b">
        <v>0</v>
      </c>
      <c r="H482">
        <v>2</v>
      </c>
      <c r="I482">
        <v>1</v>
      </c>
      <c r="J482">
        <v>0.22</v>
      </c>
      <c r="K482">
        <v>40547</v>
      </c>
      <c r="L482">
        <v>0.2576</v>
      </c>
      <c r="M482">
        <v>0.64</v>
      </c>
      <c r="N482">
        <v>8.9599999999999999E-2</v>
      </c>
      <c r="O482">
        <v>1</v>
      </c>
      <c r="P482">
        <v>34</v>
      </c>
      <c r="S482" t="s">
        <v>23</v>
      </c>
      <c r="T482" t="s">
        <v>29</v>
      </c>
    </row>
    <row r="483" spans="1:20" x14ac:dyDescent="0.3">
      <c r="A483">
        <v>92</v>
      </c>
      <c r="B483" s="37">
        <v>40547</v>
      </c>
      <c r="F483">
        <v>23</v>
      </c>
      <c r="G483" t="b">
        <v>0</v>
      </c>
      <c r="H483">
        <v>2</v>
      </c>
      <c r="I483">
        <v>1</v>
      </c>
      <c r="J483">
        <v>0.2</v>
      </c>
      <c r="K483">
        <v>40547</v>
      </c>
      <c r="L483">
        <v>0.2273</v>
      </c>
      <c r="M483">
        <v>0.69</v>
      </c>
      <c r="N483">
        <v>8.9599999999999999E-2</v>
      </c>
      <c r="O483">
        <v>2</v>
      </c>
      <c r="P483">
        <v>9</v>
      </c>
      <c r="S483" t="s">
        <v>23</v>
      </c>
      <c r="T483" t="s">
        <v>29</v>
      </c>
    </row>
    <row r="484" spans="1:20" x14ac:dyDescent="0.3">
      <c r="A484">
        <v>93</v>
      </c>
      <c r="B484" s="37">
        <v>40548</v>
      </c>
      <c r="F484">
        <v>0</v>
      </c>
      <c r="G484" t="b">
        <v>0</v>
      </c>
      <c r="H484">
        <v>3</v>
      </c>
      <c r="I484">
        <v>1</v>
      </c>
      <c r="J484">
        <v>0.2</v>
      </c>
      <c r="K484">
        <v>40548</v>
      </c>
      <c r="L484">
        <v>0.2576</v>
      </c>
      <c r="M484">
        <v>0.64</v>
      </c>
      <c r="N484">
        <v>0</v>
      </c>
      <c r="O484">
        <v>0</v>
      </c>
      <c r="P484">
        <v>6</v>
      </c>
      <c r="S484" t="s">
        <v>24</v>
      </c>
      <c r="T484" t="s">
        <v>29</v>
      </c>
    </row>
    <row r="485" spans="1:20" x14ac:dyDescent="0.3">
      <c r="A485">
        <v>94</v>
      </c>
      <c r="B485" s="37">
        <v>40548</v>
      </c>
      <c r="F485">
        <v>1</v>
      </c>
      <c r="G485" t="b">
        <v>0</v>
      </c>
      <c r="H485">
        <v>3</v>
      </c>
      <c r="I485">
        <v>1</v>
      </c>
      <c r="J485">
        <v>0.16</v>
      </c>
      <c r="K485">
        <v>40548</v>
      </c>
      <c r="L485">
        <v>0.19700000000000001</v>
      </c>
      <c r="M485">
        <v>0.74</v>
      </c>
      <c r="N485">
        <v>8.9599999999999999E-2</v>
      </c>
      <c r="O485">
        <v>0</v>
      </c>
      <c r="P485">
        <v>6</v>
      </c>
      <c r="S485" t="s">
        <v>24</v>
      </c>
      <c r="T485" t="s">
        <v>29</v>
      </c>
    </row>
    <row r="486" spans="1:20" x14ac:dyDescent="0.3">
      <c r="A486">
        <v>95</v>
      </c>
      <c r="B486" s="37">
        <v>40548</v>
      </c>
      <c r="F486">
        <v>2</v>
      </c>
      <c r="G486" t="b">
        <v>0</v>
      </c>
      <c r="H486">
        <v>3</v>
      </c>
      <c r="I486">
        <v>1</v>
      </c>
      <c r="J486">
        <v>0.16</v>
      </c>
      <c r="K486">
        <v>40548</v>
      </c>
      <c r="L486">
        <v>0.19700000000000001</v>
      </c>
      <c r="M486">
        <v>0.74</v>
      </c>
      <c r="N486">
        <v>8.9599999999999999E-2</v>
      </c>
      <c r="O486">
        <v>0</v>
      </c>
      <c r="P486">
        <v>2</v>
      </c>
      <c r="S486" t="s">
        <v>24</v>
      </c>
      <c r="T486" t="s">
        <v>29</v>
      </c>
    </row>
    <row r="487" spans="1:20" x14ac:dyDescent="0.3">
      <c r="A487">
        <v>96</v>
      </c>
      <c r="B487" s="37">
        <v>40548</v>
      </c>
      <c r="F487">
        <v>4</v>
      </c>
      <c r="G487" t="b">
        <v>0</v>
      </c>
      <c r="H487">
        <v>3</v>
      </c>
      <c r="I487">
        <v>1</v>
      </c>
      <c r="J487">
        <v>0.24</v>
      </c>
      <c r="K487">
        <v>40548</v>
      </c>
      <c r="L487">
        <v>0.2273</v>
      </c>
      <c r="M487">
        <v>0.48</v>
      </c>
      <c r="N487">
        <v>0.22389999999999999</v>
      </c>
      <c r="O487">
        <v>0</v>
      </c>
      <c r="P487">
        <v>2</v>
      </c>
      <c r="S487" t="s">
        <v>24</v>
      </c>
      <c r="T487" t="s">
        <v>29</v>
      </c>
    </row>
    <row r="488" spans="1:20" x14ac:dyDescent="0.3">
      <c r="A488">
        <v>97</v>
      </c>
      <c r="B488" s="37">
        <v>40548</v>
      </c>
      <c r="F488">
        <v>5</v>
      </c>
      <c r="G488" t="b">
        <v>0</v>
      </c>
      <c r="H488">
        <v>3</v>
      </c>
      <c r="I488">
        <v>1</v>
      </c>
      <c r="J488">
        <v>0.22</v>
      </c>
      <c r="K488">
        <v>40548</v>
      </c>
      <c r="L488">
        <v>0.2273</v>
      </c>
      <c r="M488">
        <v>0.47</v>
      </c>
      <c r="N488">
        <v>0.16420000000000001</v>
      </c>
      <c r="O488">
        <v>0</v>
      </c>
      <c r="P488">
        <v>3</v>
      </c>
      <c r="S488" t="s">
        <v>24</v>
      </c>
      <c r="T488" t="s">
        <v>29</v>
      </c>
    </row>
    <row r="489" spans="1:20" x14ac:dyDescent="0.3">
      <c r="A489">
        <v>98</v>
      </c>
      <c r="B489" s="37">
        <v>40548</v>
      </c>
      <c r="F489">
        <v>6</v>
      </c>
      <c r="G489" t="b">
        <v>0</v>
      </c>
      <c r="H489">
        <v>3</v>
      </c>
      <c r="I489">
        <v>1</v>
      </c>
      <c r="J489">
        <v>0.2</v>
      </c>
      <c r="K489">
        <v>40548</v>
      </c>
      <c r="L489">
        <v>0.19700000000000001</v>
      </c>
      <c r="M489">
        <v>0.47</v>
      </c>
      <c r="N489">
        <v>0.22389999999999999</v>
      </c>
      <c r="O489">
        <v>0</v>
      </c>
      <c r="P489">
        <v>33</v>
      </c>
      <c r="S489" t="s">
        <v>24</v>
      </c>
      <c r="T489" t="s">
        <v>69</v>
      </c>
    </row>
    <row r="490" spans="1:20" x14ac:dyDescent="0.3">
      <c r="A490">
        <v>99</v>
      </c>
      <c r="B490" s="37">
        <v>40548</v>
      </c>
      <c r="F490">
        <v>7</v>
      </c>
      <c r="G490" t="b">
        <v>0</v>
      </c>
      <c r="H490">
        <v>3</v>
      </c>
      <c r="I490">
        <v>1</v>
      </c>
      <c r="J490">
        <v>0.18</v>
      </c>
      <c r="K490">
        <v>40548</v>
      </c>
      <c r="L490">
        <v>0.18179999999999999</v>
      </c>
      <c r="M490">
        <v>0.43</v>
      </c>
      <c r="N490">
        <v>0.19400000000000001</v>
      </c>
      <c r="O490">
        <v>1</v>
      </c>
      <c r="P490">
        <v>87</v>
      </c>
      <c r="S490" t="s">
        <v>24</v>
      </c>
      <c r="T490" t="s">
        <v>69</v>
      </c>
    </row>
    <row r="491" spans="1:20" x14ac:dyDescent="0.3">
      <c r="A491">
        <v>100</v>
      </c>
      <c r="B491" s="37">
        <v>40548</v>
      </c>
      <c r="F491">
        <v>8</v>
      </c>
      <c r="G491" t="b">
        <v>0</v>
      </c>
      <c r="H491">
        <v>3</v>
      </c>
      <c r="I491">
        <v>1</v>
      </c>
      <c r="J491">
        <v>0.2</v>
      </c>
      <c r="K491">
        <v>40548</v>
      </c>
      <c r="L491">
        <v>0.18179999999999999</v>
      </c>
      <c r="M491">
        <v>0.4</v>
      </c>
      <c r="N491">
        <v>0.29849999999999999</v>
      </c>
      <c r="O491">
        <v>3</v>
      </c>
      <c r="P491">
        <v>192</v>
      </c>
      <c r="S491" t="s">
        <v>24</v>
      </c>
      <c r="T491" t="s">
        <v>69</v>
      </c>
    </row>
    <row r="492" spans="1:20" x14ac:dyDescent="0.3">
      <c r="A492">
        <v>101</v>
      </c>
      <c r="B492" s="37">
        <v>40548</v>
      </c>
      <c r="F492">
        <v>9</v>
      </c>
      <c r="G492" t="b">
        <v>0</v>
      </c>
      <c r="H492">
        <v>3</v>
      </c>
      <c r="I492">
        <v>1</v>
      </c>
      <c r="J492">
        <v>0.22</v>
      </c>
      <c r="K492">
        <v>40548</v>
      </c>
      <c r="L492">
        <v>0.19700000000000001</v>
      </c>
      <c r="M492">
        <v>0.37</v>
      </c>
      <c r="N492">
        <v>0.32840000000000003</v>
      </c>
      <c r="O492">
        <v>6</v>
      </c>
      <c r="P492">
        <v>109</v>
      </c>
      <c r="S492" t="s">
        <v>24</v>
      </c>
      <c r="T492" t="s">
        <v>69</v>
      </c>
    </row>
    <row r="493" spans="1:20" x14ac:dyDescent="0.3">
      <c r="A493">
        <v>102</v>
      </c>
      <c r="B493" s="37">
        <v>40548</v>
      </c>
      <c r="F493">
        <v>10</v>
      </c>
      <c r="G493" t="b">
        <v>0</v>
      </c>
      <c r="H493">
        <v>3</v>
      </c>
      <c r="I493">
        <v>1</v>
      </c>
      <c r="J493">
        <v>0.22</v>
      </c>
      <c r="K493">
        <v>40548</v>
      </c>
      <c r="L493">
        <v>0.19700000000000001</v>
      </c>
      <c r="M493">
        <v>0.37</v>
      </c>
      <c r="N493">
        <v>0.32840000000000003</v>
      </c>
      <c r="O493">
        <v>4</v>
      </c>
      <c r="P493">
        <v>53</v>
      </c>
      <c r="S493" t="s">
        <v>24</v>
      </c>
      <c r="T493" t="s">
        <v>69</v>
      </c>
    </row>
    <row r="494" spans="1:20" x14ac:dyDescent="0.3">
      <c r="A494">
        <v>103</v>
      </c>
      <c r="B494" s="37">
        <v>40548</v>
      </c>
      <c r="F494">
        <v>11</v>
      </c>
      <c r="G494" t="b">
        <v>0</v>
      </c>
      <c r="H494">
        <v>3</v>
      </c>
      <c r="I494">
        <v>1</v>
      </c>
      <c r="J494">
        <v>0.26</v>
      </c>
      <c r="K494">
        <v>40548</v>
      </c>
      <c r="L494">
        <v>0.2273</v>
      </c>
      <c r="M494">
        <v>0.33</v>
      </c>
      <c r="N494">
        <v>0.32840000000000003</v>
      </c>
      <c r="O494">
        <v>12</v>
      </c>
      <c r="P494">
        <v>34</v>
      </c>
      <c r="S494" t="s">
        <v>24</v>
      </c>
      <c r="T494" t="s">
        <v>69</v>
      </c>
    </row>
    <row r="495" spans="1:20" x14ac:dyDescent="0.3">
      <c r="A495">
        <v>104</v>
      </c>
      <c r="B495" s="37">
        <v>40548</v>
      </c>
      <c r="F495">
        <v>12</v>
      </c>
      <c r="G495" t="b">
        <v>0</v>
      </c>
      <c r="H495">
        <v>3</v>
      </c>
      <c r="I495">
        <v>1</v>
      </c>
      <c r="J495">
        <v>0.26</v>
      </c>
      <c r="K495">
        <v>40548</v>
      </c>
      <c r="L495">
        <v>0.2273</v>
      </c>
      <c r="M495">
        <v>0.33</v>
      </c>
      <c r="N495">
        <v>0.32840000000000003</v>
      </c>
      <c r="O495">
        <v>5</v>
      </c>
      <c r="P495">
        <v>74</v>
      </c>
      <c r="S495" t="s">
        <v>24</v>
      </c>
      <c r="T495" t="s">
        <v>69</v>
      </c>
    </row>
    <row r="496" spans="1:20" x14ac:dyDescent="0.3">
      <c r="A496">
        <v>105</v>
      </c>
      <c r="B496" s="37">
        <v>40548</v>
      </c>
      <c r="F496">
        <v>13</v>
      </c>
      <c r="G496" t="b">
        <v>0</v>
      </c>
      <c r="H496">
        <v>3</v>
      </c>
      <c r="I496">
        <v>1</v>
      </c>
      <c r="J496">
        <v>0.28000000000000003</v>
      </c>
      <c r="K496">
        <v>40548</v>
      </c>
      <c r="L496">
        <v>0.2576</v>
      </c>
      <c r="M496">
        <v>0.3</v>
      </c>
      <c r="N496">
        <v>0.29849999999999999</v>
      </c>
      <c r="O496">
        <v>6</v>
      </c>
      <c r="P496">
        <v>65</v>
      </c>
      <c r="S496" t="s">
        <v>24</v>
      </c>
      <c r="T496" t="s">
        <v>69</v>
      </c>
    </row>
    <row r="497" spans="1:20" x14ac:dyDescent="0.3">
      <c r="A497">
        <v>106</v>
      </c>
      <c r="B497" s="37">
        <v>40548</v>
      </c>
      <c r="F497">
        <v>14</v>
      </c>
      <c r="G497" t="b">
        <v>0</v>
      </c>
      <c r="H497">
        <v>3</v>
      </c>
      <c r="I497">
        <v>1</v>
      </c>
      <c r="J497">
        <v>0.3</v>
      </c>
      <c r="K497">
        <v>40548</v>
      </c>
      <c r="L497">
        <v>0.28789999999999999</v>
      </c>
      <c r="M497">
        <v>0.28000000000000003</v>
      </c>
      <c r="N497">
        <v>0.19400000000000001</v>
      </c>
      <c r="O497">
        <v>10</v>
      </c>
      <c r="P497">
        <v>52</v>
      </c>
      <c r="S497" t="s">
        <v>24</v>
      </c>
      <c r="T497" t="s">
        <v>69</v>
      </c>
    </row>
    <row r="498" spans="1:20" x14ac:dyDescent="0.3">
      <c r="A498">
        <v>107</v>
      </c>
      <c r="B498" s="37">
        <v>40548</v>
      </c>
      <c r="F498">
        <v>15</v>
      </c>
      <c r="G498" t="b">
        <v>0</v>
      </c>
      <c r="H498">
        <v>3</v>
      </c>
      <c r="I498">
        <v>1</v>
      </c>
      <c r="J498">
        <v>0.3</v>
      </c>
      <c r="K498">
        <v>40548</v>
      </c>
      <c r="L498">
        <v>0.28789999999999999</v>
      </c>
      <c r="M498">
        <v>0.28000000000000003</v>
      </c>
      <c r="N498">
        <v>0.19400000000000001</v>
      </c>
      <c r="O498">
        <v>7</v>
      </c>
      <c r="P498">
        <v>55</v>
      </c>
      <c r="S498" t="s">
        <v>24</v>
      </c>
      <c r="T498" t="s">
        <v>69</v>
      </c>
    </row>
    <row r="499" spans="1:20" x14ac:dyDescent="0.3">
      <c r="A499">
        <v>108</v>
      </c>
      <c r="B499" s="37">
        <v>40548</v>
      </c>
      <c r="F499">
        <v>16</v>
      </c>
      <c r="G499" t="b">
        <v>0</v>
      </c>
      <c r="H499">
        <v>3</v>
      </c>
      <c r="I499">
        <v>1</v>
      </c>
      <c r="J499">
        <v>0.3</v>
      </c>
      <c r="K499">
        <v>40548</v>
      </c>
      <c r="L499">
        <v>0.31819999999999998</v>
      </c>
      <c r="M499">
        <v>0.28000000000000003</v>
      </c>
      <c r="N499">
        <v>8.9599999999999999E-2</v>
      </c>
      <c r="O499">
        <v>4</v>
      </c>
      <c r="P499">
        <v>85</v>
      </c>
      <c r="S499" t="s">
        <v>24</v>
      </c>
      <c r="T499" t="s">
        <v>69</v>
      </c>
    </row>
    <row r="500" spans="1:20" x14ac:dyDescent="0.3">
      <c r="A500">
        <v>109</v>
      </c>
      <c r="B500" s="37">
        <v>40548</v>
      </c>
      <c r="F500">
        <v>17</v>
      </c>
      <c r="G500" t="b">
        <v>0</v>
      </c>
      <c r="H500">
        <v>3</v>
      </c>
      <c r="I500">
        <v>1</v>
      </c>
      <c r="J500">
        <v>0.24</v>
      </c>
      <c r="K500">
        <v>40548</v>
      </c>
      <c r="L500">
        <v>0.2273</v>
      </c>
      <c r="M500">
        <v>0.38</v>
      </c>
      <c r="N500">
        <v>0.19400000000000001</v>
      </c>
      <c r="O500">
        <v>4</v>
      </c>
      <c r="P500">
        <v>186</v>
      </c>
      <c r="S500" t="s">
        <v>24</v>
      </c>
      <c r="T500" t="s">
        <v>69</v>
      </c>
    </row>
    <row r="501" spans="1:20" x14ac:dyDescent="0.3">
      <c r="A501">
        <v>110</v>
      </c>
      <c r="B501" s="37">
        <v>40548</v>
      </c>
      <c r="F501">
        <v>18</v>
      </c>
      <c r="G501" t="b">
        <v>0</v>
      </c>
      <c r="H501">
        <v>3</v>
      </c>
      <c r="I501">
        <v>1</v>
      </c>
      <c r="J501">
        <v>0.24</v>
      </c>
      <c r="K501">
        <v>40548</v>
      </c>
      <c r="L501">
        <v>0.2424</v>
      </c>
      <c r="M501">
        <v>0.38</v>
      </c>
      <c r="N501">
        <v>0.1343</v>
      </c>
      <c r="O501">
        <v>3</v>
      </c>
      <c r="P501">
        <v>166</v>
      </c>
      <c r="S501" t="s">
        <v>24</v>
      </c>
      <c r="T501" t="s">
        <v>69</v>
      </c>
    </row>
    <row r="502" spans="1:20" x14ac:dyDescent="0.3">
      <c r="A502">
        <v>111</v>
      </c>
      <c r="B502" s="37">
        <v>40548</v>
      </c>
      <c r="F502">
        <v>19</v>
      </c>
      <c r="G502" t="b">
        <v>0</v>
      </c>
      <c r="H502">
        <v>3</v>
      </c>
      <c r="I502">
        <v>1</v>
      </c>
      <c r="J502">
        <v>0.24</v>
      </c>
      <c r="K502">
        <v>40548</v>
      </c>
      <c r="L502">
        <v>0.2576</v>
      </c>
      <c r="M502">
        <v>0.38</v>
      </c>
      <c r="N502">
        <v>0.1045</v>
      </c>
      <c r="O502">
        <v>5</v>
      </c>
      <c r="P502">
        <v>127</v>
      </c>
      <c r="S502" t="s">
        <v>24</v>
      </c>
      <c r="T502" t="s">
        <v>29</v>
      </c>
    </row>
    <row r="503" spans="1:20" x14ac:dyDescent="0.3">
      <c r="A503">
        <v>112</v>
      </c>
      <c r="B503" s="37">
        <v>40548</v>
      </c>
      <c r="F503">
        <v>20</v>
      </c>
      <c r="G503" t="b">
        <v>0</v>
      </c>
      <c r="H503">
        <v>3</v>
      </c>
      <c r="I503">
        <v>1</v>
      </c>
      <c r="J503">
        <v>0.22</v>
      </c>
      <c r="K503">
        <v>40548</v>
      </c>
      <c r="L503">
        <v>0.2273</v>
      </c>
      <c r="M503">
        <v>0.47</v>
      </c>
      <c r="N503">
        <v>0.16420000000000001</v>
      </c>
      <c r="O503">
        <v>7</v>
      </c>
      <c r="P503">
        <v>82</v>
      </c>
      <c r="S503" t="s">
        <v>24</v>
      </c>
      <c r="T503" t="s">
        <v>29</v>
      </c>
    </row>
    <row r="504" spans="1:20" x14ac:dyDescent="0.3">
      <c r="A504">
        <v>113</v>
      </c>
      <c r="B504" s="37">
        <v>40548</v>
      </c>
      <c r="F504">
        <v>21</v>
      </c>
      <c r="G504" t="b">
        <v>0</v>
      </c>
      <c r="H504">
        <v>3</v>
      </c>
      <c r="I504">
        <v>1</v>
      </c>
      <c r="J504">
        <v>0.2</v>
      </c>
      <c r="K504">
        <v>40548</v>
      </c>
      <c r="L504">
        <v>0.19700000000000001</v>
      </c>
      <c r="M504">
        <v>0.51</v>
      </c>
      <c r="N504">
        <v>0.19400000000000001</v>
      </c>
      <c r="O504">
        <v>3</v>
      </c>
      <c r="P504">
        <v>40</v>
      </c>
      <c r="S504" t="s">
        <v>24</v>
      </c>
      <c r="T504" t="s">
        <v>29</v>
      </c>
    </row>
    <row r="505" spans="1:20" x14ac:dyDescent="0.3">
      <c r="A505">
        <v>114</v>
      </c>
      <c r="B505" s="37">
        <v>40548</v>
      </c>
      <c r="F505">
        <v>22</v>
      </c>
      <c r="G505" t="b">
        <v>0</v>
      </c>
      <c r="H505">
        <v>3</v>
      </c>
      <c r="I505">
        <v>1</v>
      </c>
      <c r="J505">
        <v>0.18</v>
      </c>
      <c r="K505">
        <v>40548</v>
      </c>
      <c r="L505">
        <v>0.19700000000000001</v>
      </c>
      <c r="M505">
        <v>0.55000000000000004</v>
      </c>
      <c r="N505">
        <v>0.1343</v>
      </c>
      <c r="O505">
        <v>1</v>
      </c>
      <c r="P505">
        <v>41</v>
      </c>
      <c r="S505" t="s">
        <v>24</v>
      </c>
      <c r="T505" t="s">
        <v>29</v>
      </c>
    </row>
    <row r="506" spans="1:20" x14ac:dyDescent="0.3">
      <c r="A506">
        <v>115</v>
      </c>
      <c r="B506" s="37">
        <v>40548</v>
      </c>
      <c r="F506">
        <v>23</v>
      </c>
      <c r="G506" t="b">
        <v>0</v>
      </c>
      <c r="H506">
        <v>3</v>
      </c>
      <c r="I506">
        <v>1</v>
      </c>
      <c r="J506">
        <v>0.2</v>
      </c>
      <c r="K506">
        <v>40548</v>
      </c>
      <c r="L506">
        <v>0.2576</v>
      </c>
      <c r="M506">
        <v>0.47</v>
      </c>
      <c r="N506">
        <v>0</v>
      </c>
      <c r="O506">
        <v>1</v>
      </c>
      <c r="P506">
        <v>18</v>
      </c>
      <c r="S506" t="s">
        <v>24</v>
      </c>
      <c r="T506" t="s">
        <v>29</v>
      </c>
    </row>
    <row r="507" spans="1:20" x14ac:dyDescent="0.3">
      <c r="A507">
        <v>116</v>
      </c>
      <c r="B507" s="37">
        <v>40549</v>
      </c>
      <c r="F507">
        <v>0</v>
      </c>
      <c r="G507" t="b">
        <v>0</v>
      </c>
      <c r="H507">
        <v>4</v>
      </c>
      <c r="I507">
        <v>1</v>
      </c>
      <c r="J507">
        <v>0.18</v>
      </c>
      <c r="K507">
        <v>40549</v>
      </c>
      <c r="L507">
        <v>0.2424</v>
      </c>
      <c r="M507">
        <v>0.55000000000000004</v>
      </c>
      <c r="N507">
        <v>0</v>
      </c>
      <c r="O507">
        <v>0</v>
      </c>
      <c r="P507">
        <v>11</v>
      </c>
      <c r="S507" t="s">
        <v>25</v>
      </c>
      <c r="T507" t="s">
        <v>29</v>
      </c>
    </row>
    <row r="508" spans="1:20" x14ac:dyDescent="0.3">
      <c r="A508">
        <v>117</v>
      </c>
      <c r="B508" s="37">
        <v>40549</v>
      </c>
      <c r="F508">
        <v>1</v>
      </c>
      <c r="G508" t="b">
        <v>0</v>
      </c>
      <c r="H508">
        <v>4</v>
      </c>
      <c r="I508">
        <v>1</v>
      </c>
      <c r="J508">
        <v>0.16</v>
      </c>
      <c r="K508">
        <v>40549</v>
      </c>
      <c r="L508">
        <v>0.2273</v>
      </c>
      <c r="M508">
        <v>0.64</v>
      </c>
      <c r="N508">
        <v>0</v>
      </c>
      <c r="O508">
        <v>0</v>
      </c>
      <c r="P508">
        <v>4</v>
      </c>
      <c r="S508" t="s">
        <v>25</v>
      </c>
      <c r="T508" t="s">
        <v>29</v>
      </c>
    </row>
    <row r="509" spans="1:20" x14ac:dyDescent="0.3">
      <c r="A509">
        <v>118</v>
      </c>
      <c r="B509" s="37">
        <v>40549</v>
      </c>
      <c r="F509">
        <v>2</v>
      </c>
      <c r="G509" t="b">
        <v>0</v>
      </c>
      <c r="H509">
        <v>4</v>
      </c>
      <c r="I509">
        <v>1</v>
      </c>
      <c r="J509">
        <v>0.16</v>
      </c>
      <c r="K509">
        <v>40549</v>
      </c>
      <c r="L509">
        <v>0.2273</v>
      </c>
      <c r="M509">
        <v>0.64</v>
      </c>
      <c r="N509">
        <v>0</v>
      </c>
      <c r="O509">
        <v>0</v>
      </c>
      <c r="P509">
        <v>2</v>
      </c>
      <c r="S509" t="s">
        <v>25</v>
      </c>
      <c r="T509" t="s">
        <v>29</v>
      </c>
    </row>
    <row r="510" spans="1:20" x14ac:dyDescent="0.3">
      <c r="A510">
        <v>119</v>
      </c>
      <c r="B510" s="37">
        <v>40549</v>
      </c>
      <c r="F510">
        <v>4</v>
      </c>
      <c r="G510" t="b">
        <v>0</v>
      </c>
      <c r="H510">
        <v>4</v>
      </c>
      <c r="I510">
        <v>2</v>
      </c>
      <c r="J510">
        <v>0.16</v>
      </c>
      <c r="K510">
        <v>40549</v>
      </c>
      <c r="L510">
        <v>0.19700000000000001</v>
      </c>
      <c r="M510">
        <v>0.64</v>
      </c>
      <c r="N510">
        <v>8.9599999999999999E-2</v>
      </c>
      <c r="O510">
        <v>0</v>
      </c>
      <c r="P510">
        <v>1</v>
      </c>
      <c r="S510" t="s">
        <v>25</v>
      </c>
      <c r="T510" t="s">
        <v>29</v>
      </c>
    </row>
    <row r="511" spans="1:20" x14ac:dyDescent="0.3">
      <c r="A511">
        <v>120</v>
      </c>
      <c r="B511" s="37">
        <v>40549</v>
      </c>
      <c r="F511">
        <v>5</v>
      </c>
      <c r="G511" t="b">
        <v>0</v>
      </c>
      <c r="H511">
        <v>4</v>
      </c>
      <c r="I511">
        <v>2</v>
      </c>
      <c r="J511">
        <v>0.14000000000000001</v>
      </c>
      <c r="K511">
        <v>40549</v>
      </c>
      <c r="L511">
        <v>0.18179999999999999</v>
      </c>
      <c r="M511">
        <v>0.69</v>
      </c>
      <c r="N511">
        <v>8.9599999999999999E-2</v>
      </c>
      <c r="O511">
        <v>0</v>
      </c>
      <c r="P511">
        <v>4</v>
      </c>
      <c r="S511" t="s">
        <v>25</v>
      </c>
      <c r="T511" t="s">
        <v>29</v>
      </c>
    </row>
    <row r="512" spans="1:20" x14ac:dyDescent="0.3">
      <c r="A512">
        <v>121</v>
      </c>
      <c r="B512" s="37">
        <v>40549</v>
      </c>
      <c r="F512">
        <v>6</v>
      </c>
      <c r="G512" t="b">
        <v>0</v>
      </c>
      <c r="H512">
        <v>4</v>
      </c>
      <c r="I512">
        <v>2</v>
      </c>
      <c r="J512">
        <v>0.14000000000000001</v>
      </c>
      <c r="K512">
        <v>40549</v>
      </c>
      <c r="L512">
        <v>0.16669999999999999</v>
      </c>
      <c r="M512">
        <v>0.63</v>
      </c>
      <c r="N512">
        <v>0.1045</v>
      </c>
      <c r="O512">
        <v>0</v>
      </c>
      <c r="P512">
        <v>36</v>
      </c>
      <c r="S512" t="s">
        <v>25</v>
      </c>
      <c r="T512" t="s">
        <v>69</v>
      </c>
    </row>
    <row r="513" spans="1:20" x14ac:dyDescent="0.3">
      <c r="A513">
        <v>122</v>
      </c>
      <c r="B513" s="37">
        <v>40549</v>
      </c>
      <c r="F513">
        <v>7</v>
      </c>
      <c r="G513" t="b">
        <v>0</v>
      </c>
      <c r="H513">
        <v>4</v>
      </c>
      <c r="I513">
        <v>2</v>
      </c>
      <c r="J513">
        <v>0.16</v>
      </c>
      <c r="K513">
        <v>40549</v>
      </c>
      <c r="L513">
        <v>0.2273</v>
      </c>
      <c r="M513">
        <v>0.59</v>
      </c>
      <c r="N513">
        <v>0</v>
      </c>
      <c r="O513">
        <v>0</v>
      </c>
      <c r="P513">
        <v>95</v>
      </c>
      <c r="S513" t="s">
        <v>25</v>
      </c>
      <c r="T513" t="s">
        <v>69</v>
      </c>
    </row>
    <row r="514" spans="1:20" x14ac:dyDescent="0.3">
      <c r="A514">
        <v>123</v>
      </c>
      <c r="B514" s="37">
        <v>40549</v>
      </c>
      <c r="F514">
        <v>8</v>
      </c>
      <c r="G514" t="b">
        <v>0</v>
      </c>
      <c r="H514">
        <v>4</v>
      </c>
      <c r="I514">
        <v>1</v>
      </c>
      <c r="J514">
        <v>0.16</v>
      </c>
      <c r="K514">
        <v>40549</v>
      </c>
      <c r="L514">
        <v>0.2273</v>
      </c>
      <c r="M514">
        <v>0.59</v>
      </c>
      <c r="N514">
        <v>0</v>
      </c>
      <c r="O514">
        <v>3</v>
      </c>
      <c r="P514">
        <v>216</v>
      </c>
      <c r="S514" t="s">
        <v>25</v>
      </c>
      <c r="T514" t="s">
        <v>69</v>
      </c>
    </row>
    <row r="515" spans="1:20" x14ac:dyDescent="0.3">
      <c r="A515">
        <v>124</v>
      </c>
      <c r="B515" s="37">
        <v>40549</v>
      </c>
      <c r="F515">
        <v>9</v>
      </c>
      <c r="G515" t="b">
        <v>0</v>
      </c>
      <c r="H515">
        <v>4</v>
      </c>
      <c r="I515">
        <v>2</v>
      </c>
      <c r="J515">
        <v>0.18</v>
      </c>
      <c r="K515">
        <v>40549</v>
      </c>
      <c r="L515">
        <v>0.2424</v>
      </c>
      <c r="M515">
        <v>0.51</v>
      </c>
      <c r="N515">
        <v>0</v>
      </c>
      <c r="O515">
        <v>6</v>
      </c>
      <c r="P515">
        <v>116</v>
      </c>
      <c r="S515" t="s">
        <v>25</v>
      </c>
      <c r="T515" t="s">
        <v>69</v>
      </c>
    </row>
    <row r="516" spans="1:20" x14ac:dyDescent="0.3">
      <c r="A516">
        <v>125</v>
      </c>
      <c r="B516" s="37">
        <v>40549</v>
      </c>
      <c r="F516">
        <v>10</v>
      </c>
      <c r="G516" t="b">
        <v>0</v>
      </c>
      <c r="H516">
        <v>4</v>
      </c>
      <c r="I516">
        <v>1</v>
      </c>
      <c r="J516">
        <v>0.2</v>
      </c>
      <c r="K516">
        <v>40549</v>
      </c>
      <c r="L516">
        <v>0.2576</v>
      </c>
      <c r="M516">
        <v>0.47</v>
      </c>
      <c r="N516">
        <v>0</v>
      </c>
      <c r="O516">
        <v>3</v>
      </c>
      <c r="P516">
        <v>42</v>
      </c>
      <c r="S516" t="s">
        <v>25</v>
      </c>
      <c r="T516" t="s">
        <v>69</v>
      </c>
    </row>
    <row r="517" spans="1:20" x14ac:dyDescent="0.3">
      <c r="A517">
        <v>126</v>
      </c>
      <c r="B517" s="37">
        <v>40549</v>
      </c>
      <c r="F517">
        <v>11</v>
      </c>
      <c r="G517" t="b">
        <v>0</v>
      </c>
      <c r="H517">
        <v>4</v>
      </c>
      <c r="I517">
        <v>1</v>
      </c>
      <c r="J517">
        <v>0.22</v>
      </c>
      <c r="K517">
        <v>40549</v>
      </c>
      <c r="L517">
        <v>0.2576</v>
      </c>
      <c r="M517">
        <v>0.44</v>
      </c>
      <c r="N517">
        <v>8.9599999999999999E-2</v>
      </c>
      <c r="O517">
        <v>2</v>
      </c>
      <c r="P517">
        <v>57</v>
      </c>
      <c r="S517" t="s">
        <v>25</v>
      </c>
      <c r="T517" t="s">
        <v>69</v>
      </c>
    </row>
    <row r="518" spans="1:20" x14ac:dyDescent="0.3">
      <c r="A518">
        <v>127</v>
      </c>
      <c r="B518" s="37">
        <v>40549</v>
      </c>
      <c r="F518">
        <v>12</v>
      </c>
      <c r="G518" t="b">
        <v>0</v>
      </c>
      <c r="H518">
        <v>4</v>
      </c>
      <c r="I518">
        <v>1</v>
      </c>
      <c r="J518">
        <v>0.26</v>
      </c>
      <c r="K518">
        <v>40549</v>
      </c>
      <c r="L518">
        <v>0.28789999999999999</v>
      </c>
      <c r="M518">
        <v>0.35</v>
      </c>
      <c r="N518">
        <v>0</v>
      </c>
      <c r="O518">
        <v>6</v>
      </c>
      <c r="P518">
        <v>78</v>
      </c>
      <c r="S518" t="s">
        <v>25</v>
      </c>
      <c r="T518" t="s">
        <v>69</v>
      </c>
    </row>
    <row r="519" spans="1:20" x14ac:dyDescent="0.3">
      <c r="A519">
        <v>128</v>
      </c>
      <c r="B519" s="37">
        <v>40549</v>
      </c>
      <c r="F519">
        <v>13</v>
      </c>
      <c r="G519" t="b">
        <v>0</v>
      </c>
      <c r="H519">
        <v>4</v>
      </c>
      <c r="I519">
        <v>1</v>
      </c>
      <c r="J519">
        <v>0.26</v>
      </c>
      <c r="K519">
        <v>40549</v>
      </c>
      <c r="L519">
        <v>0.2727</v>
      </c>
      <c r="M519">
        <v>0.35</v>
      </c>
      <c r="N519">
        <v>0.1045</v>
      </c>
      <c r="O519">
        <v>12</v>
      </c>
      <c r="P519">
        <v>55</v>
      </c>
      <c r="S519" t="s">
        <v>25</v>
      </c>
      <c r="T519" t="s">
        <v>69</v>
      </c>
    </row>
    <row r="520" spans="1:20" x14ac:dyDescent="0.3">
      <c r="A520">
        <v>129</v>
      </c>
      <c r="B520" s="37">
        <v>40549</v>
      </c>
      <c r="F520">
        <v>14</v>
      </c>
      <c r="G520" t="b">
        <v>0</v>
      </c>
      <c r="H520">
        <v>4</v>
      </c>
      <c r="I520">
        <v>1</v>
      </c>
      <c r="J520">
        <v>0.28000000000000003</v>
      </c>
      <c r="K520">
        <v>40549</v>
      </c>
      <c r="L520">
        <v>0.2727</v>
      </c>
      <c r="M520">
        <v>0.36</v>
      </c>
      <c r="N520">
        <v>0.16420000000000001</v>
      </c>
      <c r="O520">
        <v>11</v>
      </c>
      <c r="P520">
        <v>59</v>
      </c>
      <c r="S520" t="s">
        <v>25</v>
      </c>
      <c r="T520" t="s">
        <v>69</v>
      </c>
    </row>
    <row r="521" spans="1:20" x14ac:dyDescent="0.3">
      <c r="A521">
        <v>130</v>
      </c>
      <c r="B521" s="37">
        <v>40549</v>
      </c>
      <c r="F521">
        <v>15</v>
      </c>
      <c r="G521" t="b">
        <v>0</v>
      </c>
      <c r="H521">
        <v>4</v>
      </c>
      <c r="I521">
        <v>1</v>
      </c>
      <c r="J521">
        <v>0.28000000000000003</v>
      </c>
      <c r="K521">
        <v>40549</v>
      </c>
      <c r="L521">
        <v>0.2727</v>
      </c>
      <c r="M521">
        <v>0.36</v>
      </c>
      <c r="N521">
        <v>0</v>
      </c>
      <c r="O521">
        <v>8</v>
      </c>
      <c r="P521">
        <v>54</v>
      </c>
      <c r="S521" t="s">
        <v>25</v>
      </c>
      <c r="T521" t="s">
        <v>69</v>
      </c>
    </row>
    <row r="522" spans="1:20" x14ac:dyDescent="0.3">
      <c r="A522">
        <v>131</v>
      </c>
      <c r="B522" s="37">
        <v>40549</v>
      </c>
      <c r="F522">
        <v>16</v>
      </c>
      <c r="G522" t="b">
        <v>0</v>
      </c>
      <c r="H522">
        <v>4</v>
      </c>
      <c r="I522">
        <v>1</v>
      </c>
      <c r="J522">
        <v>0.26</v>
      </c>
      <c r="K522">
        <v>40549</v>
      </c>
      <c r="L522">
        <v>0.2576</v>
      </c>
      <c r="M522">
        <v>0.38</v>
      </c>
      <c r="N522">
        <v>0.16420000000000001</v>
      </c>
      <c r="O522">
        <v>12</v>
      </c>
      <c r="P522">
        <v>74</v>
      </c>
      <c r="S522" t="s">
        <v>25</v>
      </c>
      <c r="T522" t="s">
        <v>69</v>
      </c>
    </row>
    <row r="523" spans="1:20" x14ac:dyDescent="0.3">
      <c r="A523">
        <v>132</v>
      </c>
      <c r="B523" s="37">
        <v>40549</v>
      </c>
      <c r="F523">
        <v>17</v>
      </c>
      <c r="G523" t="b">
        <v>0</v>
      </c>
      <c r="H523">
        <v>4</v>
      </c>
      <c r="I523">
        <v>1</v>
      </c>
      <c r="J523">
        <v>0.22</v>
      </c>
      <c r="K523">
        <v>40549</v>
      </c>
      <c r="L523">
        <v>0.2273</v>
      </c>
      <c r="M523">
        <v>0.51</v>
      </c>
      <c r="N523">
        <v>0.16420000000000001</v>
      </c>
      <c r="O523">
        <v>9</v>
      </c>
      <c r="P523">
        <v>163</v>
      </c>
      <c r="S523" t="s">
        <v>25</v>
      </c>
      <c r="T523" t="s">
        <v>69</v>
      </c>
    </row>
    <row r="524" spans="1:20" x14ac:dyDescent="0.3">
      <c r="A524">
        <v>133</v>
      </c>
      <c r="B524" s="37">
        <v>40549</v>
      </c>
      <c r="F524">
        <v>18</v>
      </c>
      <c r="G524" t="b">
        <v>0</v>
      </c>
      <c r="H524">
        <v>4</v>
      </c>
      <c r="I524">
        <v>1</v>
      </c>
      <c r="J524">
        <v>0.22</v>
      </c>
      <c r="K524">
        <v>40549</v>
      </c>
      <c r="L524">
        <v>0.2273</v>
      </c>
      <c r="M524">
        <v>0.51</v>
      </c>
      <c r="N524">
        <v>0.1343</v>
      </c>
      <c r="O524">
        <v>5</v>
      </c>
      <c r="P524">
        <v>158</v>
      </c>
      <c r="S524" t="s">
        <v>25</v>
      </c>
      <c r="T524" t="s">
        <v>69</v>
      </c>
    </row>
    <row r="525" spans="1:20" x14ac:dyDescent="0.3">
      <c r="A525">
        <v>134</v>
      </c>
      <c r="B525" s="37">
        <v>40549</v>
      </c>
      <c r="F525">
        <v>19</v>
      </c>
      <c r="G525" t="b">
        <v>0</v>
      </c>
      <c r="H525">
        <v>4</v>
      </c>
      <c r="I525">
        <v>1</v>
      </c>
      <c r="J525">
        <v>0.22</v>
      </c>
      <c r="K525">
        <v>40549</v>
      </c>
      <c r="L525">
        <v>0.2576</v>
      </c>
      <c r="M525">
        <v>0.55000000000000004</v>
      </c>
      <c r="N525">
        <v>8.9599999999999999E-2</v>
      </c>
      <c r="O525">
        <v>3</v>
      </c>
      <c r="P525">
        <v>109</v>
      </c>
      <c r="S525" t="s">
        <v>25</v>
      </c>
      <c r="T525" t="s">
        <v>29</v>
      </c>
    </row>
    <row r="526" spans="1:20" x14ac:dyDescent="0.3">
      <c r="A526">
        <v>135</v>
      </c>
      <c r="B526" s="37">
        <v>40549</v>
      </c>
      <c r="F526">
        <v>20</v>
      </c>
      <c r="G526" t="b">
        <v>0</v>
      </c>
      <c r="H526">
        <v>4</v>
      </c>
      <c r="I526">
        <v>1</v>
      </c>
      <c r="J526">
        <v>0.2</v>
      </c>
      <c r="K526">
        <v>40549</v>
      </c>
      <c r="L526">
        <v>0.21210000000000001</v>
      </c>
      <c r="M526">
        <v>0.51</v>
      </c>
      <c r="N526">
        <v>0.16420000000000001</v>
      </c>
      <c r="O526">
        <v>3</v>
      </c>
      <c r="P526">
        <v>66</v>
      </c>
      <c r="S526" t="s">
        <v>25</v>
      </c>
      <c r="T526" t="s">
        <v>29</v>
      </c>
    </row>
    <row r="527" spans="1:20" x14ac:dyDescent="0.3">
      <c r="A527">
        <v>136</v>
      </c>
      <c r="B527" s="37">
        <v>40549</v>
      </c>
      <c r="F527">
        <v>21</v>
      </c>
      <c r="G527" t="b">
        <v>0</v>
      </c>
      <c r="H527">
        <v>4</v>
      </c>
      <c r="I527">
        <v>2</v>
      </c>
      <c r="J527">
        <v>0.22</v>
      </c>
      <c r="K527">
        <v>40549</v>
      </c>
      <c r="L527">
        <v>0.21210000000000001</v>
      </c>
      <c r="M527">
        <v>0.55000000000000004</v>
      </c>
      <c r="N527">
        <v>0.22389999999999999</v>
      </c>
      <c r="O527">
        <v>0</v>
      </c>
      <c r="P527">
        <v>48</v>
      </c>
      <c r="S527" t="s">
        <v>25</v>
      </c>
      <c r="T527" t="s">
        <v>29</v>
      </c>
    </row>
    <row r="528" spans="1:20" x14ac:dyDescent="0.3">
      <c r="A528">
        <v>137</v>
      </c>
      <c r="B528" s="37">
        <v>40549</v>
      </c>
      <c r="F528">
        <v>22</v>
      </c>
      <c r="G528" t="b">
        <v>0</v>
      </c>
      <c r="H528">
        <v>4</v>
      </c>
      <c r="I528">
        <v>2</v>
      </c>
      <c r="J528">
        <v>0.22</v>
      </c>
      <c r="K528">
        <v>40549</v>
      </c>
      <c r="L528">
        <v>0.21210000000000001</v>
      </c>
      <c r="M528">
        <v>0.51</v>
      </c>
      <c r="N528">
        <v>0.28360000000000002</v>
      </c>
      <c r="O528">
        <v>1</v>
      </c>
      <c r="P528">
        <v>51</v>
      </c>
      <c r="S528" t="s">
        <v>25</v>
      </c>
      <c r="T528" t="s">
        <v>29</v>
      </c>
    </row>
    <row r="529" spans="1:20" x14ac:dyDescent="0.3">
      <c r="A529">
        <v>138</v>
      </c>
      <c r="B529" s="37">
        <v>40549</v>
      </c>
      <c r="F529">
        <v>23</v>
      </c>
      <c r="G529" t="b">
        <v>0</v>
      </c>
      <c r="H529">
        <v>4</v>
      </c>
      <c r="I529">
        <v>2</v>
      </c>
      <c r="J529">
        <v>0.2</v>
      </c>
      <c r="K529">
        <v>40549</v>
      </c>
      <c r="L529">
        <v>0.19700000000000001</v>
      </c>
      <c r="M529">
        <v>0.59</v>
      </c>
      <c r="N529">
        <v>0.19400000000000001</v>
      </c>
      <c r="O529">
        <v>4</v>
      </c>
      <c r="P529">
        <v>19</v>
      </c>
      <c r="S529" t="s">
        <v>25</v>
      </c>
      <c r="T529" t="s">
        <v>29</v>
      </c>
    </row>
    <row r="530" spans="1:20" x14ac:dyDescent="0.3">
      <c r="A530">
        <v>139</v>
      </c>
      <c r="B530" s="37">
        <v>40550</v>
      </c>
      <c r="F530">
        <v>0</v>
      </c>
      <c r="G530" t="b">
        <v>0</v>
      </c>
      <c r="H530">
        <v>5</v>
      </c>
      <c r="I530">
        <v>2</v>
      </c>
      <c r="J530">
        <v>0.2</v>
      </c>
      <c r="K530">
        <v>40550</v>
      </c>
      <c r="L530">
        <v>0.19700000000000001</v>
      </c>
      <c r="M530">
        <v>0.64</v>
      </c>
      <c r="N530">
        <v>0.19400000000000001</v>
      </c>
      <c r="O530">
        <v>4</v>
      </c>
      <c r="P530">
        <v>13</v>
      </c>
      <c r="S530" t="s">
        <v>26</v>
      </c>
      <c r="T530" t="s">
        <v>29</v>
      </c>
    </row>
    <row r="531" spans="1:20" x14ac:dyDescent="0.3">
      <c r="A531">
        <v>140</v>
      </c>
      <c r="B531" s="37">
        <v>40550</v>
      </c>
      <c r="F531">
        <v>1</v>
      </c>
      <c r="G531" t="b">
        <v>0</v>
      </c>
      <c r="H531">
        <v>5</v>
      </c>
      <c r="I531">
        <v>2</v>
      </c>
      <c r="J531">
        <v>0.2</v>
      </c>
      <c r="K531">
        <v>40550</v>
      </c>
      <c r="L531">
        <v>0.19700000000000001</v>
      </c>
      <c r="M531">
        <v>0.69</v>
      </c>
      <c r="N531">
        <v>0.22389999999999999</v>
      </c>
      <c r="O531">
        <v>2</v>
      </c>
      <c r="P531">
        <v>5</v>
      </c>
      <c r="S531" t="s">
        <v>26</v>
      </c>
      <c r="T531" t="s">
        <v>29</v>
      </c>
    </row>
    <row r="532" spans="1:20" x14ac:dyDescent="0.3">
      <c r="A532">
        <v>141</v>
      </c>
      <c r="B532" s="37">
        <v>40550</v>
      </c>
      <c r="F532">
        <v>2</v>
      </c>
      <c r="G532" t="b">
        <v>0</v>
      </c>
      <c r="H532">
        <v>5</v>
      </c>
      <c r="I532">
        <v>2</v>
      </c>
      <c r="J532">
        <v>0.2</v>
      </c>
      <c r="K532">
        <v>40550</v>
      </c>
      <c r="L532">
        <v>0.19700000000000001</v>
      </c>
      <c r="M532">
        <v>0.69</v>
      </c>
      <c r="N532">
        <v>0.22389999999999999</v>
      </c>
      <c r="O532">
        <v>0</v>
      </c>
      <c r="P532">
        <v>1</v>
      </c>
      <c r="S532" t="s">
        <v>26</v>
      </c>
      <c r="T532" t="s">
        <v>29</v>
      </c>
    </row>
    <row r="533" spans="1:20" x14ac:dyDescent="0.3">
      <c r="A533">
        <v>142</v>
      </c>
      <c r="B533" s="37">
        <v>40550</v>
      </c>
      <c r="F533">
        <v>4</v>
      </c>
      <c r="G533" t="b">
        <v>0</v>
      </c>
      <c r="H533">
        <v>5</v>
      </c>
      <c r="I533">
        <v>2</v>
      </c>
      <c r="J533">
        <v>0.2</v>
      </c>
      <c r="K533">
        <v>40550</v>
      </c>
      <c r="L533">
        <v>0.21210000000000001</v>
      </c>
      <c r="M533">
        <v>0.69</v>
      </c>
      <c r="N533">
        <v>0.1343</v>
      </c>
      <c r="O533">
        <v>0</v>
      </c>
      <c r="P533">
        <v>1</v>
      </c>
      <c r="S533" t="s">
        <v>26</v>
      </c>
      <c r="T533" t="s">
        <v>29</v>
      </c>
    </row>
    <row r="534" spans="1:20" x14ac:dyDescent="0.3">
      <c r="A534">
        <v>143</v>
      </c>
      <c r="B534" s="37">
        <v>40550</v>
      </c>
      <c r="F534">
        <v>5</v>
      </c>
      <c r="G534" t="b">
        <v>0</v>
      </c>
      <c r="H534">
        <v>5</v>
      </c>
      <c r="I534">
        <v>3</v>
      </c>
      <c r="J534">
        <v>0.22</v>
      </c>
      <c r="K534">
        <v>40550</v>
      </c>
      <c r="L534">
        <v>0.2727</v>
      </c>
      <c r="M534">
        <v>0.55000000000000004</v>
      </c>
      <c r="N534">
        <v>0</v>
      </c>
      <c r="O534">
        <v>0</v>
      </c>
      <c r="P534">
        <v>5</v>
      </c>
      <c r="S534" t="s">
        <v>26</v>
      </c>
      <c r="T534" t="s">
        <v>29</v>
      </c>
    </row>
    <row r="535" spans="1:20" x14ac:dyDescent="0.3">
      <c r="A535">
        <v>144</v>
      </c>
      <c r="B535" s="37">
        <v>40550</v>
      </c>
      <c r="F535">
        <v>6</v>
      </c>
      <c r="G535" t="b">
        <v>0</v>
      </c>
      <c r="H535">
        <v>5</v>
      </c>
      <c r="I535">
        <v>2</v>
      </c>
      <c r="J535">
        <v>0.2</v>
      </c>
      <c r="K535">
        <v>40550</v>
      </c>
      <c r="L535">
        <v>0.2576</v>
      </c>
      <c r="M535">
        <v>0.69</v>
      </c>
      <c r="N535">
        <v>0</v>
      </c>
      <c r="O535">
        <v>8</v>
      </c>
      <c r="P535">
        <v>26</v>
      </c>
      <c r="S535" t="s">
        <v>26</v>
      </c>
      <c r="T535" t="s">
        <v>69</v>
      </c>
    </row>
    <row r="536" spans="1:20" x14ac:dyDescent="0.3">
      <c r="A536">
        <v>145</v>
      </c>
      <c r="B536" s="37">
        <v>40550</v>
      </c>
      <c r="F536">
        <v>7</v>
      </c>
      <c r="G536" t="b">
        <v>0</v>
      </c>
      <c r="H536">
        <v>5</v>
      </c>
      <c r="I536">
        <v>1</v>
      </c>
      <c r="J536">
        <v>0.2</v>
      </c>
      <c r="K536">
        <v>40550</v>
      </c>
      <c r="L536">
        <v>0.21210000000000001</v>
      </c>
      <c r="M536">
        <v>0.69</v>
      </c>
      <c r="N536">
        <v>0.1343</v>
      </c>
      <c r="O536">
        <v>8</v>
      </c>
      <c r="P536">
        <v>76</v>
      </c>
      <c r="S536" t="s">
        <v>26</v>
      </c>
      <c r="T536" t="s">
        <v>69</v>
      </c>
    </row>
    <row r="537" spans="1:20" x14ac:dyDescent="0.3">
      <c r="A537">
        <v>146</v>
      </c>
      <c r="B537" s="37">
        <v>40550</v>
      </c>
      <c r="F537">
        <v>8</v>
      </c>
      <c r="G537" t="b">
        <v>0</v>
      </c>
      <c r="H537">
        <v>5</v>
      </c>
      <c r="I537">
        <v>1</v>
      </c>
      <c r="J537">
        <v>0.2</v>
      </c>
      <c r="K537">
        <v>40550</v>
      </c>
      <c r="L537">
        <v>0.19700000000000001</v>
      </c>
      <c r="M537">
        <v>0.51</v>
      </c>
      <c r="N537">
        <v>0.25369999999999998</v>
      </c>
      <c r="O537">
        <v>20</v>
      </c>
      <c r="P537">
        <v>190</v>
      </c>
      <c r="S537" t="s">
        <v>26</v>
      </c>
      <c r="T537" t="s">
        <v>69</v>
      </c>
    </row>
    <row r="538" spans="1:20" x14ac:dyDescent="0.3">
      <c r="A538">
        <v>147</v>
      </c>
      <c r="B538" s="37">
        <v>40550</v>
      </c>
      <c r="F538">
        <v>9</v>
      </c>
      <c r="G538" t="b">
        <v>0</v>
      </c>
      <c r="H538">
        <v>5</v>
      </c>
      <c r="I538">
        <v>1</v>
      </c>
      <c r="J538">
        <v>0.2</v>
      </c>
      <c r="K538">
        <v>40550</v>
      </c>
      <c r="L538">
        <v>0.18179999999999999</v>
      </c>
      <c r="M538">
        <v>0.47</v>
      </c>
      <c r="N538">
        <v>0.29849999999999999</v>
      </c>
      <c r="O538">
        <v>9</v>
      </c>
      <c r="P538">
        <v>125</v>
      </c>
      <c r="S538" t="s">
        <v>26</v>
      </c>
      <c r="T538" t="s">
        <v>69</v>
      </c>
    </row>
    <row r="539" spans="1:20" x14ac:dyDescent="0.3">
      <c r="A539">
        <v>148</v>
      </c>
      <c r="B539" s="37">
        <v>40550</v>
      </c>
      <c r="F539">
        <v>10</v>
      </c>
      <c r="G539" t="b">
        <v>0</v>
      </c>
      <c r="H539">
        <v>5</v>
      </c>
      <c r="I539">
        <v>1</v>
      </c>
      <c r="J539">
        <v>0.22</v>
      </c>
      <c r="K539">
        <v>40550</v>
      </c>
      <c r="L539">
        <v>0.19700000000000001</v>
      </c>
      <c r="M539">
        <v>0.37</v>
      </c>
      <c r="N539">
        <v>0.32840000000000003</v>
      </c>
      <c r="O539">
        <v>16</v>
      </c>
      <c r="P539">
        <v>47</v>
      </c>
      <c r="S539" t="s">
        <v>26</v>
      </c>
      <c r="T539" t="s">
        <v>69</v>
      </c>
    </row>
    <row r="540" spans="1:20" x14ac:dyDescent="0.3">
      <c r="A540">
        <v>149</v>
      </c>
      <c r="B540" s="37">
        <v>40550</v>
      </c>
      <c r="F540">
        <v>11</v>
      </c>
      <c r="G540" t="b">
        <v>0</v>
      </c>
      <c r="H540">
        <v>5</v>
      </c>
      <c r="I540">
        <v>2</v>
      </c>
      <c r="J540">
        <v>0.2</v>
      </c>
      <c r="K540">
        <v>40550</v>
      </c>
      <c r="L540">
        <v>0.19700000000000001</v>
      </c>
      <c r="M540">
        <v>0.4</v>
      </c>
      <c r="N540">
        <v>0.22389999999999999</v>
      </c>
      <c r="O540">
        <v>19</v>
      </c>
      <c r="P540">
        <v>48</v>
      </c>
      <c r="S540" t="s">
        <v>26</v>
      </c>
      <c r="T540" t="s">
        <v>69</v>
      </c>
    </row>
    <row r="541" spans="1:20" x14ac:dyDescent="0.3">
      <c r="A541">
        <v>150</v>
      </c>
      <c r="B541" s="37">
        <v>40550</v>
      </c>
      <c r="F541">
        <v>12</v>
      </c>
      <c r="G541" t="b">
        <v>0</v>
      </c>
      <c r="H541">
        <v>5</v>
      </c>
      <c r="I541">
        <v>2</v>
      </c>
      <c r="J541">
        <v>0.2</v>
      </c>
      <c r="K541">
        <v>40550</v>
      </c>
      <c r="L541">
        <v>0.19700000000000001</v>
      </c>
      <c r="M541">
        <v>0.37</v>
      </c>
      <c r="N541">
        <v>0.25369999999999998</v>
      </c>
      <c r="O541">
        <v>9</v>
      </c>
      <c r="P541">
        <v>50</v>
      </c>
      <c r="S541" t="s">
        <v>26</v>
      </c>
      <c r="T541" t="s">
        <v>69</v>
      </c>
    </row>
    <row r="542" spans="1:20" x14ac:dyDescent="0.3">
      <c r="A542">
        <v>151</v>
      </c>
      <c r="B542" s="37">
        <v>40550</v>
      </c>
      <c r="F542">
        <v>13</v>
      </c>
      <c r="G542" t="b">
        <v>0</v>
      </c>
      <c r="H542">
        <v>5</v>
      </c>
      <c r="I542">
        <v>2</v>
      </c>
      <c r="J542">
        <v>0.2</v>
      </c>
      <c r="K542">
        <v>40550</v>
      </c>
      <c r="L542">
        <v>0.18179999999999999</v>
      </c>
      <c r="M542">
        <v>0.37</v>
      </c>
      <c r="N542">
        <v>0.28360000000000002</v>
      </c>
      <c r="O542">
        <v>9</v>
      </c>
      <c r="P542">
        <v>64</v>
      </c>
      <c r="S542" t="s">
        <v>26</v>
      </c>
      <c r="T542" t="s">
        <v>69</v>
      </c>
    </row>
    <row r="543" spans="1:20" x14ac:dyDescent="0.3">
      <c r="A543">
        <v>152</v>
      </c>
      <c r="B543" s="37">
        <v>40550</v>
      </c>
      <c r="F543">
        <v>14</v>
      </c>
      <c r="G543" t="b">
        <v>0</v>
      </c>
      <c r="H543">
        <v>5</v>
      </c>
      <c r="I543">
        <v>2</v>
      </c>
      <c r="J543">
        <v>0.2</v>
      </c>
      <c r="K543">
        <v>40550</v>
      </c>
      <c r="L543">
        <v>0.19700000000000001</v>
      </c>
      <c r="M543">
        <v>0.4</v>
      </c>
      <c r="N543">
        <v>0.25369999999999998</v>
      </c>
      <c r="O543">
        <v>7</v>
      </c>
      <c r="P543">
        <v>43</v>
      </c>
      <c r="S543" t="s">
        <v>26</v>
      </c>
      <c r="T543" t="s">
        <v>69</v>
      </c>
    </row>
    <row r="544" spans="1:20" x14ac:dyDescent="0.3">
      <c r="A544">
        <v>153</v>
      </c>
      <c r="B544" s="37">
        <v>40550</v>
      </c>
      <c r="F544">
        <v>15</v>
      </c>
      <c r="G544" t="b">
        <v>0</v>
      </c>
      <c r="H544">
        <v>5</v>
      </c>
      <c r="I544">
        <v>2</v>
      </c>
      <c r="J544">
        <v>0.2</v>
      </c>
      <c r="K544">
        <v>40550</v>
      </c>
      <c r="L544">
        <v>0.21210000000000001</v>
      </c>
      <c r="M544">
        <v>0.37</v>
      </c>
      <c r="N544">
        <v>0.16420000000000001</v>
      </c>
      <c r="O544">
        <v>9</v>
      </c>
      <c r="P544">
        <v>63</v>
      </c>
      <c r="S544" t="s">
        <v>26</v>
      </c>
      <c r="T544" t="s">
        <v>69</v>
      </c>
    </row>
    <row r="545" spans="1:20" x14ac:dyDescent="0.3">
      <c r="A545">
        <v>154</v>
      </c>
      <c r="B545" s="37">
        <v>40550</v>
      </c>
      <c r="F545">
        <v>16</v>
      </c>
      <c r="G545" t="b">
        <v>0</v>
      </c>
      <c r="H545">
        <v>5</v>
      </c>
      <c r="I545">
        <v>2</v>
      </c>
      <c r="J545">
        <v>0.2</v>
      </c>
      <c r="K545">
        <v>40550</v>
      </c>
      <c r="L545">
        <v>0.21210000000000001</v>
      </c>
      <c r="M545">
        <v>0.37</v>
      </c>
      <c r="N545">
        <v>0.16420000000000001</v>
      </c>
      <c r="O545">
        <v>5</v>
      </c>
      <c r="P545">
        <v>82</v>
      </c>
      <c r="S545" t="s">
        <v>26</v>
      </c>
      <c r="T545" t="s">
        <v>69</v>
      </c>
    </row>
    <row r="546" spans="1:20" x14ac:dyDescent="0.3">
      <c r="A546">
        <v>155</v>
      </c>
      <c r="B546" s="37">
        <v>40550</v>
      </c>
      <c r="F546">
        <v>17</v>
      </c>
      <c r="G546" t="b">
        <v>0</v>
      </c>
      <c r="H546">
        <v>5</v>
      </c>
      <c r="I546">
        <v>2</v>
      </c>
      <c r="J546">
        <v>0.2</v>
      </c>
      <c r="K546">
        <v>40550</v>
      </c>
      <c r="L546">
        <v>0.2576</v>
      </c>
      <c r="M546">
        <v>0.37</v>
      </c>
      <c r="N546">
        <v>0</v>
      </c>
      <c r="O546">
        <v>9</v>
      </c>
      <c r="P546">
        <v>178</v>
      </c>
      <c r="S546" t="s">
        <v>26</v>
      </c>
      <c r="T546" t="s">
        <v>69</v>
      </c>
    </row>
    <row r="547" spans="1:20" x14ac:dyDescent="0.3">
      <c r="A547">
        <v>156</v>
      </c>
      <c r="B547" s="37">
        <v>40550</v>
      </c>
      <c r="F547">
        <v>18</v>
      </c>
      <c r="G547" t="b">
        <v>0</v>
      </c>
      <c r="H547">
        <v>5</v>
      </c>
      <c r="I547">
        <v>1</v>
      </c>
      <c r="J547">
        <v>0.2</v>
      </c>
      <c r="K547">
        <v>40550</v>
      </c>
      <c r="L547">
        <v>0.2273</v>
      </c>
      <c r="M547">
        <v>0.4</v>
      </c>
      <c r="N547">
        <v>8.9599999999999999E-2</v>
      </c>
      <c r="O547">
        <v>7</v>
      </c>
      <c r="P547">
        <v>116</v>
      </c>
      <c r="S547" t="s">
        <v>26</v>
      </c>
      <c r="T547" t="s">
        <v>69</v>
      </c>
    </row>
    <row r="548" spans="1:20" x14ac:dyDescent="0.3">
      <c r="A548">
        <v>157</v>
      </c>
      <c r="B548" s="37">
        <v>40550</v>
      </c>
      <c r="F548">
        <v>19</v>
      </c>
      <c r="G548" t="b">
        <v>0</v>
      </c>
      <c r="H548">
        <v>5</v>
      </c>
      <c r="I548">
        <v>1</v>
      </c>
      <c r="J548">
        <v>0.16</v>
      </c>
      <c r="K548">
        <v>40550</v>
      </c>
      <c r="L548">
        <v>0.19700000000000001</v>
      </c>
      <c r="M548">
        <v>0.55000000000000004</v>
      </c>
      <c r="N548">
        <v>8.9599999999999999E-2</v>
      </c>
      <c r="O548">
        <v>3</v>
      </c>
      <c r="P548">
        <v>92</v>
      </c>
      <c r="S548" t="s">
        <v>26</v>
      </c>
      <c r="T548" t="s">
        <v>29</v>
      </c>
    </row>
    <row r="549" spans="1:20" x14ac:dyDescent="0.3">
      <c r="A549">
        <v>158</v>
      </c>
      <c r="B549" s="37">
        <v>40550</v>
      </c>
      <c r="F549">
        <v>20</v>
      </c>
      <c r="G549" t="b">
        <v>0</v>
      </c>
      <c r="H549">
        <v>5</v>
      </c>
      <c r="I549">
        <v>1</v>
      </c>
      <c r="J549">
        <v>0.18</v>
      </c>
      <c r="K549">
        <v>40550</v>
      </c>
      <c r="L549">
        <v>0.21210000000000001</v>
      </c>
      <c r="M549">
        <v>0.47</v>
      </c>
      <c r="N549">
        <v>0.1045</v>
      </c>
      <c r="O549">
        <v>1</v>
      </c>
      <c r="P549">
        <v>50</v>
      </c>
      <c r="S549" t="s">
        <v>26</v>
      </c>
      <c r="T549" t="s">
        <v>29</v>
      </c>
    </row>
    <row r="550" spans="1:20" x14ac:dyDescent="0.3">
      <c r="A550">
        <v>159</v>
      </c>
      <c r="B550" s="37">
        <v>40550</v>
      </c>
      <c r="F550">
        <v>21</v>
      </c>
      <c r="G550" t="b">
        <v>0</v>
      </c>
      <c r="H550">
        <v>5</v>
      </c>
      <c r="I550">
        <v>1</v>
      </c>
      <c r="J550">
        <v>0.18</v>
      </c>
      <c r="K550">
        <v>40550</v>
      </c>
      <c r="L550">
        <v>0.19700000000000001</v>
      </c>
      <c r="M550">
        <v>0.47</v>
      </c>
      <c r="N550">
        <v>0.1343</v>
      </c>
      <c r="O550">
        <v>0</v>
      </c>
      <c r="P550">
        <v>39</v>
      </c>
      <c r="S550" t="s">
        <v>26</v>
      </c>
      <c r="T550" t="s">
        <v>29</v>
      </c>
    </row>
    <row r="551" spans="1:20" x14ac:dyDescent="0.3">
      <c r="A551">
        <v>160</v>
      </c>
      <c r="B551" s="37">
        <v>40550</v>
      </c>
      <c r="F551">
        <v>22</v>
      </c>
      <c r="G551" t="b">
        <v>0</v>
      </c>
      <c r="H551">
        <v>5</v>
      </c>
      <c r="I551">
        <v>2</v>
      </c>
      <c r="J551">
        <v>0.18</v>
      </c>
      <c r="K551">
        <v>40550</v>
      </c>
      <c r="L551">
        <v>0.19700000000000001</v>
      </c>
      <c r="M551">
        <v>0.43</v>
      </c>
      <c r="N551">
        <v>0.16420000000000001</v>
      </c>
      <c r="O551">
        <v>2</v>
      </c>
      <c r="P551">
        <v>34</v>
      </c>
      <c r="S551" t="s">
        <v>26</v>
      </c>
      <c r="T551" t="s">
        <v>29</v>
      </c>
    </row>
    <row r="552" spans="1:20" x14ac:dyDescent="0.3">
      <c r="A552">
        <v>161</v>
      </c>
      <c r="B552" s="37">
        <v>40550</v>
      </c>
      <c r="F552">
        <v>23</v>
      </c>
      <c r="G552" t="b">
        <v>0</v>
      </c>
      <c r="H552">
        <v>5</v>
      </c>
      <c r="I552">
        <v>2</v>
      </c>
      <c r="J552">
        <v>0.18</v>
      </c>
      <c r="K552">
        <v>40550</v>
      </c>
      <c r="L552">
        <v>0.19700000000000001</v>
      </c>
      <c r="M552">
        <v>0.51</v>
      </c>
      <c r="N552">
        <v>0.16420000000000001</v>
      </c>
      <c r="O552">
        <v>1</v>
      </c>
      <c r="P552">
        <v>14</v>
      </c>
      <c r="S552" t="s">
        <v>26</v>
      </c>
      <c r="T552" t="s">
        <v>29</v>
      </c>
    </row>
    <row r="553" spans="1:20" x14ac:dyDescent="0.3">
      <c r="A553">
        <v>162</v>
      </c>
      <c r="B553" s="37">
        <v>40551</v>
      </c>
      <c r="F553">
        <v>0</v>
      </c>
      <c r="G553" t="b">
        <v>0</v>
      </c>
      <c r="H553">
        <v>6</v>
      </c>
      <c r="I553">
        <v>2</v>
      </c>
      <c r="J553">
        <v>0.18</v>
      </c>
      <c r="K553">
        <v>40551</v>
      </c>
      <c r="L553">
        <v>0.19700000000000001</v>
      </c>
      <c r="M553">
        <v>0.51</v>
      </c>
      <c r="N553">
        <v>0.16420000000000001</v>
      </c>
      <c r="O553">
        <v>1</v>
      </c>
      <c r="P553">
        <v>24</v>
      </c>
      <c r="S553" t="s">
        <v>20</v>
      </c>
      <c r="T553" t="s">
        <v>29</v>
      </c>
    </row>
    <row r="554" spans="1:20" x14ac:dyDescent="0.3">
      <c r="A554">
        <v>163</v>
      </c>
      <c r="B554" s="37">
        <v>40551</v>
      </c>
      <c r="F554">
        <v>1</v>
      </c>
      <c r="G554" t="b">
        <v>0</v>
      </c>
      <c r="H554">
        <v>6</v>
      </c>
      <c r="I554">
        <v>2</v>
      </c>
      <c r="J554">
        <v>0.18</v>
      </c>
      <c r="K554">
        <v>40551</v>
      </c>
      <c r="L554">
        <v>0.21210000000000001</v>
      </c>
      <c r="M554">
        <v>0.55000000000000004</v>
      </c>
      <c r="N554">
        <v>8.9599999999999999E-2</v>
      </c>
      <c r="O554">
        <v>1</v>
      </c>
      <c r="P554">
        <v>15</v>
      </c>
      <c r="S554" t="s">
        <v>20</v>
      </c>
      <c r="T554" t="s">
        <v>29</v>
      </c>
    </row>
    <row r="555" spans="1:20" x14ac:dyDescent="0.3">
      <c r="A555">
        <v>164</v>
      </c>
      <c r="B555" s="37">
        <v>40551</v>
      </c>
      <c r="F555">
        <v>2</v>
      </c>
      <c r="G555" t="b">
        <v>0</v>
      </c>
      <c r="H555">
        <v>6</v>
      </c>
      <c r="I555">
        <v>2</v>
      </c>
      <c r="J555">
        <v>0.18</v>
      </c>
      <c r="K555">
        <v>40551</v>
      </c>
      <c r="L555">
        <v>0.2424</v>
      </c>
      <c r="M555">
        <v>0.55000000000000004</v>
      </c>
      <c r="N555">
        <v>0</v>
      </c>
      <c r="O555">
        <v>3</v>
      </c>
      <c r="P555">
        <v>13</v>
      </c>
      <c r="S555" t="s">
        <v>20</v>
      </c>
      <c r="T555" t="s">
        <v>29</v>
      </c>
    </row>
    <row r="556" spans="1:20" x14ac:dyDescent="0.3">
      <c r="A556">
        <v>165</v>
      </c>
      <c r="B556" s="37">
        <v>40551</v>
      </c>
      <c r="F556">
        <v>3</v>
      </c>
      <c r="G556" t="b">
        <v>0</v>
      </c>
      <c r="H556">
        <v>6</v>
      </c>
      <c r="I556">
        <v>3</v>
      </c>
      <c r="J556">
        <v>0.18</v>
      </c>
      <c r="K556">
        <v>40551</v>
      </c>
      <c r="L556">
        <v>0.19700000000000001</v>
      </c>
      <c r="M556">
        <v>0.55000000000000004</v>
      </c>
      <c r="N556">
        <v>0.16420000000000001</v>
      </c>
      <c r="O556">
        <v>0</v>
      </c>
      <c r="P556">
        <v>7</v>
      </c>
      <c r="S556" t="s">
        <v>20</v>
      </c>
      <c r="T556" t="s">
        <v>29</v>
      </c>
    </row>
    <row r="557" spans="1:20" x14ac:dyDescent="0.3">
      <c r="A557">
        <v>166</v>
      </c>
      <c r="B557" s="37">
        <v>40551</v>
      </c>
      <c r="F557">
        <v>4</v>
      </c>
      <c r="G557" t="b">
        <v>0</v>
      </c>
      <c r="H557">
        <v>6</v>
      </c>
      <c r="I557">
        <v>3</v>
      </c>
      <c r="J557">
        <v>0.18</v>
      </c>
      <c r="K557">
        <v>40551</v>
      </c>
      <c r="L557">
        <v>0.19700000000000001</v>
      </c>
      <c r="M557">
        <v>0.55000000000000004</v>
      </c>
      <c r="N557">
        <v>0.16420000000000001</v>
      </c>
      <c r="O557">
        <v>0</v>
      </c>
      <c r="P557">
        <v>1</v>
      </c>
      <c r="S557" t="s">
        <v>20</v>
      </c>
      <c r="T557" t="s">
        <v>29</v>
      </c>
    </row>
    <row r="558" spans="1:20" x14ac:dyDescent="0.3">
      <c r="A558">
        <v>167</v>
      </c>
      <c r="B558" s="37">
        <v>40551</v>
      </c>
      <c r="F558">
        <v>5</v>
      </c>
      <c r="G558" t="b">
        <v>0</v>
      </c>
      <c r="H558">
        <v>6</v>
      </c>
      <c r="I558">
        <v>2</v>
      </c>
      <c r="J558">
        <v>0.16</v>
      </c>
      <c r="K558">
        <v>40551</v>
      </c>
      <c r="L558">
        <v>0.16669999999999999</v>
      </c>
      <c r="M558">
        <v>0.74</v>
      </c>
      <c r="N558">
        <v>0.16420000000000001</v>
      </c>
      <c r="O558">
        <v>0</v>
      </c>
      <c r="P558">
        <v>5</v>
      </c>
      <c r="S558" t="s">
        <v>20</v>
      </c>
      <c r="T558" t="s">
        <v>29</v>
      </c>
    </row>
    <row r="559" spans="1:20" x14ac:dyDescent="0.3">
      <c r="A559">
        <v>168</v>
      </c>
      <c r="B559" s="37">
        <v>40551</v>
      </c>
      <c r="F559">
        <v>6</v>
      </c>
      <c r="G559" t="b">
        <v>0</v>
      </c>
      <c r="H559">
        <v>6</v>
      </c>
      <c r="I559">
        <v>2</v>
      </c>
      <c r="J559">
        <v>0.16</v>
      </c>
      <c r="K559">
        <v>40551</v>
      </c>
      <c r="L559">
        <v>0.16669999999999999</v>
      </c>
      <c r="M559">
        <v>0.74</v>
      </c>
      <c r="N559">
        <v>0.16420000000000001</v>
      </c>
      <c r="O559">
        <v>0</v>
      </c>
      <c r="P559">
        <v>2</v>
      </c>
      <c r="S559" t="s">
        <v>20</v>
      </c>
      <c r="T559" t="s">
        <v>69</v>
      </c>
    </row>
    <row r="560" spans="1:20" x14ac:dyDescent="0.3">
      <c r="A560">
        <v>169</v>
      </c>
      <c r="B560" s="37">
        <v>40551</v>
      </c>
      <c r="F560">
        <v>7</v>
      </c>
      <c r="G560" t="b">
        <v>0</v>
      </c>
      <c r="H560">
        <v>6</v>
      </c>
      <c r="I560">
        <v>2</v>
      </c>
      <c r="J560">
        <v>0.16</v>
      </c>
      <c r="K560">
        <v>40551</v>
      </c>
      <c r="L560">
        <v>0.18179999999999999</v>
      </c>
      <c r="M560">
        <v>0.74</v>
      </c>
      <c r="N560">
        <v>0.1045</v>
      </c>
      <c r="O560">
        <v>1</v>
      </c>
      <c r="P560">
        <v>8</v>
      </c>
      <c r="S560" t="s">
        <v>20</v>
      </c>
      <c r="T560" t="s">
        <v>69</v>
      </c>
    </row>
    <row r="561" spans="1:20" x14ac:dyDescent="0.3">
      <c r="A561">
        <v>170</v>
      </c>
      <c r="B561" s="37">
        <v>40551</v>
      </c>
      <c r="F561">
        <v>8</v>
      </c>
      <c r="G561" t="b">
        <v>0</v>
      </c>
      <c r="H561">
        <v>6</v>
      </c>
      <c r="I561">
        <v>3</v>
      </c>
      <c r="J561">
        <v>0.16</v>
      </c>
      <c r="K561">
        <v>40551</v>
      </c>
      <c r="L561">
        <v>0.18179999999999999</v>
      </c>
      <c r="M561">
        <v>0.93</v>
      </c>
      <c r="N561">
        <v>0.1045</v>
      </c>
      <c r="O561">
        <v>0</v>
      </c>
      <c r="P561">
        <v>15</v>
      </c>
      <c r="S561" t="s">
        <v>20</v>
      </c>
      <c r="T561" t="s">
        <v>69</v>
      </c>
    </row>
    <row r="562" spans="1:20" x14ac:dyDescent="0.3">
      <c r="A562">
        <v>171</v>
      </c>
      <c r="B562" s="37">
        <v>40551</v>
      </c>
      <c r="F562">
        <v>9</v>
      </c>
      <c r="G562" t="b">
        <v>0</v>
      </c>
      <c r="H562">
        <v>6</v>
      </c>
      <c r="I562">
        <v>3</v>
      </c>
      <c r="J562">
        <v>0.16</v>
      </c>
      <c r="K562">
        <v>40551</v>
      </c>
      <c r="L562">
        <v>0.18179999999999999</v>
      </c>
      <c r="M562">
        <v>0.93</v>
      </c>
      <c r="N562">
        <v>0.1045</v>
      </c>
      <c r="O562">
        <v>0</v>
      </c>
      <c r="P562">
        <v>20</v>
      </c>
      <c r="S562" t="s">
        <v>20</v>
      </c>
      <c r="T562" t="s">
        <v>69</v>
      </c>
    </row>
    <row r="563" spans="1:20" x14ac:dyDescent="0.3">
      <c r="A563">
        <v>172</v>
      </c>
      <c r="B563" s="37">
        <v>40551</v>
      </c>
      <c r="F563">
        <v>10</v>
      </c>
      <c r="G563" t="b">
        <v>0</v>
      </c>
      <c r="H563">
        <v>6</v>
      </c>
      <c r="I563">
        <v>2</v>
      </c>
      <c r="J563">
        <v>0.18</v>
      </c>
      <c r="K563">
        <v>40551</v>
      </c>
      <c r="L563">
        <v>0.19700000000000001</v>
      </c>
      <c r="M563">
        <v>0.8</v>
      </c>
      <c r="N563">
        <v>0.16420000000000001</v>
      </c>
      <c r="O563">
        <v>5</v>
      </c>
      <c r="P563">
        <v>56</v>
      </c>
      <c r="S563" t="s">
        <v>20</v>
      </c>
      <c r="T563" t="s">
        <v>69</v>
      </c>
    </row>
    <row r="564" spans="1:20" x14ac:dyDescent="0.3">
      <c r="A564">
        <v>173</v>
      </c>
      <c r="B564" s="37">
        <v>40551</v>
      </c>
      <c r="F564">
        <v>11</v>
      </c>
      <c r="G564" t="b">
        <v>0</v>
      </c>
      <c r="H564">
        <v>6</v>
      </c>
      <c r="I564">
        <v>2</v>
      </c>
      <c r="J564">
        <v>0.2</v>
      </c>
      <c r="K564">
        <v>40551</v>
      </c>
      <c r="L564">
        <v>0.18179999999999999</v>
      </c>
      <c r="M564">
        <v>0.69</v>
      </c>
      <c r="N564">
        <v>0.3881</v>
      </c>
      <c r="O564">
        <v>2</v>
      </c>
      <c r="P564">
        <v>60</v>
      </c>
      <c r="S564" t="s">
        <v>20</v>
      </c>
      <c r="T564" t="s">
        <v>69</v>
      </c>
    </row>
    <row r="565" spans="1:20" x14ac:dyDescent="0.3">
      <c r="A565">
        <v>174</v>
      </c>
      <c r="B565" s="37">
        <v>40551</v>
      </c>
      <c r="F565">
        <v>12</v>
      </c>
      <c r="G565" t="b">
        <v>0</v>
      </c>
      <c r="H565">
        <v>6</v>
      </c>
      <c r="I565">
        <v>2</v>
      </c>
      <c r="J565">
        <v>0.2</v>
      </c>
      <c r="K565">
        <v>40551</v>
      </c>
      <c r="L565">
        <v>0.18179999999999999</v>
      </c>
      <c r="M565">
        <v>0.59</v>
      </c>
      <c r="N565">
        <v>0.35820000000000002</v>
      </c>
      <c r="O565">
        <v>8</v>
      </c>
      <c r="P565">
        <v>90</v>
      </c>
      <c r="S565" t="s">
        <v>20</v>
      </c>
      <c r="T565" t="s">
        <v>69</v>
      </c>
    </row>
    <row r="566" spans="1:20" x14ac:dyDescent="0.3">
      <c r="A566">
        <v>175</v>
      </c>
      <c r="B566" s="37">
        <v>40551</v>
      </c>
      <c r="F566">
        <v>13</v>
      </c>
      <c r="G566" t="b">
        <v>0</v>
      </c>
      <c r="H566">
        <v>6</v>
      </c>
      <c r="I566">
        <v>1</v>
      </c>
      <c r="J566">
        <v>0.2</v>
      </c>
      <c r="K566">
        <v>40551</v>
      </c>
      <c r="L566">
        <v>0.18179999999999999</v>
      </c>
      <c r="M566">
        <v>0.44</v>
      </c>
      <c r="N566">
        <v>0.32840000000000003</v>
      </c>
      <c r="O566">
        <v>7</v>
      </c>
      <c r="P566">
        <v>95</v>
      </c>
      <c r="S566" t="s">
        <v>20</v>
      </c>
      <c r="T566" t="s">
        <v>69</v>
      </c>
    </row>
    <row r="567" spans="1:20" x14ac:dyDescent="0.3">
      <c r="A567">
        <v>176</v>
      </c>
      <c r="B567" s="37">
        <v>40551</v>
      </c>
      <c r="F567">
        <v>14</v>
      </c>
      <c r="G567" t="b">
        <v>0</v>
      </c>
      <c r="H567">
        <v>6</v>
      </c>
      <c r="I567">
        <v>1</v>
      </c>
      <c r="J567">
        <v>0.2</v>
      </c>
      <c r="K567">
        <v>40551</v>
      </c>
      <c r="L567">
        <v>0.16669999999999999</v>
      </c>
      <c r="M567">
        <v>0.32</v>
      </c>
      <c r="N567">
        <v>0.49249999999999999</v>
      </c>
      <c r="O567">
        <v>12</v>
      </c>
      <c r="P567">
        <v>83</v>
      </c>
      <c r="S567" t="s">
        <v>20</v>
      </c>
      <c r="T567" t="s">
        <v>69</v>
      </c>
    </row>
    <row r="568" spans="1:20" x14ac:dyDescent="0.3">
      <c r="A568">
        <v>177</v>
      </c>
      <c r="B568" s="37">
        <v>40551</v>
      </c>
      <c r="F568">
        <v>15</v>
      </c>
      <c r="G568" t="b">
        <v>0</v>
      </c>
      <c r="H568">
        <v>6</v>
      </c>
      <c r="I568">
        <v>1</v>
      </c>
      <c r="J568">
        <v>0.2</v>
      </c>
      <c r="K568">
        <v>40551</v>
      </c>
      <c r="L568">
        <v>0.16669999999999999</v>
      </c>
      <c r="M568">
        <v>0.32</v>
      </c>
      <c r="N568">
        <v>0.44779999999999998</v>
      </c>
      <c r="O568">
        <v>5</v>
      </c>
      <c r="P568">
        <v>69</v>
      </c>
      <c r="S568" t="s">
        <v>20</v>
      </c>
      <c r="T568" t="s">
        <v>69</v>
      </c>
    </row>
    <row r="569" spans="1:20" x14ac:dyDescent="0.3">
      <c r="A569">
        <v>178</v>
      </c>
      <c r="B569" s="37">
        <v>40551</v>
      </c>
      <c r="F569">
        <v>16</v>
      </c>
      <c r="G569" t="b">
        <v>0</v>
      </c>
      <c r="H569">
        <v>6</v>
      </c>
      <c r="I569">
        <v>1</v>
      </c>
      <c r="J569">
        <v>0.18</v>
      </c>
      <c r="K569">
        <v>40551</v>
      </c>
      <c r="L569">
        <v>0.13639999999999999</v>
      </c>
      <c r="M569">
        <v>0.28999999999999998</v>
      </c>
      <c r="N569">
        <v>0.44779999999999998</v>
      </c>
      <c r="O569">
        <v>8</v>
      </c>
      <c r="P569">
        <v>68</v>
      </c>
      <c r="S569" t="s">
        <v>20</v>
      </c>
      <c r="T569" t="s">
        <v>69</v>
      </c>
    </row>
    <row r="570" spans="1:20" x14ac:dyDescent="0.3">
      <c r="A570">
        <v>179</v>
      </c>
      <c r="B570" s="37">
        <v>40551</v>
      </c>
      <c r="F570">
        <v>17</v>
      </c>
      <c r="G570" t="b">
        <v>0</v>
      </c>
      <c r="H570">
        <v>6</v>
      </c>
      <c r="I570">
        <v>1</v>
      </c>
      <c r="J570">
        <v>0.16</v>
      </c>
      <c r="K570">
        <v>40551</v>
      </c>
      <c r="L570">
        <v>0.1212</v>
      </c>
      <c r="M570">
        <v>0.37</v>
      </c>
      <c r="N570">
        <v>0.55220000000000002</v>
      </c>
      <c r="O570">
        <v>5</v>
      </c>
      <c r="P570">
        <v>64</v>
      </c>
      <c r="S570" t="s">
        <v>20</v>
      </c>
      <c r="T570" t="s">
        <v>69</v>
      </c>
    </row>
    <row r="571" spans="1:20" x14ac:dyDescent="0.3">
      <c r="A571">
        <v>180</v>
      </c>
      <c r="B571" s="37">
        <v>40551</v>
      </c>
      <c r="F571">
        <v>18</v>
      </c>
      <c r="G571" t="b">
        <v>0</v>
      </c>
      <c r="H571">
        <v>6</v>
      </c>
      <c r="I571">
        <v>1</v>
      </c>
      <c r="J571">
        <v>0.14000000000000001</v>
      </c>
      <c r="K571">
        <v>40551</v>
      </c>
      <c r="L571">
        <v>0.1212</v>
      </c>
      <c r="M571">
        <v>0.39</v>
      </c>
      <c r="N571">
        <v>0.29849999999999999</v>
      </c>
      <c r="O571">
        <v>3</v>
      </c>
      <c r="P571">
        <v>52</v>
      </c>
      <c r="S571" t="s">
        <v>20</v>
      </c>
      <c r="T571" t="s">
        <v>69</v>
      </c>
    </row>
    <row r="572" spans="1:20" x14ac:dyDescent="0.3">
      <c r="A572">
        <v>181</v>
      </c>
      <c r="B572" s="37">
        <v>40551</v>
      </c>
      <c r="F572">
        <v>19</v>
      </c>
      <c r="G572" t="b">
        <v>0</v>
      </c>
      <c r="H572">
        <v>6</v>
      </c>
      <c r="I572">
        <v>1</v>
      </c>
      <c r="J572">
        <v>0.14000000000000001</v>
      </c>
      <c r="K572">
        <v>40551</v>
      </c>
      <c r="L572">
        <v>0.1212</v>
      </c>
      <c r="M572">
        <v>0.36</v>
      </c>
      <c r="N572">
        <v>0.25369999999999998</v>
      </c>
      <c r="O572">
        <v>4</v>
      </c>
      <c r="P572">
        <v>26</v>
      </c>
      <c r="S572" t="s">
        <v>20</v>
      </c>
      <c r="T572" t="s">
        <v>29</v>
      </c>
    </row>
    <row r="573" spans="1:20" x14ac:dyDescent="0.3">
      <c r="A573">
        <v>182</v>
      </c>
      <c r="B573" s="37">
        <v>40551</v>
      </c>
      <c r="F573">
        <v>20</v>
      </c>
      <c r="G573" t="b">
        <v>0</v>
      </c>
      <c r="H573">
        <v>6</v>
      </c>
      <c r="I573">
        <v>1</v>
      </c>
      <c r="J573">
        <v>0.12</v>
      </c>
      <c r="K573">
        <v>40551</v>
      </c>
      <c r="L573">
        <v>0.1212</v>
      </c>
      <c r="M573">
        <v>0.36</v>
      </c>
      <c r="N573">
        <v>0.25369999999999998</v>
      </c>
      <c r="O573">
        <v>0</v>
      </c>
      <c r="P573">
        <v>28</v>
      </c>
      <c r="S573" t="s">
        <v>20</v>
      </c>
      <c r="T573" t="s">
        <v>29</v>
      </c>
    </row>
    <row r="574" spans="1:20" x14ac:dyDescent="0.3">
      <c r="A574">
        <v>183</v>
      </c>
      <c r="B574" s="37">
        <v>40551</v>
      </c>
      <c r="F574">
        <v>21</v>
      </c>
      <c r="G574" t="b">
        <v>0</v>
      </c>
      <c r="H574">
        <v>6</v>
      </c>
      <c r="I574">
        <v>1</v>
      </c>
      <c r="J574">
        <v>0.12</v>
      </c>
      <c r="K574">
        <v>40551</v>
      </c>
      <c r="L574">
        <v>0.1061</v>
      </c>
      <c r="M574">
        <v>0.39</v>
      </c>
      <c r="N574">
        <v>0.35820000000000002</v>
      </c>
      <c r="O574">
        <v>2</v>
      </c>
      <c r="P574">
        <v>35</v>
      </c>
      <c r="S574" t="s">
        <v>20</v>
      </c>
      <c r="T574" t="s">
        <v>29</v>
      </c>
    </row>
    <row r="575" spans="1:20" x14ac:dyDescent="0.3">
      <c r="A575">
        <v>184</v>
      </c>
      <c r="B575" s="37">
        <v>40551</v>
      </c>
      <c r="F575">
        <v>22</v>
      </c>
      <c r="G575" t="b">
        <v>0</v>
      </c>
      <c r="H575">
        <v>6</v>
      </c>
      <c r="I575">
        <v>1</v>
      </c>
      <c r="J575">
        <v>0.12</v>
      </c>
      <c r="K575">
        <v>40551</v>
      </c>
      <c r="L575">
        <v>0.1061</v>
      </c>
      <c r="M575">
        <v>0.36</v>
      </c>
      <c r="N575">
        <v>0.3881</v>
      </c>
      <c r="O575">
        <v>1</v>
      </c>
      <c r="P575">
        <v>33</v>
      </c>
      <c r="S575" t="s">
        <v>20</v>
      </c>
      <c r="T575" t="s">
        <v>29</v>
      </c>
    </row>
    <row r="576" spans="1:20" x14ac:dyDescent="0.3">
      <c r="A576">
        <v>185</v>
      </c>
      <c r="B576" s="37">
        <v>40551</v>
      </c>
      <c r="F576">
        <v>23</v>
      </c>
      <c r="G576" t="b">
        <v>0</v>
      </c>
      <c r="H576">
        <v>6</v>
      </c>
      <c r="I576">
        <v>1</v>
      </c>
      <c r="J576">
        <v>0.1</v>
      </c>
      <c r="K576">
        <v>40551</v>
      </c>
      <c r="L576">
        <v>6.0600000000000001E-2</v>
      </c>
      <c r="M576">
        <v>0.39</v>
      </c>
      <c r="N576">
        <v>0.44779999999999998</v>
      </c>
      <c r="O576">
        <v>0</v>
      </c>
      <c r="P576">
        <v>22</v>
      </c>
      <c r="S576" t="s">
        <v>20</v>
      </c>
      <c r="T576" t="s">
        <v>29</v>
      </c>
    </row>
    <row r="577" spans="1:20" x14ac:dyDescent="0.3">
      <c r="A577">
        <v>186</v>
      </c>
      <c r="B577" s="37">
        <v>40552</v>
      </c>
      <c r="F577">
        <v>0</v>
      </c>
      <c r="G577" t="b">
        <v>0</v>
      </c>
      <c r="H577">
        <v>0</v>
      </c>
      <c r="I577">
        <v>1</v>
      </c>
      <c r="J577">
        <v>0.1</v>
      </c>
      <c r="K577">
        <v>40552</v>
      </c>
      <c r="L577">
        <v>7.5800000000000006E-2</v>
      </c>
      <c r="M577">
        <v>0.42</v>
      </c>
      <c r="N577">
        <v>0.3881</v>
      </c>
      <c r="O577">
        <v>1</v>
      </c>
      <c r="P577">
        <v>24</v>
      </c>
      <c r="S577" t="s">
        <v>21</v>
      </c>
      <c r="T577" t="s">
        <v>29</v>
      </c>
    </row>
    <row r="578" spans="1:20" x14ac:dyDescent="0.3">
      <c r="A578">
        <v>187</v>
      </c>
      <c r="B578" s="37">
        <v>40552</v>
      </c>
      <c r="F578">
        <v>1</v>
      </c>
      <c r="G578" t="b">
        <v>0</v>
      </c>
      <c r="H578">
        <v>0</v>
      </c>
      <c r="I578">
        <v>1</v>
      </c>
      <c r="J578">
        <v>0.1</v>
      </c>
      <c r="K578">
        <v>40552</v>
      </c>
      <c r="L578">
        <v>6.0600000000000001E-2</v>
      </c>
      <c r="M578">
        <v>0.42</v>
      </c>
      <c r="N578">
        <v>0.4627</v>
      </c>
      <c r="O578">
        <v>0</v>
      </c>
      <c r="P578">
        <v>12</v>
      </c>
      <c r="S578" t="s">
        <v>21</v>
      </c>
      <c r="T578" t="s">
        <v>29</v>
      </c>
    </row>
    <row r="579" spans="1:20" x14ac:dyDescent="0.3">
      <c r="A579">
        <v>188</v>
      </c>
      <c r="B579" s="37">
        <v>40552</v>
      </c>
      <c r="F579">
        <v>2</v>
      </c>
      <c r="G579" t="b">
        <v>0</v>
      </c>
      <c r="H579">
        <v>0</v>
      </c>
      <c r="I579">
        <v>1</v>
      </c>
      <c r="J579">
        <v>0.1</v>
      </c>
      <c r="K579">
        <v>40552</v>
      </c>
      <c r="L579">
        <v>6.0600000000000001E-2</v>
      </c>
      <c r="M579">
        <v>0.46</v>
      </c>
      <c r="N579">
        <v>0.4627</v>
      </c>
      <c r="O579">
        <v>0</v>
      </c>
      <c r="P579">
        <v>11</v>
      </c>
      <c r="S579" t="s">
        <v>21</v>
      </c>
      <c r="T579" t="s">
        <v>29</v>
      </c>
    </row>
    <row r="580" spans="1:20" x14ac:dyDescent="0.3">
      <c r="A580">
        <v>189</v>
      </c>
      <c r="B580" s="37">
        <v>40552</v>
      </c>
      <c r="F580">
        <v>3</v>
      </c>
      <c r="G580" t="b">
        <v>0</v>
      </c>
      <c r="H580">
        <v>0</v>
      </c>
      <c r="I580">
        <v>1</v>
      </c>
      <c r="J580">
        <v>0.1</v>
      </c>
      <c r="K580">
        <v>40552</v>
      </c>
      <c r="L580">
        <v>7.5800000000000006E-2</v>
      </c>
      <c r="M580">
        <v>0.46</v>
      </c>
      <c r="N580">
        <v>0.41789999999999999</v>
      </c>
      <c r="O580">
        <v>0</v>
      </c>
      <c r="P580">
        <v>4</v>
      </c>
      <c r="S580" t="s">
        <v>21</v>
      </c>
      <c r="T580" t="s">
        <v>29</v>
      </c>
    </row>
    <row r="581" spans="1:20" x14ac:dyDescent="0.3">
      <c r="A581">
        <v>190</v>
      </c>
      <c r="B581" s="37">
        <v>40552</v>
      </c>
      <c r="F581">
        <v>4</v>
      </c>
      <c r="G581" t="b">
        <v>0</v>
      </c>
      <c r="H581">
        <v>0</v>
      </c>
      <c r="I581">
        <v>1</v>
      </c>
      <c r="J581">
        <v>0.08</v>
      </c>
      <c r="K581">
        <v>40552</v>
      </c>
      <c r="L581">
        <v>9.0899999999999995E-2</v>
      </c>
      <c r="M581">
        <v>0.53</v>
      </c>
      <c r="N581">
        <v>0.19400000000000001</v>
      </c>
      <c r="O581">
        <v>0</v>
      </c>
      <c r="P581">
        <v>1</v>
      </c>
      <c r="S581" t="s">
        <v>21</v>
      </c>
      <c r="T581" t="s">
        <v>29</v>
      </c>
    </row>
    <row r="582" spans="1:20" x14ac:dyDescent="0.3">
      <c r="A582">
        <v>191</v>
      </c>
      <c r="B582" s="37">
        <v>40552</v>
      </c>
      <c r="F582">
        <v>5</v>
      </c>
      <c r="G582" t="b">
        <v>0</v>
      </c>
      <c r="H582">
        <v>0</v>
      </c>
      <c r="I582">
        <v>1</v>
      </c>
      <c r="J582">
        <v>0.08</v>
      </c>
      <c r="K582">
        <v>40552</v>
      </c>
      <c r="L582">
        <v>9.0899999999999995E-2</v>
      </c>
      <c r="M582">
        <v>0.53</v>
      </c>
      <c r="N582">
        <v>0.19400000000000001</v>
      </c>
      <c r="O582">
        <v>0</v>
      </c>
      <c r="P582">
        <v>1</v>
      </c>
      <c r="S582" t="s">
        <v>21</v>
      </c>
      <c r="T582" t="s">
        <v>29</v>
      </c>
    </row>
    <row r="583" spans="1:20" x14ac:dyDescent="0.3">
      <c r="A583">
        <v>192</v>
      </c>
      <c r="B583" s="37">
        <v>40552</v>
      </c>
      <c r="F583">
        <v>6</v>
      </c>
      <c r="G583" t="b">
        <v>0</v>
      </c>
      <c r="H583">
        <v>0</v>
      </c>
      <c r="I583">
        <v>1</v>
      </c>
      <c r="J583">
        <v>0.1</v>
      </c>
      <c r="K583">
        <v>40552</v>
      </c>
      <c r="L583">
        <v>9.0899999999999995E-2</v>
      </c>
      <c r="M583">
        <v>0.49</v>
      </c>
      <c r="N583">
        <v>0.28360000000000002</v>
      </c>
      <c r="O583">
        <v>0</v>
      </c>
      <c r="P583">
        <v>1</v>
      </c>
      <c r="S583" t="s">
        <v>21</v>
      </c>
      <c r="T583" t="s">
        <v>69</v>
      </c>
    </row>
    <row r="584" spans="1:20" x14ac:dyDescent="0.3">
      <c r="A584">
        <v>193</v>
      </c>
      <c r="B584" s="37">
        <v>40552</v>
      </c>
      <c r="F584">
        <v>7</v>
      </c>
      <c r="G584" t="b">
        <v>0</v>
      </c>
      <c r="H584">
        <v>0</v>
      </c>
      <c r="I584">
        <v>1</v>
      </c>
      <c r="J584">
        <v>0.08</v>
      </c>
      <c r="K584">
        <v>40552</v>
      </c>
      <c r="L584">
        <v>9.0899999999999995E-2</v>
      </c>
      <c r="M584">
        <v>0.53</v>
      </c>
      <c r="N584">
        <v>0.19400000000000001</v>
      </c>
      <c r="O584">
        <v>1</v>
      </c>
      <c r="P584">
        <v>5</v>
      </c>
      <c r="S584" t="s">
        <v>21</v>
      </c>
      <c r="T584" t="s">
        <v>69</v>
      </c>
    </row>
    <row r="585" spans="1:20" x14ac:dyDescent="0.3">
      <c r="A585">
        <v>194</v>
      </c>
      <c r="B585" s="37">
        <v>40552</v>
      </c>
      <c r="F585">
        <v>8</v>
      </c>
      <c r="G585" t="b">
        <v>0</v>
      </c>
      <c r="H585">
        <v>0</v>
      </c>
      <c r="I585">
        <v>1</v>
      </c>
      <c r="J585">
        <v>0.1</v>
      </c>
      <c r="K585">
        <v>40552</v>
      </c>
      <c r="L585">
        <v>9.0899999999999995E-2</v>
      </c>
      <c r="M585">
        <v>0.49</v>
      </c>
      <c r="N585">
        <v>0.28360000000000002</v>
      </c>
      <c r="O585">
        <v>0</v>
      </c>
      <c r="P585">
        <v>10</v>
      </c>
      <c r="S585" t="s">
        <v>21</v>
      </c>
      <c r="T585" t="s">
        <v>69</v>
      </c>
    </row>
    <row r="586" spans="1:20" x14ac:dyDescent="0.3">
      <c r="A586">
        <v>195</v>
      </c>
      <c r="B586" s="37">
        <v>40552</v>
      </c>
      <c r="F586">
        <v>9</v>
      </c>
      <c r="G586" t="b">
        <v>0</v>
      </c>
      <c r="H586">
        <v>0</v>
      </c>
      <c r="I586">
        <v>1</v>
      </c>
      <c r="J586">
        <v>0.12</v>
      </c>
      <c r="K586">
        <v>40552</v>
      </c>
      <c r="L586">
        <v>7.5800000000000006E-2</v>
      </c>
      <c r="M586">
        <v>0.46</v>
      </c>
      <c r="N586">
        <v>0.52239999999999998</v>
      </c>
      <c r="O586">
        <v>0</v>
      </c>
      <c r="P586">
        <v>19</v>
      </c>
      <c r="S586" t="s">
        <v>21</v>
      </c>
      <c r="T586" t="s">
        <v>69</v>
      </c>
    </row>
    <row r="587" spans="1:20" x14ac:dyDescent="0.3">
      <c r="A587">
        <v>196</v>
      </c>
      <c r="B587" s="37">
        <v>40552</v>
      </c>
      <c r="F587">
        <v>10</v>
      </c>
      <c r="G587" t="b">
        <v>0</v>
      </c>
      <c r="H587">
        <v>0</v>
      </c>
      <c r="I587">
        <v>1</v>
      </c>
      <c r="J587">
        <v>0.14000000000000001</v>
      </c>
      <c r="K587">
        <v>40552</v>
      </c>
      <c r="L587">
        <v>0.1061</v>
      </c>
      <c r="M587">
        <v>0.43</v>
      </c>
      <c r="N587">
        <v>0.3881</v>
      </c>
      <c r="O587">
        <v>0</v>
      </c>
      <c r="P587">
        <v>49</v>
      </c>
      <c r="S587" t="s">
        <v>21</v>
      </c>
      <c r="T587" t="s">
        <v>69</v>
      </c>
    </row>
    <row r="588" spans="1:20" x14ac:dyDescent="0.3">
      <c r="A588">
        <v>197</v>
      </c>
      <c r="B588" s="37">
        <v>40552</v>
      </c>
      <c r="F588">
        <v>11</v>
      </c>
      <c r="G588" t="b">
        <v>0</v>
      </c>
      <c r="H588">
        <v>0</v>
      </c>
      <c r="I588">
        <v>1</v>
      </c>
      <c r="J588">
        <v>0.16</v>
      </c>
      <c r="K588">
        <v>40552</v>
      </c>
      <c r="L588">
        <v>0.1212</v>
      </c>
      <c r="M588">
        <v>0.4</v>
      </c>
      <c r="N588">
        <v>0.52239999999999998</v>
      </c>
      <c r="O588">
        <v>2</v>
      </c>
      <c r="P588">
        <v>47</v>
      </c>
      <c r="S588" t="s">
        <v>21</v>
      </c>
      <c r="T588" t="s">
        <v>69</v>
      </c>
    </row>
    <row r="589" spans="1:20" x14ac:dyDescent="0.3">
      <c r="A589">
        <v>198</v>
      </c>
      <c r="B589" s="37">
        <v>40552</v>
      </c>
      <c r="F589">
        <v>12</v>
      </c>
      <c r="G589" t="b">
        <v>0</v>
      </c>
      <c r="H589">
        <v>0</v>
      </c>
      <c r="I589">
        <v>1</v>
      </c>
      <c r="J589">
        <v>0.18</v>
      </c>
      <c r="K589">
        <v>40552</v>
      </c>
      <c r="L589">
        <v>0.13639999999999999</v>
      </c>
      <c r="M589">
        <v>0.37</v>
      </c>
      <c r="N589">
        <v>0.44779999999999998</v>
      </c>
      <c r="O589">
        <v>4</v>
      </c>
      <c r="P589">
        <v>79</v>
      </c>
      <c r="S589" t="s">
        <v>21</v>
      </c>
      <c r="T589" t="s">
        <v>69</v>
      </c>
    </row>
    <row r="590" spans="1:20" x14ac:dyDescent="0.3">
      <c r="A590">
        <v>199</v>
      </c>
      <c r="B590" s="37">
        <v>40552</v>
      </c>
      <c r="F590">
        <v>13</v>
      </c>
      <c r="G590" t="b">
        <v>0</v>
      </c>
      <c r="H590">
        <v>0</v>
      </c>
      <c r="I590">
        <v>1</v>
      </c>
      <c r="J590">
        <v>0.2</v>
      </c>
      <c r="K590">
        <v>40552</v>
      </c>
      <c r="L590">
        <v>0.16669999999999999</v>
      </c>
      <c r="M590">
        <v>0.34</v>
      </c>
      <c r="N590">
        <v>0.44779999999999998</v>
      </c>
      <c r="O590">
        <v>6</v>
      </c>
      <c r="P590">
        <v>69</v>
      </c>
      <c r="S590" t="s">
        <v>21</v>
      </c>
      <c r="T590" t="s">
        <v>69</v>
      </c>
    </row>
    <row r="591" spans="1:20" x14ac:dyDescent="0.3">
      <c r="A591">
        <v>200</v>
      </c>
      <c r="B591" s="37">
        <v>40552</v>
      </c>
      <c r="F591">
        <v>14</v>
      </c>
      <c r="G591" t="b">
        <v>0</v>
      </c>
      <c r="H591">
        <v>0</v>
      </c>
      <c r="I591">
        <v>1</v>
      </c>
      <c r="J591">
        <v>0.22</v>
      </c>
      <c r="K591">
        <v>40552</v>
      </c>
      <c r="L591">
        <v>0.18179999999999999</v>
      </c>
      <c r="M591">
        <v>0.32</v>
      </c>
      <c r="N591">
        <v>0.4627</v>
      </c>
      <c r="O591">
        <v>8</v>
      </c>
      <c r="P591">
        <v>64</v>
      </c>
      <c r="S591" t="s">
        <v>21</v>
      </c>
      <c r="T591" t="s">
        <v>69</v>
      </c>
    </row>
    <row r="592" spans="1:20" x14ac:dyDescent="0.3">
      <c r="A592">
        <v>201</v>
      </c>
      <c r="B592" s="37">
        <v>40552</v>
      </c>
      <c r="F592">
        <v>15</v>
      </c>
      <c r="G592" t="b">
        <v>0</v>
      </c>
      <c r="H592">
        <v>0</v>
      </c>
      <c r="I592">
        <v>1</v>
      </c>
      <c r="J592">
        <v>0.22</v>
      </c>
      <c r="K592">
        <v>40552</v>
      </c>
      <c r="L592">
        <v>0.19700000000000001</v>
      </c>
      <c r="M592">
        <v>0.35</v>
      </c>
      <c r="N592">
        <v>0.35820000000000002</v>
      </c>
      <c r="O592">
        <v>5</v>
      </c>
      <c r="P592">
        <v>77</v>
      </c>
      <c r="S592" t="s">
        <v>21</v>
      </c>
      <c r="T592" t="s">
        <v>69</v>
      </c>
    </row>
    <row r="593" spans="1:20" x14ac:dyDescent="0.3">
      <c r="A593">
        <v>202</v>
      </c>
      <c r="B593" s="37">
        <v>40552</v>
      </c>
      <c r="F593">
        <v>16</v>
      </c>
      <c r="G593" t="b">
        <v>0</v>
      </c>
      <c r="H593">
        <v>0</v>
      </c>
      <c r="I593">
        <v>1</v>
      </c>
      <c r="J593">
        <v>0.2</v>
      </c>
      <c r="K593">
        <v>40552</v>
      </c>
      <c r="L593">
        <v>0.16669999999999999</v>
      </c>
      <c r="M593">
        <v>0.34</v>
      </c>
      <c r="N593">
        <v>0.44779999999999998</v>
      </c>
      <c r="O593">
        <v>13</v>
      </c>
      <c r="P593">
        <v>79</v>
      </c>
      <c r="S593" t="s">
        <v>21</v>
      </c>
      <c r="T593" t="s">
        <v>69</v>
      </c>
    </row>
    <row r="594" spans="1:20" x14ac:dyDescent="0.3">
      <c r="A594">
        <v>203</v>
      </c>
      <c r="B594" s="37">
        <v>40552</v>
      </c>
      <c r="F594">
        <v>17</v>
      </c>
      <c r="G594" t="b">
        <v>0</v>
      </c>
      <c r="H594">
        <v>0</v>
      </c>
      <c r="I594">
        <v>1</v>
      </c>
      <c r="J594">
        <v>0.18</v>
      </c>
      <c r="K594">
        <v>40552</v>
      </c>
      <c r="L594">
        <v>0.1515</v>
      </c>
      <c r="M594">
        <v>0.37</v>
      </c>
      <c r="N594">
        <v>0.3881</v>
      </c>
      <c r="O594">
        <v>3</v>
      </c>
      <c r="P594">
        <v>59</v>
      </c>
      <c r="S594" t="s">
        <v>21</v>
      </c>
      <c r="T594" t="s">
        <v>69</v>
      </c>
    </row>
    <row r="595" spans="1:20" x14ac:dyDescent="0.3">
      <c r="A595">
        <v>204</v>
      </c>
      <c r="B595" s="37">
        <v>40552</v>
      </c>
      <c r="F595">
        <v>18</v>
      </c>
      <c r="G595" t="b">
        <v>0</v>
      </c>
      <c r="H595">
        <v>0</v>
      </c>
      <c r="I595">
        <v>1</v>
      </c>
      <c r="J595">
        <v>0.16</v>
      </c>
      <c r="K595">
        <v>40552</v>
      </c>
      <c r="L595">
        <v>0.13639999999999999</v>
      </c>
      <c r="M595">
        <v>0.4</v>
      </c>
      <c r="N595">
        <v>0.32840000000000003</v>
      </c>
      <c r="O595">
        <v>4</v>
      </c>
      <c r="P595">
        <v>44</v>
      </c>
      <c r="S595" t="s">
        <v>21</v>
      </c>
      <c r="T595" t="s">
        <v>69</v>
      </c>
    </row>
    <row r="596" spans="1:20" x14ac:dyDescent="0.3">
      <c r="A596">
        <v>205</v>
      </c>
      <c r="B596" s="37">
        <v>40552</v>
      </c>
      <c r="F596">
        <v>19</v>
      </c>
      <c r="G596" t="b">
        <v>0</v>
      </c>
      <c r="H596">
        <v>0</v>
      </c>
      <c r="I596">
        <v>1</v>
      </c>
      <c r="J596">
        <v>0.16</v>
      </c>
      <c r="K596">
        <v>40552</v>
      </c>
      <c r="L596">
        <v>0.13639999999999999</v>
      </c>
      <c r="M596">
        <v>0.43</v>
      </c>
      <c r="N596">
        <v>0.32840000000000003</v>
      </c>
      <c r="O596">
        <v>1</v>
      </c>
      <c r="P596">
        <v>40</v>
      </c>
      <c r="S596" t="s">
        <v>21</v>
      </c>
      <c r="T596" t="s">
        <v>29</v>
      </c>
    </row>
    <row r="597" spans="1:20" x14ac:dyDescent="0.3">
      <c r="A597">
        <v>206</v>
      </c>
      <c r="B597" s="37">
        <v>40552</v>
      </c>
      <c r="F597">
        <v>20</v>
      </c>
      <c r="G597" t="b">
        <v>0</v>
      </c>
      <c r="H597">
        <v>0</v>
      </c>
      <c r="I597">
        <v>1</v>
      </c>
      <c r="J597">
        <v>0.14000000000000001</v>
      </c>
      <c r="K597">
        <v>40552</v>
      </c>
      <c r="L597">
        <v>0.1212</v>
      </c>
      <c r="M597">
        <v>0.46</v>
      </c>
      <c r="N597">
        <v>0.25369999999999998</v>
      </c>
      <c r="O597">
        <v>0</v>
      </c>
      <c r="P597">
        <v>38</v>
      </c>
      <c r="S597" t="s">
        <v>21</v>
      </c>
      <c r="T597" t="s">
        <v>29</v>
      </c>
    </row>
    <row r="598" spans="1:20" x14ac:dyDescent="0.3">
      <c r="A598">
        <v>207</v>
      </c>
      <c r="B598" s="37">
        <v>40552</v>
      </c>
      <c r="F598">
        <v>21</v>
      </c>
      <c r="G598" t="b">
        <v>0</v>
      </c>
      <c r="H598">
        <v>0</v>
      </c>
      <c r="I598">
        <v>1</v>
      </c>
      <c r="J598">
        <v>0.14000000000000001</v>
      </c>
      <c r="K598">
        <v>40552</v>
      </c>
      <c r="L598">
        <v>0.1061</v>
      </c>
      <c r="M598">
        <v>0.46</v>
      </c>
      <c r="N598">
        <v>0.41789999999999999</v>
      </c>
      <c r="O598">
        <v>1</v>
      </c>
      <c r="P598">
        <v>19</v>
      </c>
      <c r="S598" t="s">
        <v>21</v>
      </c>
      <c r="T598" t="s">
        <v>29</v>
      </c>
    </row>
    <row r="599" spans="1:20" x14ac:dyDescent="0.3">
      <c r="A599">
        <v>208</v>
      </c>
      <c r="B599" s="37">
        <v>40552</v>
      </c>
      <c r="F599">
        <v>22</v>
      </c>
      <c r="G599" t="b">
        <v>0</v>
      </c>
      <c r="H599">
        <v>0</v>
      </c>
      <c r="I599">
        <v>1</v>
      </c>
      <c r="J599">
        <v>0.14000000000000001</v>
      </c>
      <c r="K599">
        <v>40552</v>
      </c>
      <c r="L599">
        <v>0.1212</v>
      </c>
      <c r="M599">
        <v>0.46</v>
      </c>
      <c r="N599">
        <v>0.29849999999999999</v>
      </c>
      <c r="O599">
        <v>5</v>
      </c>
      <c r="P599">
        <v>10</v>
      </c>
      <c r="S599" t="s">
        <v>21</v>
      </c>
      <c r="T599" t="s">
        <v>29</v>
      </c>
    </row>
    <row r="600" spans="1:20" x14ac:dyDescent="0.3">
      <c r="A600">
        <v>209</v>
      </c>
      <c r="B600" s="37">
        <v>40552</v>
      </c>
      <c r="F600">
        <v>23</v>
      </c>
      <c r="G600" t="b">
        <v>0</v>
      </c>
      <c r="H600">
        <v>0</v>
      </c>
      <c r="I600">
        <v>1</v>
      </c>
      <c r="J600">
        <v>0.12</v>
      </c>
      <c r="K600">
        <v>40552</v>
      </c>
      <c r="L600">
        <v>0.13639999999999999</v>
      </c>
      <c r="M600">
        <v>0.5</v>
      </c>
      <c r="N600">
        <v>0.19400000000000001</v>
      </c>
      <c r="O600">
        <v>0</v>
      </c>
      <c r="P600">
        <v>6</v>
      </c>
      <c r="S600" t="s">
        <v>21</v>
      </c>
      <c r="T600" t="s">
        <v>29</v>
      </c>
    </row>
    <row r="601" spans="1:20" x14ac:dyDescent="0.3">
      <c r="A601">
        <v>210</v>
      </c>
      <c r="B601" s="37">
        <v>40553</v>
      </c>
      <c r="F601">
        <v>0</v>
      </c>
      <c r="G601" t="b">
        <v>0</v>
      </c>
      <c r="H601">
        <v>1</v>
      </c>
      <c r="I601">
        <v>1</v>
      </c>
      <c r="J601">
        <v>0.12</v>
      </c>
      <c r="K601">
        <v>40553</v>
      </c>
      <c r="L601">
        <v>0.1212</v>
      </c>
      <c r="M601">
        <v>0.5</v>
      </c>
      <c r="N601">
        <v>0.28360000000000002</v>
      </c>
      <c r="O601">
        <v>2</v>
      </c>
      <c r="P601">
        <v>3</v>
      </c>
      <c r="S601" t="s">
        <v>22</v>
      </c>
      <c r="T601" t="s">
        <v>29</v>
      </c>
    </row>
    <row r="602" spans="1:20" x14ac:dyDescent="0.3">
      <c r="A602">
        <v>211</v>
      </c>
      <c r="B602" s="37">
        <v>40553</v>
      </c>
      <c r="F602">
        <v>1</v>
      </c>
      <c r="G602" t="b">
        <v>0</v>
      </c>
      <c r="H602">
        <v>1</v>
      </c>
      <c r="I602">
        <v>1</v>
      </c>
      <c r="J602">
        <v>0.12</v>
      </c>
      <c r="K602">
        <v>40553</v>
      </c>
      <c r="L602">
        <v>0.1212</v>
      </c>
      <c r="M602">
        <v>0.5</v>
      </c>
      <c r="N602">
        <v>0.28360000000000002</v>
      </c>
      <c r="O602">
        <v>1</v>
      </c>
      <c r="P602">
        <v>0</v>
      </c>
      <c r="S602" t="s">
        <v>22</v>
      </c>
      <c r="T602" t="s">
        <v>29</v>
      </c>
    </row>
    <row r="603" spans="1:20" x14ac:dyDescent="0.3">
      <c r="A603">
        <v>212</v>
      </c>
      <c r="B603" s="37">
        <v>40553</v>
      </c>
      <c r="F603">
        <v>2</v>
      </c>
      <c r="G603" t="b">
        <v>0</v>
      </c>
      <c r="H603">
        <v>1</v>
      </c>
      <c r="I603">
        <v>1</v>
      </c>
      <c r="J603">
        <v>0.12</v>
      </c>
      <c r="K603">
        <v>40553</v>
      </c>
      <c r="L603">
        <v>0.1212</v>
      </c>
      <c r="M603">
        <v>0.5</v>
      </c>
      <c r="N603">
        <v>0.22389999999999999</v>
      </c>
      <c r="O603">
        <v>0</v>
      </c>
      <c r="P603">
        <v>3</v>
      </c>
      <c r="S603" t="s">
        <v>22</v>
      </c>
      <c r="T603" t="s">
        <v>29</v>
      </c>
    </row>
    <row r="604" spans="1:20" x14ac:dyDescent="0.3">
      <c r="A604">
        <v>213</v>
      </c>
      <c r="B604" s="37">
        <v>40553</v>
      </c>
      <c r="F604">
        <v>3</v>
      </c>
      <c r="G604" t="b">
        <v>0</v>
      </c>
      <c r="H604">
        <v>1</v>
      </c>
      <c r="I604">
        <v>1</v>
      </c>
      <c r="J604">
        <v>0.12</v>
      </c>
      <c r="K604">
        <v>40553</v>
      </c>
      <c r="L604">
        <v>0.1212</v>
      </c>
      <c r="M604">
        <v>0.5</v>
      </c>
      <c r="N604">
        <v>0.22389999999999999</v>
      </c>
      <c r="O604">
        <v>0</v>
      </c>
      <c r="P604">
        <v>1</v>
      </c>
      <c r="S604" t="s">
        <v>22</v>
      </c>
      <c r="T604" t="s">
        <v>29</v>
      </c>
    </row>
    <row r="605" spans="1:20" x14ac:dyDescent="0.3">
      <c r="A605">
        <v>214</v>
      </c>
      <c r="B605" s="37">
        <v>40553</v>
      </c>
      <c r="F605">
        <v>4</v>
      </c>
      <c r="G605" t="b">
        <v>0</v>
      </c>
      <c r="H605">
        <v>1</v>
      </c>
      <c r="I605">
        <v>1</v>
      </c>
      <c r="J605">
        <v>0.1</v>
      </c>
      <c r="K605">
        <v>40553</v>
      </c>
      <c r="L605">
        <v>0.1212</v>
      </c>
      <c r="M605">
        <v>0.54</v>
      </c>
      <c r="N605">
        <v>0.1343</v>
      </c>
      <c r="O605">
        <v>1</v>
      </c>
      <c r="P605">
        <v>2</v>
      </c>
      <c r="S605" t="s">
        <v>22</v>
      </c>
      <c r="T605" t="s">
        <v>29</v>
      </c>
    </row>
    <row r="606" spans="1:20" x14ac:dyDescent="0.3">
      <c r="A606">
        <v>215</v>
      </c>
      <c r="B606" s="37">
        <v>40553</v>
      </c>
      <c r="F606">
        <v>5</v>
      </c>
      <c r="G606" t="b">
        <v>0</v>
      </c>
      <c r="H606">
        <v>1</v>
      </c>
      <c r="I606">
        <v>1</v>
      </c>
      <c r="J606">
        <v>0.1</v>
      </c>
      <c r="K606">
        <v>40553</v>
      </c>
      <c r="L606">
        <v>0.1061</v>
      </c>
      <c r="M606">
        <v>0.54</v>
      </c>
      <c r="N606">
        <v>0.25369999999999998</v>
      </c>
      <c r="O606">
        <v>0</v>
      </c>
      <c r="P606">
        <v>3</v>
      </c>
      <c r="S606" t="s">
        <v>22</v>
      </c>
      <c r="T606" t="s">
        <v>29</v>
      </c>
    </row>
    <row r="607" spans="1:20" x14ac:dyDescent="0.3">
      <c r="A607">
        <v>216</v>
      </c>
      <c r="B607" s="37">
        <v>40553</v>
      </c>
      <c r="F607">
        <v>6</v>
      </c>
      <c r="G607" t="b">
        <v>0</v>
      </c>
      <c r="H607">
        <v>1</v>
      </c>
      <c r="I607">
        <v>1</v>
      </c>
      <c r="J607">
        <v>0.12</v>
      </c>
      <c r="K607">
        <v>40553</v>
      </c>
      <c r="L607">
        <v>0.1212</v>
      </c>
      <c r="M607">
        <v>0.5</v>
      </c>
      <c r="N607">
        <v>0.28360000000000002</v>
      </c>
      <c r="O607">
        <v>0</v>
      </c>
      <c r="P607">
        <v>31</v>
      </c>
      <c r="S607" t="s">
        <v>22</v>
      </c>
      <c r="T607" t="s">
        <v>69</v>
      </c>
    </row>
    <row r="608" spans="1:20" x14ac:dyDescent="0.3">
      <c r="A608">
        <v>217</v>
      </c>
      <c r="B608" s="37">
        <v>40553</v>
      </c>
      <c r="F608">
        <v>7</v>
      </c>
      <c r="G608" t="b">
        <v>0</v>
      </c>
      <c r="H608">
        <v>1</v>
      </c>
      <c r="I608">
        <v>1</v>
      </c>
      <c r="J608">
        <v>0.12</v>
      </c>
      <c r="K608">
        <v>40553</v>
      </c>
      <c r="L608">
        <v>0.1212</v>
      </c>
      <c r="M608">
        <v>0.5</v>
      </c>
      <c r="N608">
        <v>0.22389999999999999</v>
      </c>
      <c r="O608">
        <v>2</v>
      </c>
      <c r="P608">
        <v>75</v>
      </c>
      <c r="S608" t="s">
        <v>22</v>
      </c>
      <c r="T608" t="s">
        <v>69</v>
      </c>
    </row>
    <row r="609" spans="1:20" x14ac:dyDescent="0.3">
      <c r="A609">
        <v>218</v>
      </c>
      <c r="B609" s="37">
        <v>40553</v>
      </c>
      <c r="F609">
        <v>8</v>
      </c>
      <c r="G609" t="b">
        <v>0</v>
      </c>
      <c r="H609">
        <v>1</v>
      </c>
      <c r="I609">
        <v>2</v>
      </c>
      <c r="J609">
        <v>0.12</v>
      </c>
      <c r="K609">
        <v>40553</v>
      </c>
      <c r="L609">
        <v>0.1212</v>
      </c>
      <c r="M609">
        <v>0.5</v>
      </c>
      <c r="N609">
        <v>0.28360000000000002</v>
      </c>
      <c r="O609">
        <v>4</v>
      </c>
      <c r="P609">
        <v>184</v>
      </c>
      <c r="S609" t="s">
        <v>22</v>
      </c>
      <c r="T609" t="s">
        <v>69</v>
      </c>
    </row>
    <row r="610" spans="1:20" x14ac:dyDescent="0.3">
      <c r="A610">
        <v>219</v>
      </c>
      <c r="B610" s="37">
        <v>40553</v>
      </c>
      <c r="F610">
        <v>9</v>
      </c>
      <c r="G610" t="b">
        <v>0</v>
      </c>
      <c r="H610">
        <v>1</v>
      </c>
      <c r="I610">
        <v>2</v>
      </c>
      <c r="J610">
        <v>0.14000000000000001</v>
      </c>
      <c r="K610">
        <v>40553</v>
      </c>
      <c r="L610">
        <v>0.1212</v>
      </c>
      <c r="M610">
        <v>0.5</v>
      </c>
      <c r="N610">
        <v>0.25369999999999998</v>
      </c>
      <c r="O610">
        <v>2</v>
      </c>
      <c r="P610">
        <v>92</v>
      </c>
      <c r="S610" t="s">
        <v>22</v>
      </c>
      <c r="T610" t="s">
        <v>69</v>
      </c>
    </row>
    <row r="611" spans="1:20" x14ac:dyDescent="0.3">
      <c r="A611">
        <v>220</v>
      </c>
      <c r="B611" s="37">
        <v>40553</v>
      </c>
      <c r="F611">
        <v>10</v>
      </c>
      <c r="G611" t="b">
        <v>0</v>
      </c>
      <c r="H611">
        <v>1</v>
      </c>
      <c r="I611">
        <v>2</v>
      </c>
      <c r="J611">
        <v>0.14000000000000001</v>
      </c>
      <c r="K611">
        <v>40553</v>
      </c>
      <c r="L611">
        <v>0.1212</v>
      </c>
      <c r="M611">
        <v>0.5</v>
      </c>
      <c r="N611">
        <v>0.29849999999999999</v>
      </c>
      <c r="O611">
        <v>0</v>
      </c>
      <c r="P611">
        <v>31</v>
      </c>
      <c r="S611" t="s">
        <v>22</v>
      </c>
      <c r="T611" t="s">
        <v>69</v>
      </c>
    </row>
    <row r="612" spans="1:20" x14ac:dyDescent="0.3">
      <c r="A612">
        <v>221</v>
      </c>
      <c r="B612" s="37">
        <v>40553</v>
      </c>
      <c r="F612">
        <v>11</v>
      </c>
      <c r="G612" t="b">
        <v>0</v>
      </c>
      <c r="H612">
        <v>1</v>
      </c>
      <c r="I612">
        <v>2</v>
      </c>
      <c r="J612">
        <v>0.16</v>
      </c>
      <c r="K612">
        <v>40553</v>
      </c>
      <c r="L612">
        <v>0.13639999999999999</v>
      </c>
      <c r="M612">
        <v>0.47</v>
      </c>
      <c r="N612">
        <v>0.28360000000000002</v>
      </c>
      <c r="O612">
        <v>2</v>
      </c>
      <c r="P612">
        <v>28</v>
      </c>
      <c r="S612" t="s">
        <v>22</v>
      </c>
      <c r="T612" t="s">
        <v>69</v>
      </c>
    </row>
    <row r="613" spans="1:20" x14ac:dyDescent="0.3">
      <c r="A613">
        <v>222</v>
      </c>
      <c r="B613" s="37">
        <v>40553</v>
      </c>
      <c r="F613">
        <v>12</v>
      </c>
      <c r="G613" t="b">
        <v>0</v>
      </c>
      <c r="H613">
        <v>1</v>
      </c>
      <c r="I613">
        <v>2</v>
      </c>
      <c r="J613">
        <v>0.2</v>
      </c>
      <c r="K613">
        <v>40553</v>
      </c>
      <c r="L613">
        <v>0.18179999999999999</v>
      </c>
      <c r="M613">
        <v>0.4</v>
      </c>
      <c r="N613">
        <v>0.28360000000000002</v>
      </c>
      <c r="O613">
        <v>5</v>
      </c>
      <c r="P613">
        <v>47</v>
      </c>
      <c r="S613" t="s">
        <v>22</v>
      </c>
      <c r="T613" t="s">
        <v>69</v>
      </c>
    </row>
    <row r="614" spans="1:20" x14ac:dyDescent="0.3">
      <c r="A614">
        <v>223</v>
      </c>
      <c r="B614" s="37">
        <v>40553</v>
      </c>
      <c r="F614">
        <v>13</v>
      </c>
      <c r="G614" t="b">
        <v>0</v>
      </c>
      <c r="H614">
        <v>1</v>
      </c>
      <c r="I614">
        <v>2</v>
      </c>
      <c r="J614">
        <v>0.2</v>
      </c>
      <c r="K614">
        <v>40553</v>
      </c>
      <c r="L614">
        <v>0.18179999999999999</v>
      </c>
      <c r="M614">
        <v>0.4</v>
      </c>
      <c r="N614">
        <v>0.28360000000000002</v>
      </c>
      <c r="O614">
        <v>4</v>
      </c>
      <c r="P614">
        <v>50</v>
      </c>
      <c r="S614" t="s">
        <v>22</v>
      </c>
      <c r="T614" t="s">
        <v>69</v>
      </c>
    </row>
    <row r="615" spans="1:20" x14ac:dyDescent="0.3">
      <c r="A615">
        <v>224</v>
      </c>
      <c r="B615" s="37">
        <v>40553</v>
      </c>
      <c r="F615">
        <v>14</v>
      </c>
      <c r="G615" t="b">
        <v>0</v>
      </c>
      <c r="H615">
        <v>1</v>
      </c>
      <c r="I615">
        <v>2</v>
      </c>
      <c r="J615">
        <v>0.2</v>
      </c>
      <c r="K615">
        <v>40553</v>
      </c>
      <c r="L615">
        <v>0.19700000000000001</v>
      </c>
      <c r="M615">
        <v>0.4</v>
      </c>
      <c r="N615">
        <v>0.22389999999999999</v>
      </c>
      <c r="O615">
        <v>0</v>
      </c>
      <c r="P615">
        <v>47</v>
      </c>
      <c r="S615" t="s">
        <v>22</v>
      </c>
      <c r="T615" t="s">
        <v>69</v>
      </c>
    </row>
    <row r="616" spans="1:20" x14ac:dyDescent="0.3">
      <c r="A616">
        <v>225</v>
      </c>
      <c r="B616" s="37">
        <v>40553</v>
      </c>
      <c r="F616">
        <v>15</v>
      </c>
      <c r="G616" t="b">
        <v>0</v>
      </c>
      <c r="H616">
        <v>1</v>
      </c>
      <c r="I616">
        <v>2</v>
      </c>
      <c r="J616">
        <v>0.2</v>
      </c>
      <c r="K616">
        <v>40553</v>
      </c>
      <c r="L616">
        <v>0.19700000000000001</v>
      </c>
      <c r="M616">
        <v>0.4</v>
      </c>
      <c r="N616">
        <v>0.22389999999999999</v>
      </c>
      <c r="O616">
        <v>2</v>
      </c>
      <c r="P616">
        <v>43</v>
      </c>
      <c r="S616" t="s">
        <v>22</v>
      </c>
      <c r="T616" t="s">
        <v>69</v>
      </c>
    </row>
    <row r="617" spans="1:20" x14ac:dyDescent="0.3">
      <c r="A617">
        <v>226</v>
      </c>
      <c r="B617" s="37">
        <v>40553</v>
      </c>
      <c r="F617">
        <v>16</v>
      </c>
      <c r="G617" t="b">
        <v>0</v>
      </c>
      <c r="H617">
        <v>1</v>
      </c>
      <c r="I617">
        <v>1</v>
      </c>
      <c r="J617">
        <v>0.2</v>
      </c>
      <c r="K617">
        <v>40553</v>
      </c>
      <c r="L617">
        <v>0.21210000000000001</v>
      </c>
      <c r="M617">
        <v>0.4</v>
      </c>
      <c r="N617">
        <v>0.1343</v>
      </c>
      <c r="O617">
        <v>4</v>
      </c>
      <c r="P617">
        <v>70</v>
      </c>
      <c r="S617" t="s">
        <v>22</v>
      </c>
      <c r="T617" t="s">
        <v>69</v>
      </c>
    </row>
    <row r="618" spans="1:20" x14ac:dyDescent="0.3">
      <c r="A618">
        <v>227</v>
      </c>
      <c r="B618" s="37">
        <v>40553</v>
      </c>
      <c r="F618">
        <v>17</v>
      </c>
      <c r="G618" t="b">
        <v>0</v>
      </c>
      <c r="H618">
        <v>1</v>
      </c>
      <c r="I618">
        <v>1</v>
      </c>
      <c r="J618">
        <v>0.2</v>
      </c>
      <c r="K618">
        <v>40553</v>
      </c>
      <c r="L618">
        <v>0.2273</v>
      </c>
      <c r="M618">
        <v>0.4</v>
      </c>
      <c r="N618">
        <v>0.1045</v>
      </c>
      <c r="O618">
        <v>4</v>
      </c>
      <c r="P618">
        <v>174</v>
      </c>
      <c r="S618" t="s">
        <v>22</v>
      </c>
      <c r="T618" t="s">
        <v>69</v>
      </c>
    </row>
    <row r="619" spans="1:20" x14ac:dyDescent="0.3">
      <c r="A619">
        <v>228</v>
      </c>
      <c r="B619" s="37">
        <v>40553</v>
      </c>
      <c r="F619">
        <v>18</v>
      </c>
      <c r="G619" t="b">
        <v>0</v>
      </c>
      <c r="H619">
        <v>1</v>
      </c>
      <c r="I619">
        <v>1</v>
      </c>
      <c r="J619">
        <v>0.2</v>
      </c>
      <c r="K619">
        <v>40553</v>
      </c>
      <c r="L619">
        <v>0.19700000000000001</v>
      </c>
      <c r="M619">
        <v>0.4</v>
      </c>
      <c r="N619">
        <v>0.22389999999999999</v>
      </c>
      <c r="O619">
        <v>1</v>
      </c>
      <c r="P619">
        <v>154</v>
      </c>
      <c r="S619" t="s">
        <v>22</v>
      </c>
      <c r="T619" t="s">
        <v>69</v>
      </c>
    </row>
    <row r="620" spans="1:20" x14ac:dyDescent="0.3">
      <c r="A620">
        <v>229</v>
      </c>
      <c r="B620" s="37">
        <v>40553</v>
      </c>
      <c r="F620">
        <v>19</v>
      </c>
      <c r="G620" t="b">
        <v>0</v>
      </c>
      <c r="H620">
        <v>1</v>
      </c>
      <c r="I620">
        <v>1</v>
      </c>
      <c r="J620">
        <v>0.16</v>
      </c>
      <c r="K620">
        <v>40553</v>
      </c>
      <c r="L620">
        <v>0.16669999999999999</v>
      </c>
      <c r="M620">
        <v>0.47</v>
      </c>
      <c r="N620">
        <v>0.16420000000000001</v>
      </c>
      <c r="O620">
        <v>3</v>
      </c>
      <c r="P620">
        <v>92</v>
      </c>
      <c r="S620" t="s">
        <v>22</v>
      </c>
      <c r="T620" t="s">
        <v>29</v>
      </c>
    </row>
    <row r="621" spans="1:20" x14ac:dyDescent="0.3">
      <c r="A621">
        <v>230</v>
      </c>
      <c r="B621" s="37">
        <v>40553</v>
      </c>
      <c r="F621">
        <v>20</v>
      </c>
      <c r="G621" t="b">
        <v>0</v>
      </c>
      <c r="H621">
        <v>1</v>
      </c>
      <c r="I621">
        <v>1</v>
      </c>
      <c r="J621">
        <v>0.16</v>
      </c>
      <c r="K621">
        <v>40553</v>
      </c>
      <c r="L621">
        <v>0.16669999999999999</v>
      </c>
      <c r="M621">
        <v>0.5</v>
      </c>
      <c r="N621">
        <v>0.16420000000000001</v>
      </c>
      <c r="O621">
        <v>1</v>
      </c>
      <c r="P621">
        <v>73</v>
      </c>
      <c r="S621" t="s">
        <v>22</v>
      </c>
      <c r="T621" t="s">
        <v>29</v>
      </c>
    </row>
    <row r="622" spans="1:20" x14ac:dyDescent="0.3">
      <c r="A622">
        <v>231</v>
      </c>
      <c r="B622" s="37">
        <v>40553</v>
      </c>
      <c r="F622">
        <v>21</v>
      </c>
      <c r="G622" t="b">
        <v>0</v>
      </c>
      <c r="H622">
        <v>1</v>
      </c>
      <c r="I622">
        <v>1</v>
      </c>
      <c r="J622">
        <v>0.14000000000000001</v>
      </c>
      <c r="K622">
        <v>40553</v>
      </c>
      <c r="L622">
        <v>0.13639999999999999</v>
      </c>
      <c r="M622">
        <v>0.59</v>
      </c>
      <c r="N622">
        <v>0.19400000000000001</v>
      </c>
      <c r="O622">
        <v>1</v>
      </c>
      <c r="P622">
        <v>37</v>
      </c>
      <c r="S622" t="s">
        <v>22</v>
      </c>
      <c r="T622" t="s">
        <v>29</v>
      </c>
    </row>
    <row r="623" spans="1:20" x14ac:dyDescent="0.3">
      <c r="A623">
        <v>232</v>
      </c>
      <c r="B623" s="37">
        <v>40553</v>
      </c>
      <c r="F623">
        <v>22</v>
      </c>
      <c r="G623" t="b">
        <v>0</v>
      </c>
      <c r="H623">
        <v>1</v>
      </c>
      <c r="I623">
        <v>1</v>
      </c>
      <c r="J623">
        <v>0.14000000000000001</v>
      </c>
      <c r="K623">
        <v>40553</v>
      </c>
      <c r="L623">
        <v>0.1515</v>
      </c>
      <c r="M623">
        <v>0.59</v>
      </c>
      <c r="N623">
        <v>0.16420000000000001</v>
      </c>
      <c r="O623">
        <v>2</v>
      </c>
      <c r="P623">
        <v>22</v>
      </c>
      <c r="S623" t="s">
        <v>22</v>
      </c>
      <c r="T623" t="s">
        <v>29</v>
      </c>
    </row>
    <row r="624" spans="1:20" x14ac:dyDescent="0.3">
      <c r="A624">
        <v>233</v>
      </c>
      <c r="B624" s="37">
        <v>40553</v>
      </c>
      <c r="F624">
        <v>23</v>
      </c>
      <c r="G624" t="b">
        <v>0</v>
      </c>
      <c r="H624">
        <v>1</v>
      </c>
      <c r="I624">
        <v>1</v>
      </c>
      <c r="J624">
        <v>0.14000000000000001</v>
      </c>
      <c r="K624">
        <v>40553</v>
      </c>
      <c r="L624">
        <v>0.1515</v>
      </c>
      <c r="M624">
        <v>0.59</v>
      </c>
      <c r="N624">
        <v>0.16420000000000001</v>
      </c>
      <c r="O624">
        <v>0</v>
      </c>
      <c r="P624">
        <v>18</v>
      </c>
      <c r="S624" t="s">
        <v>22</v>
      </c>
      <c r="T624" t="s">
        <v>29</v>
      </c>
    </row>
    <row r="625" spans="1:20" x14ac:dyDescent="0.3">
      <c r="A625">
        <v>234</v>
      </c>
      <c r="B625" s="37">
        <v>40554</v>
      </c>
      <c r="F625">
        <v>0</v>
      </c>
      <c r="G625" t="b">
        <v>0</v>
      </c>
      <c r="H625">
        <v>2</v>
      </c>
      <c r="I625">
        <v>1</v>
      </c>
      <c r="J625">
        <v>0.14000000000000001</v>
      </c>
      <c r="K625">
        <v>40554</v>
      </c>
      <c r="L625">
        <v>0.16669999999999999</v>
      </c>
      <c r="M625">
        <v>0.59</v>
      </c>
      <c r="N625">
        <v>0.1045</v>
      </c>
      <c r="O625">
        <v>2</v>
      </c>
      <c r="P625">
        <v>10</v>
      </c>
      <c r="S625" t="s">
        <v>23</v>
      </c>
      <c r="T625" t="s">
        <v>29</v>
      </c>
    </row>
    <row r="626" spans="1:20" x14ac:dyDescent="0.3">
      <c r="A626">
        <v>235</v>
      </c>
      <c r="B626" s="37">
        <v>40554</v>
      </c>
      <c r="F626">
        <v>1</v>
      </c>
      <c r="G626" t="b">
        <v>0</v>
      </c>
      <c r="H626">
        <v>2</v>
      </c>
      <c r="I626">
        <v>1</v>
      </c>
      <c r="J626">
        <v>0.14000000000000001</v>
      </c>
      <c r="K626">
        <v>40554</v>
      </c>
      <c r="L626">
        <v>0.1515</v>
      </c>
      <c r="M626">
        <v>0.59</v>
      </c>
      <c r="N626">
        <v>0.16420000000000001</v>
      </c>
      <c r="O626">
        <v>0</v>
      </c>
      <c r="P626">
        <v>3</v>
      </c>
      <c r="S626" t="s">
        <v>23</v>
      </c>
      <c r="T626" t="s">
        <v>29</v>
      </c>
    </row>
    <row r="627" spans="1:20" x14ac:dyDescent="0.3">
      <c r="A627">
        <v>236</v>
      </c>
      <c r="B627" s="37">
        <v>40554</v>
      </c>
      <c r="F627">
        <v>2</v>
      </c>
      <c r="G627" t="b">
        <v>0</v>
      </c>
      <c r="H627">
        <v>2</v>
      </c>
      <c r="I627">
        <v>2</v>
      </c>
      <c r="J627">
        <v>0.16</v>
      </c>
      <c r="K627">
        <v>40554</v>
      </c>
      <c r="L627">
        <v>0.1515</v>
      </c>
      <c r="M627">
        <v>0.55000000000000004</v>
      </c>
      <c r="N627">
        <v>0.19400000000000001</v>
      </c>
      <c r="O627">
        <v>0</v>
      </c>
      <c r="P627">
        <v>3</v>
      </c>
      <c r="S627" t="s">
        <v>23</v>
      </c>
      <c r="T627" t="s">
        <v>29</v>
      </c>
    </row>
    <row r="628" spans="1:20" x14ac:dyDescent="0.3">
      <c r="A628">
        <v>237</v>
      </c>
      <c r="B628" s="37">
        <v>40554</v>
      </c>
      <c r="F628">
        <v>5</v>
      </c>
      <c r="G628" t="b">
        <v>0</v>
      </c>
      <c r="H628">
        <v>2</v>
      </c>
      <c r="I628">
        <v>2</v>
      </c>
      <c r="J628">
        <v>0.16</v>
      </c>
      <c r="K628">
        <v>40554</v>
      </c>
      <c r="L628">
        <v>0.18179999999999999</v>
      </c>
      <c r="M628">
        <v>0.55000000000000004</v>
      </c>
      <c r="N628">
        <v>0.1343</v>
      </c>
      <c r="O628">
        <v>0</v>
      </c>
      <c r="P628">
        <v>6</v>
      </c>
      <c r="S628" t="s">
        <v>23</v>
      </c>
      <c r="T628" t="s">
        <v>29</v>
      </c>
    </row>
    <row r="629" spans="1:20" x14ac:dyDescent="0.3">
      <c r="A629">
        <v>238</v>
      </c>
      <c r="B629" s="37">
        <v>40554</v>
      </c>
      <c r="F629">
        <v>6</v>
      </c>
      <c r="G629" t="b">
        <v>0</v>
      </c>
      <c r="H629">
        <v>2</v>
      </c>
      <c r="I629">
        <v>2</v>
      </c>
      <c r="J629">
        <v>0.16</v>
      </c>
      <c r="K629">
        <v>40554</v>
      </c>
      <c r="L629">
        <v>0.18179999999999999</v>
      </c>
      <c r="M629">
        <v>0.55000000000000004</v>
      </c>
      <c r="N629">
        <v>0.1343</v>
      </c>
      <c r="O629">
        <v>0</v>
      </c>
      <c r="P629">
        <v>27</v>
      </c>
      <c r="S629" t="s">
        <v>23</v>
      </c>
      <c r="T629" t="s">
        <v>69</v>
      </c>
    </row>
    <row r="630" spans="1:20" x14ac:dyDescent="0.3">
      <c r="A630">
        <v>239</v>
      </c>
      <c r="B630" s="37">
        <v>40554</v>
      </c>
      <c r="F630">
        <v>7</v>
      </c>
      <c r="G630" t="b">
        <v>0</v>
      </c>
      <c r="H630">
        <v>2</v>
      </c>
      <c r="I630">
        <v>2</v>
      </c>
      <c r="J630">
        <v>0.16</v>
      </c>
      <c r="K630">
        <v>40554</v>
      </c>
      <c r="L630">
        <v>0.2273</v>
      </c>
      <c r="M630">
        <v>0.55000000000000004</v>
      </c>
      <c r="N630">
        <v>0</v>
      </c>
      <c r="O630">
        <v>2</v>
      </c>
      <c r="P630">
        <v>97</v>
      </c>
      <c r="S630" t="s">
        <v>23</v>
      </c>
      <c r="T630" t="s">
        <v>69</v>
      </c>
    </row>
    <row r="631" spans="1:20" x14ac:dyDescent="0.3">
      <c r="A631">
        <v>240</v>
      </c>
      <c r="B631" s="37">
        <v>40554</v>
      </c>
      <c r="F631">
        <v>8</v>
      </c>
      <c r="G631" t="b">
        <v>0</v>
      </c>
      <c r="H631">
        <v>2</v>
      </c>
      <c r="I631">
        <v>2</v>
      </c>
      <c r="J631">
        <v>0.18</v>
      </c>
      <c r="K631">
        <v>40554</v>
      </c>
      <c r="L631">
        <v>0.21210000000000001</v>
      </c>
      <c r="M631">
        <v>0.51</v>
      </c>
      <c r="N631">
        <v>8.9599999999999999E-2</v>
      </c>
      <c r="O631">
        <v>3</v>
      </c>
      <c r="P631">
        <v>214</v>
      </c>
      <c r="S631" t="s">
        <v>23</v>
      </c>
      <c r="T631" t="s">
        <v>69</v>
      </c>
    </row>
    <row r="632" spans="1:20" x14ac:dyDescent="0.3">
      <c r="A632">
        <v>241</v>
      </c>
      <c r="B632" s="37">
        <v>40554</v>
      </c>
      <c r="F632">
        <v>9</v>
      </c>
      <c r="G632" t="b">
        <v>0</v>
      </c>
      <c r="H632">
        <v>2</v>
      </c>
      <c r="I632">
        <v>2</v>
      </c>
      <c r="J632">
        <v>0.18</v>
      </c>
      <c r="K632">
        <v>40554</v>
      </c>
      <c r="L632">
        <v>0.19700000000000001</v>
      </c>
      <c r="M632">
        <v>0.51</v>
      </c>
      <c r="N632">
        <v>0.16420000000000001</v>
      </c>
      <c r="O632">
        <v>3</v>
      </c>
      <c r="P632">
        <v>127</v>
      </c>
      <c r="S632" t="s">
        <v>23</v>
      </c>
      <c r="T632" t="s">
        <v>69</v>
      </c>
    </row>
    <row r="633" spans="1:20" x14ac:dyDescent="0.3">
      <c r="A633">
        <v>242</v>
      </c>
      <c r="B633" s="37">
        <v>40554</v>
      </c>
      <c r="F633">
        <v>10</v>
      </c>
      <c r="G633" t="b">
        <v>0</v>
      </c>
      <c r="H633">
        <v>2</v>
      </c>
      <c r="I633">
        <v>2</v>
      </c>
      <c r="J633">
        <v>0.2</v>
      </c>
      <c r="K633">
        <v>40554</v>
      </c>
      <c r="L633">
        <v>0.21210000000000001</v>
      </c>
      <c r="M633">
        <v>0.51</v>
      </c>
      <c r="N633">
        <v>0.16420000000000001</v>
      </c>
      <c r="O633">
        <v>3</v>
      </c>
      <c r="P633">
        <v>51</v>
      </c>
      <c r="S633" t="s">
        <v>23</v>
      </c>
      <c r="T633" t="s">
        <v>69</v>
      </c>
    </row>
    <row r="634" spans="1:20" x14ac:dyDescent="0.3">
      <c r="A634">
        <v>243</v>
      </c>
      <c r="B634" s="37">
        <v>40554</v>
      </c>
      <c r="F634">
        <v>11</v>
      </c>
      <c r="G634" t="b">
        <v>0</v>
      </c>
      <c r="H634">
        <v>2</v>
      </c>
      <c r="I634">
        <v>2</v>
      </c>
      <c r="J634">
        <v>0.2</v>
      </c>
      <c r="K634">
        <v>40554</v>
      </c>
      <c r="L634">
        <v>0.21210000000000001</v>
      </c>
      <c r="M634">
        <v>0.47</v>
      </c>
      <c r="N634">
        <v>0.1343</v>
      </c>
      <c r="O634">
        <v>4</v>
      </c>
      <c r="P634">
        <v>31</v>
      </c>
      <c r="S634" t="s">
        <v>23</v>
      </c>
      <c r="T634" t="s">
        <v>69</v>
      </c>
    </row>
    <row r="635" spans="1:20" x14ac:dyDescent="0.3">
      <c r="A635">
        <v>244</v>
      </c>
      <c r="B635" s="37">
        <v>40554</v>
      </c>
      <c r="F635">
        <v>12</v>
      </c>
      <c r="G635" t="b">
        <v>0</v>
      </c>
      <c r="H635">
        <v>2</v>
      </c>
      <c r="I635">
        <v>2</v>
      </c>
      <c r="J635">
        <v>0.2</v>
      </c>
      <c r="K635">
        <v>40554</v>
      </c>
      <c r="L635">
        <v>0.2273</v>
      </c>
      <c r="M635">
        <v>0.51</v>
      </c>
      <c r="N635">
        <v>0.1045</v>
      </c>
      <c r="O635">
        <v>2</v>
      </c>
      <c r="P635">
        <v>55</v>
      </c>
      <c r="S635" t="s">
        <v>23</v>
      </c>
      <c r="T635" t="s">
        <v>69</v>
      </c>
    </row>
    <row r="636" spans="1:20" x14ac:dyDescent="0.3">
      <c r="A636">
        <v>245</v>
      </c>
      <c r="B636" s="37">
        <v>40554</v>
      </c>
      <c r="F636">
        <v>13</v>
      </c>
      <c r="G636" t="b">
        <v>0</v>
      </c>
      <c r="H636">
        <v>2</v>
      </c>
      <c r="I636">
        <v>2</v>
      </c>
      <c r="J636">
        <v>0.2</v>
      </c>
      <c r="K636">
        <v>40554</v>
      </c>
      <c r="L636">
        <v>0.2273</v>
      </c>
      <c r="M636">
        <v>0.59</v>
      </c>
      <c r="N636">
        <v>8.9599999999999999E-2</v>
      </c>
      <c r="O636">
        <v>6</v>
      </c>
      <c r="P636">
        <v>46</v>
      </c>
      <c r="S636" t="s">
        <v>23</v>
      </c>
      <c r="T636" t="s">
        <v>69</v>
      </c>
    </row>
    <row r="637" spans="1:20" x14ac:dyDescent="0.3">
      <c r="A637">
        <v>246</v>
      </c>
      <c r="B637" s="37">
        <v>40554</v>
      </c>
      <c r="F637">
        <v>14</v>
      </c>
      <c r="G637" t="b">
        <v>0</v>
      </c>
      <c r="H637">
        <v>2</v>
      </c>
      <c r="I637">
        <v>2</v>
      </c>
      <c r="J637">
        <v>0.2</v>
      </c>
      <c r="K637">
        <v>40554</v>
      </c>
      <c r="L637">
        <v>0.2273</v>
      </c>
      <c r="M637">
        <v>0.59</v>
      </c>
      <c r="N637">
        <v>8.9599999999999999E-2</v>
      </c>
      <c r="O637">
        <v>3</v>
      </c>
      <c r="P637">
        <v>60</v>
      </c>
      <c r="S637" t="s">
        <v>23</v>
      </c>
      <c r="T637" t="s">
        <v>69</v>
      </c>
    </row>
    <row r="638" spans="1:20" x14ac:dyDescent="0.3">
      <c r="A638">
        <v>247</v>
      </c>
      <c r="B638" s="37">
        <v>40554</v>
      </c>
      <c r="F638">
        <v>15</v>
      </c>
      <c r="G638" t="b">
        <v>0</v>
      </c>
      <c r="H638">
        <v>2</v>
      </c>
      <c r="I638">
        <v>2</v>
      </c>
      <c r="J638">
        <v>0.16</v>
      </c>
      <c r="K638">
        <v>40554</v>
      </c>
      <c r="L638">
        <v>0.19700000000000001</v>
      </c>
      <c r="M638">
        <v>0.8</v>
      </c>
      <c r="N638">
        <v>8.9599999999999999E-2</v>
      </c>
      <c r="O638">
        <v>2</v>
      </c>
      <c r="P638">
        <v>45</v>
      </c>
      <c r="S638" t="s">
        <v>23</v>
      </c>
      <c r="T638" t="s">
        <v>69</v>
      </c>
    </row>
    <row r="639" spans="1:20" x14ac:dyDescent="0.3">
      <c r="A639">
        <v>248</v>
      </c>
      <c r="B639" s="37">
        <v>40554</v>
      </c>
      <c r="F639">
        <v>16</v>
      </c>
      <c r="G639" t="b">
        <v>0</v>
      </c>
      <c r="H639">
        <v>2</v>
      </c>
      <c r="I639">
        <v>2</v>
      </c>
      <c r="J639">
        <v>0.16</v>
      </c>
      <c r="K639">
        <v>40554</v>
      </c>
      <c r="L639">
        <v>0.1515</v>
      </c>
      <c r="M639">
        <v>0.86</v>
      </c>
      <c r="N639">
        <v>0.22389999999999999</v>
      </c>
      <c r="O639">
        <v>4</v>
      </c>
      <c r="P639">
        <v>72</v>
      </c>
      <c r="S639" t="s">
        <v>23</v>
      </c>
      <c r="T639" t="s">
        <v>69</v>
      </c>
    </row>
    <row r="640" spans="1:20" x14ac:dyDescent="0.3">
      <c r="A640">
        <v>249</v>
      </c>
      <c r="B640" s="37">
        <v>40554</v>
      </c>
      <c r="F640">
        <v>17</v>
      </c>
      <c r="G640" t="b">
        <v>0</v>
      </c>
      <c r="H640">
        <v>2</v>
      </c>
      <c r="I640">
        <v>2</v>
      </c>
      <c r="J640">
        <v>0.16</v>
      </c>
      <c r="K640">
        <v>40554</v>
      </c>
      <c r="L640">
        <v>0.1515</v>
      </c>
      <c r="M640">
        <v>0.86</v>
      </c>
      <c r="N640">
        <v>0.22389999999999999</v>
      </c>
      <c r="O640">
        <v>6</v>
      </c>
      <c r="P640">
        <v>130</v>
      </c>
      <c r="S640" t="s">
        <v>23</v>
      </c>
      <c r="T640" t="s">
        <v>69</v>
      </c>
    </row>
    <row r="641" spans="1:20" x14ac:dyDescent="0.3">
      <c r="A641">
        <v>250</v>
      </c>
      <c r="B641" s="37">
        <v>40554</v>
      </c>
      <c r="F641">
        <v>18</v>
      </c>
      <c r="G641" t="b">
        <v>0</v>
      </c>
      <c r="H641">
        <v>2</v>
      </c>
      <c r="I641">
        <v>3</v>
      </c>
      <c r="J641">
        <v>0.16</v>
      </c>
      <c r="K641">
        <v>40554</v>
      </c>
      <c r="L641">
        <v>0.18179999999999999</v>
      </c>
      <c r="M641">
        <v>0.93</v>
      </c>
      <c r="N641">
        <v>0.1045</v>
      </c>
      <c r="O641">
        <v>1</v>
      </c>
      <c r="P641">
        <v>94</v>
      </c>
      <c r="S641" t="s">
        <v>23</v>
      </c>
      <c r="T641" t="s">
        <v>69</v>
      </c>
    </row>
    <row r="642" spans="1:20" x14ac:dyDescent="0.3">
      <c r="A642">
        <v>251</v>
      </c>
      <c r="B642" s="37">
        <v>40554</v>
      </c>
      <c r="F642">
        <v>19</v>
      </c>
      <c r="G642" t="b">
        <v>0</v>
      </c>
      <c r="H642">
        <v>2</v>
      </c>
      <c r="I642">
        <v>3</v>
      </c>
      <c r="J642">
        <v>0.16</v>
      </c>
      <c r="K642">
        <v>40554</v>
      </c>
      <c r="L642">
        <v>0.2273</v>
      </c>
      <c r="M642">
        <v>0.93</v>
      </c>
      <c r="N642">
        <v>0</v>
      </c>
      <c r="O642">
        <v>0</v>
      </c>
      <c r="P642">
        <v>51</v>
      </c>
      <c r="S642" t="s">
        <v>23</v>
      </c>
      <c r="T642" t="s">
        <v>29</v>
      </c>
    </row>
    <row r="643" spans="1:20" x14ac:dyDescent="0.3">
      <c r="A643">
        <v>252</v>
      </c>
      <c r="B643" s="37">
        <v>40554</v>
      </c>
      <c r="F643">
        <v>20</v>
      </c>
      <c r="G643" t="b">
        <v>0</v>
      </c>
      <c r="H643">
        <v>2</v>
      </c>
      <c r="I643">
        <v>3</v>
      </c>
      <c r="J643">
        <v>0.16</v>
      </c>
      <c r="K643">
        <v>40554</v>
      </c>
      <c r="L643">
        <v>0.1515</v>
      </c>
      <c r="M643">
        <v>0.93</v>
      </c>
      <c r="N643">
        <v>0.19400000000000001</v>
      </c>
      <c r="O643">
        <v>0</v>
      </c>
      <c r="P643">
        <v>32</v>
      </c>
      <c r="S643" t="s">
        <v>23</v>
      </c>
      <c r="T643" t="s">
        <v>29</v>
      </c>
    </row>
    <row r="644" spans="1:20" x14ac:dyDescent="0.3">
      <c r="A644">
        <v>253</v>
      </c>
      <c r="B644" s="37">
        <v>40554</v>
      </c>
      <c r="F644">
        <v>21</v>
      </c>
      <c r="G644" t="b">
        <v>0</v>
      </c>
      <c r="H644">
        <v>2</v>
      </c>
      <c r="I644">
        <v>3</v>
      </c>
      <c r="J644">
        <v>0.16</v>
      </c>
      <c r="K644">
        <v>40554</v>
      </c>
      <c r="L644">
        <v>0.19700000000000001</v>
      </c>
      <c r="M644">
        <v>0.86</v>
      </c>
      <c r="N644">
        <v>8.9599999999999999E-2</v>
      </c>
      <c r="O644">
        <v>0</v>
      </c>
      <c r="P644">
        <v>20</v>
      </c>
      <c r="S644" t="s">
        <v>23</v>
      </c>
      <c r="T644" t="s">
        <v>29</v>
      </c>
    </row>
    <row r="645" spans="1:20" x14ac:dyDescent="0.3">
      <c r="A645">
        <v>254</v>
      </c>
      <c r="B645" s="37">
        <v>40554</v>
      </c>
      <c r="F645">
        <v>22</v>
      </c>
      <c r="G645" t="b">
        <v>0</v>
      </c>
      <c r="H645">
        <v>2</v>
      </c>
      <c r="I645">
        <v>3</v>
      </c>
      <c r="J645">
        <v>0.16</v>
      </c>
      <c r="K645">
        <v>40554</v>
      </c>
      <c r="L645">
        <v>0.18179999999999999</v>
      </c>
      <c r="M645">
        <v>0.93</v>
      </c>
      <c r="N645">
        <v>0.1045</v>
      </c>
      <c r="O645">
        <v>1</v>
      </c>
      <c r="P645">
        <v>28</v>
      </c>
      <c r="S645" t="s">
        <v>23</v>
      </c>
      <c r="T645" t="s">
        <v>29</v>
      </c>
    </row>
    <row r="646" spans="1:20" x14ac:dyDescent="0.3">
      <c r="A646">
        <v>255</v>
      </c>
      <c r="B646" s="37">
        <v>40554</v>
      </c>
      <c r="F646">
        <v>23</v>
      </c>
      <c r="G646" t="b">
        <v>0</v>
      </c>
      <c r="H646">
        <v>2</v>
      </c>
      <c r="I646">
        <v>3</v>
      </c>
      <c r="J646">
        <v>0.16</v>
      </c>
      <c r="K646">
        <v>40554</v>
      </c>
      <c r="L646">
        <v>0.19700000000000001</v>
      </c>
      <c r="M646">
        <v>0.93</v>
      </c>
      <c r="N646">
        <v>8.9599999999999999E-2</v>
      </c>
      <c r="O646">
        <v>1</v>
      </c>
      <c r="P646">
        <v>18</v>
      </c>
      <c r="S646" t="s">
        <v>23</v>
      </c>
      <c r="T646" t="s">
        <v>29</v>
      </c>
    </row>
    <row r="647" spans="1:20" x14ac:dyDescent="0.3">
      <c r="A647">
        <v>256</v>
      </c>
      <c r="B647" s="37">
        <v>40555</v>
      </c>
      <c r="F647">
        <v>0</v>
      </c>
      <c r="G647" t="b">
        <v>0</v>
      </c>
      <c r="H647">
        <v>3</v>
      </c>
      <c r="I647">
        <v>2</v>
      </c>
      <c r="J647">
        <v>0.16</v>
      </c>
      <c r="K647">
        <v>40555</v>
      </c>
      <c r="L647">
        <v>0.19700000000000001</v>
      </c>
      <c r="M647">
        <v>0.86</v>
      </c>
      <c r="N647">
        <v>8.9599999999999999E-2</v>
      </c>
      <c r="O647">
        <v>0</v>
      </c>
      <c r="P647">
        <v>7</v>
      </c>
      <c r="S647" t="s">
        <v>24</v>
      </c>
      <c r="T647" t="s">
        <v>29</v>
      </c>
    </row>
    <row r="648" spans="1:20" x14ac:dyDescent="0.3">
      <c r="A648">
        <v>257</v>
      </c>
      <c r="B648" s="37">
        <v>40555</v>
      </c>
      <c r="F648">
        <v>1</v>
      </c>
      <c r="G648" t="b">
        <v>0</v>
      </c>
      <c r="H648">
        <v>3</v>
      </c>
      <c r="I648">
        <v>2</v>
      </c>
      <c r="J648">
        <v>0.16</v>
      </c>
      <c r="K648">
        <v>40555</v>
      </c>
      <c r="L648">
        <v>0.18179999999999999</v>
      </c>
      <c r="M648">
        <v>0.86</v>
      </c>
      <c r="N648">
        <v>0.1045</v>
      </c>
      <c r="O648">
        <v>0</v>
      </c>
      <c r="P648">
        <v>6</v>
      </c>
      <c r="S648" t="s">
        <v>24</v>
      </c>
      <c r="T648" t="s">
        <v>29</v>
      </c>
    </row>
    <row r="649" spans="1:20" x14ac:dyDescent="0.3">
      <c r="A649">
        <v>258</v>
      </c>
      <c r="B649" s="37">
        <v>40555</v>
      </c>
      <c r="F649">
        <v>2</v>
      </c>
      <c r="G649" t="b">
        <v>0</v>
      </c>
      <c r="H649">
        <v>3</v>
      </c>
      <c r="I649">
        <v>1</v>
      </c>
      <c r="J649">
        <v>0.14000000000000001</v>
      </c>
      <c r="K649">
        <v>40555</v>
      </c>
      <c r="L649">
        <v>0.1515</v>
      </c>
      <c r="M649">
        <v>0.86</v>
      </c>
      <c r="N649">
        <v>0.1343</v>
      </c>
      <c r="O649">
        <v>0</v>
      </c>
      <c r="P649">
        <v>1</v>
      </c>
      <c r="S649" t="s">
        <v>24</v>
      </c>
      <c r="T649" t="s">
        <v>29</v>
      </c>
    </row>
    <row r="650" spans="1:20" x14ac:dyDescent="0.3">
      <c r="A650">
        <v>259</v>
      </c>
      <c r="B650" s="37">
        <v>40555</v>
      </c>
      <c r="F650">
        <v>5</v>
      </c>
      <c r="G650" t="b">
        <v>0</v>
      </c>
      <c r="H650">
        <v>3</v>
      </c>
      <c r="I650">
        <v>1</v>
      </c>
      <c r="J650">
        <v>0.14000000000000001</v>
      </c>
      <c r="K650">
        <v>40555</v>
      </c>
      <c r="L650">
        <v>0.1515</v>
      </c>
      <c r="M650">
        <v>0.86</v>
      </c>
      <c r="N650">
        <v>0.16420000000000001</v>
      </c>
      <c r="O650">
        <v>0</v>
      </c>
      <c r="P650">
        <v>5</v>
      </c>
      <c r="S650" t="s">
        <v>24</v>
      </c>
      <c r="T650" t="s">
        <v>29</v>
      </c>
    </row>
    <row r="651" spans="1:20" x14ac:dyDescent="0.3">
      <c r="A651">
        <v>260</v>
      </c>
      <c r="B651" s="37">
        <v>40555</v>
      </c>
      <c r="F651">
        <v>6</v>
      </c>
      <c r="G651" t="b">
        <v>0</v>
      </c>
      <c r="H651">
        <v>3</v>
      </c>
      <c r="I651">
        <v>1</v>
      </c>
      <c r="J651">
        <v>0.12</v>
      </c>
      <c r="K651">
        <v>40555</v>
      </c>
      <c r="L651">
        <v>0.1515</v>
      </c>
      <c r="M651">
        <v>0.93</v>
      </c>
      <c r="N651">
        <v>0.1343</v>
      </c>
      <c r="O651">
        <v>0</v>
      </c>
      <c r="P651">
        <v>16</v>
      </c>
      <c r="S651" t="s">
        <v>24</v>
      </c>
      <c r="T651" t="s">
        <v>69</v>
      </c>
    </row>
    <row r="652" spans="1:20" x14ac:dyDescent="0.3">
      <c r="A652">
        <v>261</v>
      </c>
      <c r="B652" s="37">
        <v>40555</v>
      </c>
      <c r="F652">
        <v>7</v>
      </c>
      <c r="G652" t="b">
        <v>0</v>
      </c>
      <c r="H652">
        <v>3</v>
      </c>
      <c r="I652">
        <v>1</v>
      </c>
      <c r="J652">
        <v>0.14000000000000001</v>
      </c>
      <c r="K652">
        <v>40555</v>
      </c>
      <c r="L652">
        <v>0.1515</v>
      </c>
      <c r="M652">
        <v>0.69</v>
      </c>
      <c r="N652">
        <v>0.1343</v>
      </c>
      <c r="O652">
        <v>0</v>
      </c>
      <c r="P652">
        <v>54</v>
      </c>
      <c r="S652" t="s">
        <v>24</v>
      </c>
      <c r="T652" t="s">
        <v>69</v>
      </c>
    </row>
    <row r="653" spans="1:20" x14ac:dyDescent="0.3">
      <c r="A653">
        <v>262</v>
      </c>
      <c r="B653" s="37">
        <v>40555</v>
      </c>
      <c r="F653">
        <v>8</v>
      </c>
      <c r="G653" t="b">
        <v>0</v>
      </c>
      <c r="H653">
        <v>3</v>
      </c>
      <c r="I653">
        <v>1</v>
      </c>
      <c r="J653">
        <v>0.16</v>
      </c>
      <c r="K653">
        <v>40555</v>
      </c>
      <c r="L653">
        <v>0.16669999999999999</v>
      </c>
      <c r="M653">
        <v>0.59</v>
      </c>
      <c r="N653">
        <v>0.16420000000000001</v>
      </c>
      <c r="O653">
        <v>3</v>
      </c>
      <c r="P653">
        <v>125</v>
      </c>
      <c r="S653" t="s">
        <v>24</v>
      </c>
      <c r="T653" t="s">
        <v>69</v>
      </c>
    </row>
    <row r="654" spans="1:20" x14ac:dyDescent="0.3">
      <c r="A654">
        <v>263</v>
      </c>
      <c r="B654" s="37">
        <v>40555</v>
      </c>
      <c r="F654">
        <v>9</v>
      </c>
      <c r="G654" t="b">
        <v>0</v>
      </c>
      <c r="H654">
        <v>3</v>
      </c>
      <c r="I654">
        <v>1</v>
      </c>
      <c r="J654">
        <v>0.16</v>
      </c>
      <c r="K654">
        <v>40555</v>
      </c>
      <c r="L654">
        <v>0.13639999999999999</v>
      </c>
      <c r="M654">
        <v>0.59</v>
      </c>
      <c r="N654">
        <v>0.32840000000000003</v>
      </c>
      <c r="O654">
        <v>3</v>
      </c>
      <c r="P654">
        <v>78</v>
      </c>
      <c r="S654" t="s">
        <v>24</v>
      </c>
      <c r="T654" t="s">
        <v>69</v>
      </c>
    </row>
    <row r="655" spans="1:20" x14ac:dyDescent="0.3">
      <c r="A655">
        <v>264</v>
      </c>
      <c r="B655" s="37">
        <v>40555</v>
      </c>
      <c r="F655">
        <v>10</v>
      </c>
      <c r="G655" t="b">
        <v>0</v>
      </c>
      <c r="H655">
        <v>3</v>
      </c>
      <c r="I655">
        <v>1</v>
      </c>
      <c r="J655">
        <v>0.18</v>
      </c>
      <c r="K655">
        <v>40555</v>
      </c>
      <c r="L655">
        <v>0.18179999999999999</v>
      </c>
      <c r="M655">
        <v>0.55000000000000004</v>
      </c>
      <c r="N655">
        <v>0.22389999999999999</v>
      </c>
      <c r="O655">
        <v>0</v>
      </c>
      <c r="P655">
        <v>39</v>
      </c>
      <c r="S655" t="s">
        <v>24</v>
      </c>
      <c r="T655" t="s">
        <v>69</v>
      </c>
    </row>
    <row r="656" spans="1:20" x14ac:dyDescent="0.3">
      <c r="A656">
        <v>265</v>
      </c>
      <c r="B656" s="37">
        <v>40555</v>
      </c>
      <c r="F656">
        <v>11</v>
      </c>
      <c r="G656" t="b">
        <v>0</v>
      </c>
      <c r="H656">
        <v>3</v>
      </c>
      <c r="I656">
        <v>1</v>
      </c>
      <c r="J656">
        <v>0.2</v>
      </c>
      <c r="K656">
        <v>40555</v>
      </c>
      <c r="L656">
        <v>0.18179999999999999</v>
      </c>
      <c r="M656">
        <v>0.51</v>
      </c>
      <c r="N656">
        <v>0.3881</v>
      </c>
      <c r="O656">
        <v>3</v>
      </c>
      <c r="P656">
        <v>32</v>
      </c>
      <c r="S656" t="s">
        <v>24</v>
      </c>
      <c r="T656" t="s">
        <v>69</v>
      </c>
    </row>
    <row r="657" spans="1:20" x14ac:dyDescent="0.3">
      <c r="A657">
        <v>266</v>
      </c>
      <c r="B657" s="37">
        <v>40555</v>
      </c>
      <c r="F657">
        <v>12</v>
      </c>
      <c r="G657" t="b">
        <v>0</v>
      </c>
      <c r="H657">
        <v>3</v>
      </c>
      <c r="I657">
        <v>1</v>
      </c>
      <c r="J657">
        <v>0.2</v>
      </c>
      <c r="K657">
        <v>40555</v>
      </c>
      <c r="L657">
        <v>0.1515</v>
      </c>
      <c r="M657">
        <v>0.47</v>
      </c>
      <c r="N657">
        <v>0.58209999999999995</v>
      </c>
      <c r="O657">
        <v>3</v>
      </c>
      <c r="P657">
        <v>52</v>
      </c>
      <c r="S657" t="s">
        <v>24</v>
      </c>
      <c r="T657" t="s">
        <v>69</v>
      </c>
    </row>
    <row r="658" spans="1:20" x14ac:dyDescent="0.3">
      <c r="A658">
        <v>267</v>
      </c>
      <c r="B658" s="37">
        <v>40555</v>
      </c>
      <c r="F658">
        <v>13</v>
      </c>
      <c r="G658" t="b">
        <v>0</v>
      </c>
      <c r="H658">
        <v>3</v>
      </c>
      <c r="I658">
        <v>1</v>
      </c>
      <c r="J658">
        <v>0.22</v>
      </c>
      <c r="K658">
        <v>40555</v>
      </c>
      <c r="L658">
        <v>0.19700000000000001</v>
      </c>
      <c r="M658">
        <v>0.44</v>
      </c>
      <c r="N658">
        <v>0.35820000000000002</v>
      </c>
      <c r="O658">
        <v>0</v>
      </c>
      <c r="P658">
        <v>49</v>
      </c>
      <c r="S658" t="s">
        <v>24</v>
      </c>
      <c r="T658" t="s">
        <v>69</v>
      </c>
    </row>
    <row r="659" spans="1:20" x14ac:dyDescent="0.3">
      <c r="A659">
        <v>268</v>
      </c>
      <c r="B659" s="37">
        <v>40555</v>
      </c>
      <c r="F659">
        <v>14</v>
      </c>
      <c r="G659" t="b">
        <v>0</v>
      </c>
      <c r="H659">
        <v>3</v>
      </c>
      <c r="I659">
        <v>1</v>
      </c>
      <c r="J659">
        <v>0.2</v>
      </c>
      <c r="K659">
        <v>40555</v>
      </c>
      <c r="L659">
        <v>0.18179999999999999</v>
      </c>
      <c r="M659">
        <v>0.47</v>
      </c>
      <c r="N659">
        <v>0.32840000000000003</v>
      </c>
      <c r="O659">
        <v>0</v>
      </c>
      <c r="P659">
        <v>44</v>
      </c>
      <c r="S659" t="s">
        <v>24</v>
      </c>
      <c r="T659" t="s">
        <v>69</v>
      </c>
    </row>
    <row r="660" spans="1:20" x14ac:dyDescent="0.3">
      <c r="A660">
        <v>269</v>
      </c>
      <c r="B660" s="37">
        <v>40555</v>
      </c>
      <c r="F660">
        <v>15</v>
      </c>
      <c r="G660" t="b">
        <v>0</v>
      </c>
      <c r="H660">
        <v>3</v>
      </c>
      <c r="I660">
        <v>1</v>
      </c>
      <c r="J660">
        <v>0.2</v>
      </c>
      <c r="K660">
        <v>40555</v>
      </c>
      <c r="L660">
        <v>0.16669999999999999</v>
      </c>
      <c r="M660">
        <v>0.47</v>
      </c>
      <c r="N660">
        <v>0.41789999999999999</v>
      </c>
      <c r="O660">
        <v>1</v>
      </c>
      <c r="P660">
        <v>48</v>
      </c>
      <c r="S660" t="s">
        <v>24</v>
      </c>
      <c r="T660" t="s">
        <v>69</v>
      </c>
    </row>
    <row r="661" spans="1:20" x14ac:dyDescent="0.3">
      <c r="A661">
        <v>270</v>
      </c>
      <c r="B661" s="37">
        <v>40555</v>
      </c>
      <c r="F661">
        <v>16</v>
      </c>
      <c r="G661" t="b">
        <v>0</v>
      </c>
      <c r="H661">
        <v>3</v>
      </c>
      <c r="I661">
        <v>1</v>
      </c>
      <c r="J661">
        <v>0.22</v>
      </c>
      <c r="K661">
        <v>40555</v>
      </c>
      <c r="L661">
        <v>0.19700000000000001</v>
      </c>
      <c r="M661">
        <v>0.44</v>
      </c>
      <c r="N661">
        <v>0.32840000000000003</v>
      </c>
      <c r="O661">
        <v>5</v>
      </c>
      <c r="P661">
        <v>63</v>
      </c>
      <c r="S661" t="s">
        <v>24</v>
      </c>
      <c r="T661" t="s">
        <v>69</v>
      </c>
    </row>
    <row r="662" spans="1:20" x14ac:dyDescent="0.3">
      <c r="A662">
        <v>271</v>
      </c>
      <c r="B662" s="37">
        <v>40555</v>
      </c>
      <c r="F662">
        <v>17</v>
      </c>
      <c r="G662" t="b">
        <v>0</v>
      </c>
      <c r="H662">
        <v>3</v>
      </c>
      <c r="I662">
        <v>1</v>
      </c>
      <c r="J662">
        <v>0.2</v>
      </c>
      <c r="K662">
        <v>40555</v>
      </c>
      <c r="L662">
        <v>0.18179999999999999</v>
      </c>
      <c r="M662">
        <v>0.47</v>
      </c>
      <c r="N662">
        <v>0.35820000000000002</v>
      </c>
      <c r="O662">
        <v>0</v>
      </c>
      <c r="P662">
        <v>139</v>
      </c>
      <c r="S662" t="s">
        <v>24</v>
      </c>
      <c r="T662" t="s">
        <v>69</v>
      </c>
    </row>
    <row r="663" spans="1:20" x14ac:dyDescent="0.3">
      <c r="A663">
        <v>272</v>
      </c>
      <c r="B663" s="37">
        <v>40555</v>
      </c>
      <c r="F663">
        <v>18</v>
      </c>
      <c r="G663" t="b">
        <v>0</v>
      </c>
      <c r="H663">
        <v>3</v>
      </c>
      <c r="I663">
        <v>1</v>
      </c>
      <c r="J663">
        <v>0.2</v>
      </c>
      <c r="K663">
        <v>40555</v>
      </c>
      <c r="L663">
        <v>0.1515</v>
      </c>
      <c r="M663">
        <v>0.47</v>
      </c>
      <c r="N663">
        <v>0.52239999999999998</v>
      </c>
      <c r="O663">
        <v>2</v>
      </c>
      <c r="P663">
        <v>135</v>
      </c>
      <c r="S663" t="s">
        <v>24</v>
      </c>
      <c r="T663" t="s">
        <v>69</v>
      </c>
    </row>
    <row r="664" spans="1:20" x14ac:dyDescent="0.3">
      <c r="A664">
        <v>273</v>
      </c>
      <c r="B664" s="37">
        <v>40555</v>
      </c>
      <c r="F664">
        <v>19</v>
      </c>
      <c r="G664" t="b">
        <v>0</v>
      </c>
      <c r="H664">
        <v>3</v>
      </c>
      <c r="I664">
        <v>1</v>
      </c>
      <c r="J664">
        <v>0.18</v>
      </c>
      <c r="K664">
        <v>40555</v>
      </c>
      <c r="L664">
        <v>0.1515</v>
      </c>
      <c r="M664">
        <v>0.47</v>
      </c>
      <c r="N664">
        <v>0.41789999999999999</v>
      </c>
      <c r="O664">
        <v>1</v>
      </c>
      <c r="P664">
        <v>82</v>
      </c>
      <c r="S664" t="s">
        <v>24</v>
      </c>
      <c r="T664" t="s">
        <v>29</v>
      </c>
    </row>
    <row r="665" spans="1:20" x14ac:dyDescent="0.3">
      <c r="A665">
        <v>274</v>
      </c>
      <c r="B665" s="37">
        <v>40555</v>
      </c>
      <c r="F665">
        <v>20</v>
      </c>
      <c r="G665" t="b">
        <v>0</v>
      </c>
      <c r="H665">
        <v>3</v>
      </c>
      <c r="I665">
        <v>1</v>
      </c>
      <c r="J665">
        <v>0.16</v>
      </c>
      <c r="K665">
        <v>40555</v>
      </c>
      <c r="L665">
        <v>0.13639999999999999</v>
      </c>
      <c r="M665">
        <v>0.5</v>
      </c>
      <c r="N665">
        <v>0.32840000000000003</v>
      </c>
      <c r="O665">
        <v>2</v>
      </c>
      <c r="P665">
        <v>54</v>
      </c>
      <c r="S665" t="s">
        <v>24</v>
      </c>
      <c r="T665" t="s">
        <v>29</v>
      </c>
    </row>
    <row r="666" spans="1:20" x14ac:dyDescent="0.3">
      <c r="A666">
        <v>275</v>
      </c>
      <c r="B666" s="37">
        <v>40555</v>
      </c>
      <c r="F666">
        <v>21</v>
      </c>
      <c r="G666" t="b">
        <v>0</v>
      </c>
      <c r="H666">
        <v>3</v>
      </c>
      <c r="I666">
        <v>1</v>
      </c>
      <c r="J666">
        <v>0.16</v>
      </c>
      <c r="K666">
        <v>40555</v>
      </c>
      <c r="L666">
        <v>0.13639999999999999</v>
      </c>
      <c r="M666">
        <v>0.55000000000000004</v>
      </c>
      <c r="N666">
        <v>0.32840000000000003</v>
      </c>
      <c r="O666">
        <v>0</v>
      </c>
      <c r="P666">
        <v>57</v>
      </c>
      <c r="S666" t="s">
        <v>24</v>
      </c>
      <c r="T666" t="s">
        <v>29</v>
      </c>
    </row>
    <row r="667" spans="1:20" x14ac:dyDescent="0.3">
      <c r="A667">
        <v>276</v>
      </c>
      <c r="B667" s="37">
        <v>40555</v>
      </c>
      <c r="F667">
        <v>22</v>
      </c>
      <c r="G667" t="b">
        <v>0</v>
      </c>
      <c r="H667">
        <v>3</v>
      </c>
      <c r="I667">
        <v>1</v>
      </c>
      <c r="J667">
        <v>0.16</v>
      </c>
      <c r="K667">
        <v>40555</v>
      </c>
      <c r="L667">
        <v>0.1212</v>
      </c>
      <c r="M667">
        <v>0.55000000000000004</v>
      </c>
      <c r="N667">
        <v>0.44779999999999998</v>
      </c>
      <c r="O667">
        <v>1</v>
      </c>
      <c r="P667">
        <v>32</v>
      </c>
      <c r="S667" t="s">
        <v>24</v>
      </c>
      <c r="T667" t="s">
        <v>29</v>
      </c>
    </row>
    <row r="668" spans="1:20" x14ac:dyDescent="0.3">
      <c r="A668">
        <v>277</v>
      </c>
      <c r="B668" s="37">
        <v>40555</v>
      </c>
      <c r="F668">
        <v>23</v>
      </c>
      <c r="G668" t="b">
        <v>0</v>
      </c>
      <c r="H668">
        <v>3</v>
      </c>
      <c r="I668">
        <v>1</v>
      </c>
      <c r="J668">
        <v>0.14000000000000001</v>
      </c>
      <c r="K668">
        <v>40555</v>
      </c>
      <c r="L668">
        <v>0.1061</v>
      </c>
      <c r="M668">
        <v>0.59</v>
      </c>
      <c r="N668">
        <v>0.41789999999999999</v>
      </c>
      <c r="O668">
        <v>1</v>
      </c>
      <c r="P668">
        <v>19</v>
      </c>
      <c r="S668" t="s">
        <v>24</v>
      </c>
      <c r="T668" t="s">
        <v>29</v>
      </c>
    </row>
    <row r="669" spans="1:20" x14ac:dyDescent="0.3">
      <c r="A669">
        <v>278</v>
      </c>
      <c r="B669" s="37">
        <v>40556</v>
      </c>
      <c r="F669">
        <v>0</v>
      </c>
      <c r="G669" t="b">
        <v>0</v>
      </c>
      <c r="H669">
        <v>4</v>
      </c>
      <c r="I669">
        <v>1</v>
      </c>
      <c r="J669">
        <v>0.14000000000000001</v>
      </c>
      <c r="K669">
        <v>40556</v>
      </c>
      <c r="L669">
        <v>0.1212</v>
      </c>
      <c r="M669">
        <v>0.59</v>
      </c>
      <c r="N669">
        <v>0.28360000000000002</v>
      </c>
      <c r="O669">
        <v>1</v>
      </c>
      <c r="P669">
        <v>6</v>
      </c>
      <c r="S669" t="s">
        <v>25</v>
      </c>
      <c r="T669" t="s">
        <v>29</v>
      </c>
    </row>
    <row r="670" spans="1:20" x14ac:dyDescent="0.3">
      <c r="A670">
        <v>279</v>
      </c>
      <c r="B670" s="37">
        <v>40556</v>
      </c>
      <c r="F670">
        <v>1</v>
      </c>
      <c r="G670" t="b">
        <v>0</v>
      </c>
      <c r="H670">
        <v>4</v>
      </c>
      <c r="I670">
        <v>1</v>
      </c>
      <c r="J670">
        <v>0.14000000000000001</v>
      </c>
      <c r="K670">
        <v>40556</v>
      </c>
      <c r="L670">
        <v>0.1212</v>
      </c>
      <c r="M670">
        <v>0.5</v>
      </c>
      <c r="N670">
        <v>0.28360000000000002</v>
      </c>
      <c r="O670">
        <v>0</v>
      </c>
      <c r="P670">
        <v>2</v>
      </c>
      <c r="S670" t="s">
        <v>25</v>
      </c>
      <c r="T670" t="s">
        <v>29</v>
      </c>
    </row>
    <row r="671" spans="1:20" x14ac:dyDescent="0.3">
      <c r="A671">
        <v>280</v>
      </c>
      <c r="B671" s="37">
        <v>40556</v>
      </c>
      <c r="F671">
        <v>2</v>
      </c>
      <c r="G671" t="b">
        <v>0</v>
      </c>
      <c r="H671">
        <v>4</v>
      </c>
      <c r="I671">
        <v>1</v>
      </c>
      <c r="J671">
        <v>0.14000000000000001</v>
      </c>
      <c r="K671">
        <v>40556</v>
      </c>
      <c r="L671">
        <v>0.1212</v>
      </c>
      <c r="M671">
        <v>0.5</v>
      </c>
      <c r="N671">
        <v>0.35820000000000002</v>
      </c>
      <c r="O671">
        <v>0</v>
      </c>
      <c r="P671">
        <v>2</v>
      </c>
      <c r="S671" t="s">
        <v>25</v>
      </c>
      <c r="T671" t="s">
        <v>29</v>
      </c>
    </row>
    <row r="672" spans="1:20" x14ac:dyDescent="0.3">
      <c r="A672">
        <v>281</v>
      </c>
      <c r="B672" s="37">
        <v>40556</v>
      </c>
      <c r="F672">
        <v>3</v>
      </c>
      <c r="G672" t="b">
        <v>0</v>
      </c>
      <c r="H672">
        <v>4</v>
      </c>
      <c r="I672">
        <v>1</v>
      </c>
      <c r="J672">
        <v>0.14000000000000001</v>
      </c>
      <c r="K672">
        <v>40556</v>
      </c>
      <c r="L672">
        <v>0.1212</v>
      </c>
      <c r="M672">
        <v>0.5</v>
      </c>
      <c r="N672">
        <v>0.32840000000000003</v>
      </c>
      <c r="O672">
        <v>0</v>
      </c>
      <c r="P672">
        <v>3</v>
      </c>
      <c r="S672" t="s">
        <v>25</v>
      </c>
      <c r="T672" t="s">
        <v>29</v>
      </c>
    </row>
    <row r="673" spans="1:20" x14ac:dyDescent="0.3">
      <c r="A673">
        <v>282</v>
      </c>
      <c r="B673" s="37">
        <v>40556</v>
      </c>
      <c r="F673">
        <v>4</v>
      </c>
      <c r="G673" t="b">
        <v>0</v>
      </c>
      <c r="H673">
        <v>4</v>
      </c>
      <c r="I673">
        <v>1</v>
      </c>
      <c r="J673">
        <v>0.14000000000000001</v>
      </c>
      <c r="K673">
        <v>40556</v>
      </c>
      <c r="L673">
        <v>0.1212</v>
      </c>
      <c r="M673">
        <v>0.5</v>
      </c>
      <c r="N673">
        <v>0.25369999999999998</v>
      </c>
      <c r="O673">
        <v>0</v>
      </c>
      <c r="P673">
        <v>4</v>
      </c>
      <c r="S673" t="s">
        <v>25</v>
      </c>
      <c r="T673" t="s">
        <v>29</v>
      </c>
    </row>
    <row r="674" spans="1:20" x14ac:dyDescent="0.3">
      <c r="A674">
        <v>283</v>
      </c>
      <c r="B674" s="37">
        <v>40556</v>
      </c>
      <c r="F674">
        <v>5</v>
      </c>
      <c r="G674" t="b">
        <v>0</v>
      </c>
      <c r="H674">
        <v>4</v>
      </c>
      <c r="I674">
        <v>1</v>
      </c>
      <c r="J674">
        <v>0.14000000000000001</v>
      </c>
      <c r="K674">
        <v>40556</v>
      </c>
      <c r="L674">
        <v>0.1212</v>
      </c>
      <c r="M674">
        <v>0.5</v>
      </c>
      <c r="N674">
        <v>0.29849999999999999</v>
      </c>
      <c r="O674">
        <v>0</v>
      </c>
      <c r="P674">
        <v>3</v>
      </c>
      <c r="S674" t="s">
        <v>25</v>
      </c>
      <c r="T674" t="s">
        <v>29</v>
      </c>
    </row>
    <row r="675" spans="1:20" x14ac:dyDescent="0.3">
      <c r="A675">
        <v>284</v>
      </c>
      <c r="B675" s="37">
        <v>40556</v>
      </c>
      <c r="F675">
        <v>6</v>
      </c>
      <c r="G675" t="b">
        <v>0</v>
      </c>
      <c r="H675">
        <v>4</v>
      </c>
      <c r="I675">
        <v>1</v>
      </c>
      <c r="J675">
        <v>0.12</v>
      </c>
      <c r="K675">
        <v>40556</v>
      </c>
      <c r="L675">
        <v>0.1515</v>
      </c>
      <c r="M675">
        <v>0.54</v>
      </c>
      <c r="N675">
        <v>0.1343</v>
      </c>
      <c r="O675">
        <v>0</v>
      </c>
      <c r="P675">
        <v>28</v>
      </c>
      <c r="S675" t="s">
        <v>25</v>
      </c>
      <c r="T675" t="s">
        <v>69</v>
      </c>
    </row>
    <row r="676" spans="1:20" x14ac:dyDescent="0.3">
      <c r="A676">
        <v>285</v>
      </c>
      <c r="B676" s="37">
        <v>40556</v>
      </c>
      <c r="F676">
        <v>7</v>
      </c>
      <c r="G676" t="b">
        <v>0</v>
      </c>
      <c r="H676">
        <v>4</v>
      </c>
      <c r="I676">
        <v>1</v>
      </c>
      <c r="J676">
        <v>0.12</v>
      </c>
      <c r="K676">
        <v>40556</v>
      </c>
      <c r="L676">
        <v>0.1515</v>
      </c>
      <c r="M676">
        <v>0.54</v>
      </c>
      <c r="N676">
        <v>0.1343</v>
      </c>
      <c r="O676">
        <v>0</v>
      </c>
      <c r="P676">
        <v>72</v>
      </c>
      <c r="S676" t="s">
        <v>25</v>
      </c>
      <c r="T676" t="s">
        <v>69</v>
      </c>
    </row>
    <row r="677" spans="1:20" x14ac:dyDescent="0.3">
      <c r="A677">
        <v>286</v>
      </c>
      <c r="B677" s="37">
        <v>40556</v>
      </c>
      <c r="F677">
        <v>8</v>
      </c>
      <c r="G677" t="b">
        <v>0</v>
      </c>
      <c r="H677">
        <v>4</v>
      </c>
      <c r="I677">
        <v>1</v>
      </c>
      <c r="J677">
        <v>0.14000000000000001</v>
      </c>
      <c r="K677">
        <v>40556</v>
      </c>
      <c r="L677">
        <v>0.13639999999999999</v>
      </c>
      <c r="M677">
        <v>0.5</v>
      </c>
      <c r="N677">
        <v>0.19400000000000001</v>
      </c>
      <c r="O677">
        <v>5</v>
      </c>
      <c r="P677">
        <v>197</v>
      </c>
      <c r="S677" t="s">
        <v>25</v>
      </c>
      <c r="T677" t="s">
        <v>69</v>
      </c>
    </row>
    <row r="678" spans="1:20" x14ac:dyDescent="0.3">
      <c r="A678">
        <v>287</v>
      </c>
      <c r="B678" s="37">
        <v>40556</v>
      </c>
      <c r="F678">
        <v>9</v>
      </c>
      <c r="G678" t="b">
        <v>0</v>
      </c>
      <c r="H678">
        <v>4</v>
      </c>
      <c r="I678">
        <v>1</v>
      </c>
      <c r="J678">
        <v>0.14000000000000001</v>
      </c>
      <c r="K678">
        <v>40556</v>
      </c>
      <c r="L678">
        <v>0.1212</v>
      </c>
      <c r="M678">
        <v>0.5</v>
      </c>
      <c r="N678">
        <v>0.32840000000000003</v>
      </c>
      <c r="O678">
        <v>2</v>
      </c>
      <c r="P678">
        <v>137</v>
      </c>
      <c r="S678" t="s">
        <v>25</v>
      </c>
      <c r="T678" t="s">
        <v>69</v>
      </c>
    </row>
    <row r="679" spans="1:20" x14ac:dyDescent="0.3">
      <c r="A679">
        <v>288</v>
      </c>
      <c r="B679" s="37">
        <v>40556</v>
      </c>
      <c r="F679">
        <v>10</v>
      </c>
      <c r="G679" t="b">
        <v>0</v>
      </c>
      <c r="H679">
        <v>4</v>
      </c>
      <c r="I679">
        <v>2</v>
      </c>
      <c r="J679">
        <v>0.16</v>
      </c>
      <c r="K679">
        <v>40556</v>
      </c>
      <c r="L679">
        <v>0.13639999999999999</v>
      </c>
      <c r="M679">
        <v>0.5</v>
      </c>
      <c r="N679">
        <v>0.35820000000000002</v>
      </c>
      <c r="O679">
        <v>2</v>
      </c>
      <c r="P679">
        <v>36</v>
      </c>
      <c r="S679" t="s">
        <v>25</v>
      </c>
      <c r="T679" t="s">
        <v>69</v>
      </c>
    </row>
    <row r="680" spans="1:20" x14ac:dyDescent="0.3">
      <c r="A680">
        <v>289</v>
      </c>
      <c r="B680" s="37">
        <v>40556</v>
      </c>
      <c r="F680">
        <v>11</v>
      </c>
      <c r="G680" t="b">
        <v>0</v>
      </c>
      <c r="H680">
        <v>4</v>
      </c>
      <c r="I680">
        <v>2</v>
      </c>
      <c r="J680">
        <v>0.2</v>
      </c>
      <c r="K680">
        <v>40556</v>
      </c>
      <c r="L680">
        <v>0.16669999999999999</v>
      </c>
      <c r="M680">
        <v>0.44</v>
      </c>
      <c r="N680">
        <v>0.44779999999999998</v>
      </c>
      <c r="O680">
        <v>4</v>
      </c>
      <c r="P680">
        <v>33</v>
      </c>
      <c r="S680" t="s">
        <v>25</v>
      </c>
      <c r="T680" t="s">
        <v>69</v>
      </c>
    </row>
    <row r="681" spans="1:20" x14ac:dyDescent="0.3">
      <c r="A681">
        <v>290</v>
      </c>
      <c r="B681" s="37">
        <v>40556</v>
      </c>
      <c r="F681">
        <v>12</v>
      </c>
      <c r="G681" t="b">
        <v>0</v>
      </c>
      <c r="H681">
        <v>4</v>
      </c>
      <c r="I681">
        <v>1</v>
      </c>
      <c r="J681">
        <v>0.2</v>
      </c>
      <c r="K681">
        <v>40556</v>
      </c>
      <c r="L681">
        <v>0.16669999999999999</v>
      </c>
      <c r="M681">
        <v>0.44</v>
      </c>
      <c r="N681">
        <v>0.41789999999999999</v>
      </c>
      <c r="O681">
        <v>3</v>
      </c>
      <c r="P681">
        <v>49</v>
      </c>
      <c r="S681" t="s">
        <v>25</v>
      </c>
      <c r="T681" t="s">
        <v>69</v>
      </c>
    </row>
    <row r="682" spans="1:20" x14ac:dyDescent="0.3">
      <c r="A682">
        <v>291</v>
      </c>
      <c r="B682" s="37">
        <v>40556</v>
      </c>
      <c r="F682">
        <v>13</v>
      </c>
      <c r="G682" t="b">
        <v>0</v>
      </c>
      <c r="H682">
        <v>4</v>
      </c>
      <c r="I682">
        <v>1</v>
      </c>
      <c r="J682">
        <v>0.22</v>
      </c>
      <c r="K682">
        <v>40556</v>
      </c>
      <c r="L682">
        <v>0.19700000000000001</v>
      </c>
      <c r="M682">
        <v>0.41</v>
      </c>
      <c r="N682">
        <v>0.44779999999999998</v>
      </c>
      <c r="O682">
        <v>2</v>
      </c>
      <c r="P682">
        <v>81</v>
      </c>
      <c r="S682" t="s">
        <v>25</v>
      </c>
      <c r="T682" t="s">
        <v>69</v>
      </c>
    </row>
    <row r="683" spans="1:20" x14ac:dyDescent="0.3">
      <c r="A683">
        <v>292</v>
      </c>
      <c r="B683" s="37">
        <v>40556</v>
      </c>
      <c r="F683">
        <v>14</v>
      </c>
      <c r="G683" t="b">
        <v>0</v>
      </c>
      <c r="H683">
        <v>4</v>
      </c>
      <c r="I683">
        <v>1</v>
      </c>
      <c r="J683">
        <v>0.22</v>
      </c>
      <c r="K683">
        <v>40556</v>
      </c>
      <c r="L683">
        <v>0.19700000000000001</v>
      </c>
      <c r="M683">
        <v>0.41</v>
      </c>
      <c r="N683">
        <v>0.3881</v>
      </c>
      <c r="O683">
        <v>3</v>
      </c>
      <c r="P683">
        <v>39</v>
      </c>
      <c r="S683" t="s">
        <v>25</v>
      </c>
      <c r="T683" t="s">
        <v>69</v>
      </c>
    </row>
    <row r="684" spans="1:20" x14ac:dyDescent="0.3">
      <c r="A684">
        <v>293</v>
      </c>
      <c r="B684" s="37">
        <v>40556</v>
      </c>
      <c r="F684">
        <v>15</v>
      </c>
      <c r="G684" t="b">
        <v>0</v>
      </c>
      <c r="H684">
        <v>4</v>
      </c>
      <c r="I684">
        <v>1</v>
      </c>
      <c r="J684">
        <v>0.24</v>
      </c>
      <c r="K684">
        <v>40556</v>
      </c>
      <c r="L684">
        <v>0.21210000000000001</v>
      </c>
      <c r="M684">
        <v>0.38</v>
      </c>
      <c r="N684">
        <v>0.29849999999999999</v>
      </c>
      <c r="O684">
        <v>5</v>
      </c>
      <c r="P684">
        <v>55</v>
      </c>
      <c r="S684" t="s">
        <v>25</v>
      </c>
      <c r="T684" t="s">
        <v>69</v>
      </c>
    </row>
    <row r="685" spans="1:20" x14ac:dyDescent="0.3">
      <c r="A685">
        <v>294</v>
      </c>
      <c r="B685" s="37">
        <v>40556</v>
      </c>
      <c r="F685">
        <v>16</v>
      </c>
      <c r="G685" t="b">
        <v>0</v>
      </c>
      <c r="H685">
        <v>4</v>
      </c>
      <c r="I685">
        <v>1</v>
      </c>
      <c r="J685">
        <v>0.24</v>
      </c>
      <c r="K685">
        <v>40556</v>
      </c>
      <c r="L685">
        <v>0.21210000000000001</v>
      </c>
      <c r="M685">
        <v>0.38</v>
      </c>
      <c r="N685">
        <v>0.35820000000000002</v>
      </c>
      <c r="O685">
        <v>2</v>
      </c>
      <c r="P685">
        <v>76</v>
      </c>
      <c r="S685" t="s">
        <v>25</v>
      </c>
      <c r="T685" t="s">
        <v>69</v>
      </c>
    </row>
    <row r="686" spans="1:20" x14ac:dyDescent="0.3">
      <c r="A686">
        <v>295</v>
      </c>
      <c r="B686" s="37">
        <v>40556</v>
      </c>
      <c r="F686">
        <v>17</v>
      </c>
      <c r="G686" t="b">
        <v>0</v>
      </c>
      <c r="H686">
        <v>4</v>
      </c>
      <c r="I686">
        <v>1</v>
      </c>
      <c r="J686">
        <v>0.2</v>
      </c>
      <c r="K686">
        <v>40556</v>
      </c>
      <c r="L686">
        <v>0.18179999999999999</v>
      </c>
      <c r="M686">
        <v>0.4</v>
      </c>
      <c r="N686">
        <v>0.28360000000000002</v>
      </c>
      <c r="O686">
        <v>4</v>
      </c>
      <c r="P686">
        <v>158</v>
      </c>
      <c r="S686" t="s">
        <v>25</v>
      </c>
      <c r="T686" t="s">
        <v>69</v>
      </c>
    </row>
    <row r="687" spans="1:20" x14ac:dyDescent="0.3">
      <c r="A687">
        <v>296</v>
      </c>
      <c r="B687" s="37">
        <v>40556</v>
      </c>
      <c r="F687">
        <v>18</v>
      </c>
      <c r="G687" t="b">
        <v>0</v>
      </c>
      <c r="H687">
        <v>4</v>
      </c>
      <c r="I687">
        <v>1</v>
      </c>
      <c r="J687">
        <v>0.2</v>
      </c>
      <c r="K687">
        <v>40556</v>
      </c>
      <c r="L687">
        <v>0.18179999999999999</v>
      </c>
      <c r="M687">
        <v>0.4</v>
      </c>
      <c r="N687">
        <v>0.32840000000000003</v>
      </c>
      <c r="O687">
        <v>3</v>
      </c>
      <c r="P687">
        <v>141</v>
      </c>
      <c r="S687" t="s">
        <v>25</v>
      </c>
      <c r="T687" t="s">
        <v>69</v>
      </c>
    </row>
    <row r="688" spans="1:20" x14ac:dyDescent="0.3">
      <c r="A688">
        <v>297</v>
      </c>
      <c r="B688" s="37">
        <v>40556</v>
      </c>
      <c r="F688">
        <v>19</v>
      </c>
      <c r="G688" t="b">
        <v>0</v>
      </c>
      <c r="H688">
        <v>4</v>
      </c>
      <c r="I688">
        <v>1</v>
      </c>
      <c r="J688">
        <v>0.16</v>
      </c>
      <c r="K688">
        <v>40556</v>
      </c>
      <c r="L688">
        <v>0.1515</v>
      </c>
      <c r="M688">
        <v>0.47</v>
      </c>
      <c r="N688">
        <v>0.25369999999999998</v>
      </c>
      <c r="O688">
        <v>1</v>
      </c>
      <c r="P688">
        <v>98</v>
      </c>
      <c r="S688" t="s">
        <v>25</v>
      </c>
      <c r="T688" t="s">
        <v>29</v>
      </c>
    </row>
    <row r="689" spans="1:20" x14ac:dyDescent="0.3">
      <c r="A689">
        <v>298</v>
      </c>
      <c r="B689" s="37">
        <v>40556</v>
      </c>
      <c r="F689">
        <v>20</v>
      </c>
      <c r="G689" t="b">
        <v>0</v>
      </c>
      <c r="H689">
        <v>4</v>
      </c>
      <c r="I689">
        <v>1</v>
      </c>
      <c r="J689">
        <v>0.16</v>
      </c>
      <c r="K689">
        <v>40556</v>
      </c>
      <c r="L689">
        <v>0.1515</v>
      </c>
      <c r="M689">
        <v>0.47</v>
      </c>
      <c r="N689">
        <v>0.22389999999999999</v>
      </c>
      <c r="O689">
        <v>0</v>
      </c>
      <c r="P689">
        <v>64</v>
      </c>
      <c r="S689" t="s">
        <v>25</v>
      </c>
      <c r="T689" t="s">
        <v>29</v>
      </c>
    </row>
    <row r="690" spans="1:20" x14ac:dyDescent="0.3">
      <c r="A690">
        <v>299</v>
      </c>
      <c r="B690" s="37">
        <v>40556</v>
      </c>
      <c r="F690">
        <v>21</v>
      </c>
      <c r="G690" t="b">
        <v>0</v>
      </c>
      <c r="H690">
        <v>4</v>
      </c>
      <c r="I690">
        <v>1</v>
      </c>
      <c r="J690">
        <v>0.14000000000000001</v>
      </c>
      <c r="K690">
        <v>40556</v>
      </c>
      <c r="L690">
        <v>0.1212</v>
      </c>
      <c r="M690">
        <v>0.46</v>
      </c>
      <c r="N690">
        <v>0.29849999999999999</v>
      </c>
      <c r="O690">
        <v>0</v>
      </c>
      <c r="P690">
        <v>40</v>
      </c>
      <c r="S690" t="s">
        <v>25</v>
      </c>
      <c r="T690" t="s">
        <v>29</v>
      </c>
    </row>
    <row r="691" spans="1:20" x14ac:dyDescent="0.3">
      <c r="A691">
        <v>300</v>
      </c>
      <c r="B691" s="37">
        <v>40556</v>
      </c>
      <c r="F691">
        <v>22</v>
      </c>
      <c r="G691" t="b">
        <v>0</v>
      </c>
      <c r="H691">
        <v>4</v>
      </c>
      <c r="I691">
        <v>1</v>
      </c>
      <c r="J691">
        <v>0.14000000000000001</v>
      </c>
      <c r="K691">
        <v>40556</v>
      </c>
      <c r="L691">
        <v>0.1212</v>
      </c>
      <c r="M691">
        <v>0.46</v>
      </c>
      <c r="N691">
        <v>0.32840000000000003</v>
      </c>
      <c r="O691">
        <v>0</v>
      </c>
      <c r="P691">
        <v>30</v>
      </c>
      <c r="S691" t="s">
        <v>25</v>
      </c>
      <c r="T691" t="s">
        <v>29</v>
      </c>
    </row>
    <row r="692" spans="1:20" x14ac:dyDescent="0.3">
      <c r="A692">
        <v>301</v>
      </c>
      <c r="B692" s="37">
        <v>40556</v>
      </c>
      <c r="F692">
        <v>23</v>
      </c>
      <c r="G692" t="b">
        <v>0</v>
      </c>
      <c r="H692">
        <v>4</v>
      </c>
      <c r="I692">
        <v>1</v>
      </c>
      <c r="J692">
        <v>0.12</v>
      </c>
      <c r="K692">
        <v>40556</v>
      </c>
      <c r="L692">
        <v>0.13639999999999999</v>
      </c>
      <c r="M692">
        <v>0.5</v>
      </c>
      <c r="N692">
        <v>0.19400000000000001</v>
      </c>
      <c r="O692">
        <v>1</v>
      </c>
      <c r="P692">
        <v>14</v>
      </c>
      <c r="S692" t="s">
        <v>25</v>
      </c>
      <c r="T692" t="s">
        <v>29</v>
      </c>
    </row>
    <row r="693" spans="1:20" x14ac:dyDescent="0.3">
      <c r="A693">
        <v>302</v>
      </c>
      <c r="B693" s="37">
        <v>40557</v>
      </c>
      <c r="F693">
        <v>0</v>
      </c>
      <c r="G693" t="b">
        <v>0</v>
      </c>
      <c r="H693">
        <v>5</v>
      </c>
      <c r="I693">
        <v>1</v>
      </c>
      <c r="J693">
        <v>0.12</v>
      </c>
      <c r="K693">
        <v>40557</v>
      </c>
      <c r="L693">
        <v>0.13639999999999999</v>
      </c>
      <c r="M693">
        <v>0.5</v>
      </c>
      <c r="N693">
        <v>0.19400000000000001</v>
      </c>
      <c r="O693">
        <v>0</v>
      </c>
      <c r="P693">
        <v>14</v>
      </c>
      <c r="S693" t="s">
        <v>26</v>
      </c>
      <c r="T693" t="s">
        <v>29</v>
      </c>
    </row>
    <row r="694" spans="1:20" x14ac:dyDescent="0.3">
      <c r="A694">
        <v>303</v>
      </c>
      <c r="B694" s="37">
        <v>40557</v>
      </c>
      <c r="F694">
        <v>1</v>
      </c>
      <c r="G694" t="b">
        <v>0</v>
      </c>
      <c r="H694">
        <v>5</v>
      </c>
      <c r="I694">
        <v>1</v>
      </c>
      <c r="J694">
        <v>0.1</v>
      </c>
      <c r="K694">
        <v>40557</v>
      </c>
      <c r="L694">
        <v>0.1212</v>
      </c>
      <c r="M694">
        <v>0.54</v>
      </c>
      <c r="N694">
        <v>0.16420000000000001</v>
      </c>
      <c r="O694">
        <v>0</v>
      </c>
      <c r="P694">
        <v>5</v>
      </c>
      <c r="S694" t="s">
        <v>26</v>
      </c>
      <c r="T694" t="s">
        <v>29</v>
      </c>
    </row>
    <row r="695" spans="1:20" x14ac:dyDescent="0.3">
      <c r="A695">
        <v>304</v>
      </c>
      <c r="B695" s="37">
        <v>40557</v>
      </c>
      <c r="F695">
        <v>2</v>
      </c>
      <c r="G695" t="b">
        <v>0</v>
      </c>
      <c r="H695">
        <v>5</v>
      </c>
      <c r="I695">
        <v>1</v>
      </c>
      <c r="J695">
        <v>0.1</v>
      </c>
      <c r="K695">
        <v>40557</v>
      </c>
      <c r="L695">
        <v>0.1212</v>
      </c>
      <c r="M695">
        <v>0.54</v>
      </c>
      <c r="N695">
        <v>0.1343</v>
      </c>
      <c r="O695">
        <v>0</v>
      </c>
      <c r="P695">
        <v>1</v>
      </c>
      <c r="S695" t="s">
        <v>26</v>
      </c>
      <c r="T695" t="s">
        <v>29</v>
      </c>
    </row>
    <row r="696" spans="1:20" x14ac:dyDescent="0.3">
      <c r="A696">
        <v>305</v>
      </c>
      <c r="B696" s="37">
        <v>40557</v>
      </c>
      <c r="F696">
        <v>3</v>
      </c>
      <c r="G696" t="b">
        <v>0</v>
      </c>
      <c r="H696">
        <v>5</v>
      </c>
      <c r="I696">
        <v>1</v>
      </c>
      <c r="J696">
        <v>0.1</v>
      </c>
      <c r="K696">
        <v>40557</v>
      </c>
      <c r="L696">
        <v>0.13639999999999999</v>
      </c>
      <c r="M696">
        <v>0.54</v>
      </c>
      <c r="N696">
        <v>0.1045</v>
      </c>
      <c r="O696">
        <v>0</v>
      </c>
      <c r="P696">
        <v>1</v>
      </c>
      <c r="S696" t="s">
        <v>26</v>
      </c>
      <c r="T696" t="s">
        <v>29</v>
      </c>
    </row>
    <row r="697" spans="1:20" x14ac:dyDescent="0.3">
      <c r="A697">
        <v>306</v>
      </c>
      <c r="B697" s="37">
        <v>40557</v>
      </c>
      <c r="F697">
        <v>5</v>
      </c>
      <c r="G697" t="b">
        <v>0</v>
      </c>
      <c r="H697">
        <v>5</v>
      </c>
      <c r="I697">
        <v>1</v>
      </c>
      <c r="J697">
        <v>0.1</v>
      </c>
      <c r="K697">
        <v>40557</v>
      </c>
      <c r="L697">
        <v>0.13639999999999999</v>
      </c>
      <c r="M697">
        <v>0.54</v>
      </c>
      <c r="N697">
        <v>8.9599999999999999E-2</v>
      </c>
      <c r="O697">
        <v>0</v>
      </c>
      <c r="P697">
        <v>8</v>
      </c>
      <c r="S697" t="s">
        <v>26</v>
      </c>
      <c r="T697" t="s">
        <v>29</v>
      </c>
    </row>
    <row r="698" spans="1:20" x14ac:dyDescent="0.3">
      <c r="A698">
        <v>307</v>
      </c>
      <c r="B698" s="37">
        <v>40557</v>
      </c>
      <c r="F698">
        <v>6</v>
      </c>
      <c r="G698" t="b">
        <v>0</v>
      </c>
      <c r="H698">
        <v>5</v>
      </c>
      <c r="I698">
        <v>1</v>
      </c>
      <c r="J698">
        <v>0.1</v>
      </c>
      <c r="K698">
        <v>40557</v>
      </c>
      <c r="L698">
        <v>0.18179999999999999</v>
      </c>
      <c r="M698">
        <v>0.54</v>
      </c>
      <c r="N698">
        <v>0</v>
      </c>
      <c r="O698">
        <v>0</v>
      </c>
      <c r="P698">
        <v>17</v>
      </c>
      <c r="S698" t="s">
        <v>26</v>
      </c>
      <c r="T698" t="s">
        <v>69</v>
      </c>
    </row>
    <row r="699" spans="1:20" x14ac:dyDescent="0.3">
      <c r="A699">
        <v>308</v>
      </c>
      <c r="B699" s="37">
        <v>40557</v>
      </c>
      <c r="F699">
        <v>7</v>
      </c>
      <c r="G699" t="b">
        <v>0</v>
      </c>
      <c r="H699">
        <v>5</v>
      </c>
      <c r="I699">
        <v>1</v>
      </c>
      <c r="J699">
        <v>0.1</v>
      </c>
      <c r="K699">
        <v>40557</v>
      </c>
      <c r="L699">
        <v>0.1212</v>
      </c>
      <c r="M699">
        <v>0.74</v>
      </c>
      <c r="N699">
        <v>0.16420000000000001</v>
      </c>
      <c r="O699">
        <v>0</v>
      </c>
      <c r="P699">
        <v>70</v>
      </c>
      <c r="S699" t="s">
        <v>26</v>
      </c>
      <c r="T699" t="s">
        <v>69</v>
      </c>
    </row>
    <row r="700" spans="1:20" x14ac:dyDescent="0.3">
      <c r="A700">
        <v>309</v>
      </c>
      <c r="B700" s="37">
        <v>40557</v>
      </c>
      <c r="F700">
        <v>8</v>
      </c>
      <c r="G700" t="b">
        <v>0</v>
      </c>
      <c r="H700">
        <v>5</v>
      </c>
      <c r="I700">
        <v>1</v>
      </c>
      <c r="J700">
        <v>0.12</v>
      </c>
      <c r="K700">
        <v>40557</v>
      </c>
      <c r="L700">
        <v>0.16669999999999999</v>
      </c>
      <c r="M700">
        <v>0.68</v>
      </c>
      <c r="N700">
        <v>0</v>
      </c>
      <c r="O700">
        <v>2</v>
      </c>
      <c r="P700">
        <v>156</v>
      </c>
      <c r="S700" t="s">
        <v>26</v>
      </c>
      <c r="T700" t="s">
        <v>69</v>
      </c>
    </row>
    <row r="701" spans="1:20" x14ac:dyDescent="0.3">
      <c r="A701">
        <v>310</v>
      </c>
      <c r="B701" s="37">
        <v>40557</v>
      </c>
      <c r="F701">
        <v>9</v>
      </c>
      <c r="G701" t="b">
        <v>0</v>
      </c>
      <c r="H701">
        <v>5</v>
      </c>
      <c r="I701">
        <v>1</v>
      </c>
      <c r="J701">
        <v>0.14000000000000001</v>
      </c>
      <c r="K701">
        <v>40557</v>
      </c>
      <c r="L701">
        <v>0.1515</v>
      </c>
      <c r="M701">
        <v>0.69</v>
      </c>
      <c r="N701">
        <v>0.1343</v>
      </c>
      <c r="O701">
        <v>0</v>
      </c>
      <c r="P701">
        <v>117</v>
      </c>
      <c r="S701" t="s">
        <v>26</v>
      </c>
      <c r="T701" t="s">
        <v>69</v>
      </c>
    </row>
    <row r="702" spans="1:20" x14ac:dyDescent="0.3">
      <c r="A702">
        <v>311</v>
      </c>
      <c r="B702" s="37">
        <v>40557</v>
      </c>
      <c r="F702">
        <v>10</v>
      </c>
      <c r="G702" t="b">
        <v>0</v>
      </c>
      <c r="H702">
        <v>5</v>
      </c>
      <c r="I702">
        <v>1</v>
      </c>
      <c r="J702">
        <v>0.18</v>
      </c>
      <c r="K702">
        <v>40557</v>
      </c>
      <c r="L702">
        <v>0.18179999999999999</v>
      </c>
      <c r="M702">
        <v>0.55000000000000004</v>
      </c>
      <c r="N702">
        <v>0.19400000000000001</v>
      </c>
      <c r="O702">
        <v>4</v>
      </c>
      <c r="P702">
        <v>40</v>
      </c>
      <c r="S702" t="s">
        <v>26</v>
      </c>
      <c r="T702" t="s">
        <v>69</v>
      </c>
    </row>
    <row r="703" spans="1:20" x14ac:dyDescent="0.3">
      <c r="A703">
        <v>312</v>
      </c>
      <c r="B703" s="37">
        <v>40557</v>
      </c>
      <c r="F703">
        <v>11</v>
      </c>
      <c r="G703" t="b">
        <v>0</v>
      </c>
      <c r="H703">
        <v>5</v>
      </c>
      <c r="I703">
        <v>1</v>
      </c>
      <c r="J703">
        <v>0.18</v>
      </c>
      <c r="K703">
        <v>40557</v>
      </c>
      <c r="L703">
        <v>0.16669999999999999</v>
      </c>
      <c r="M703">
        <v>0.51</v>
      </c>
      <c r="N703">
        <v>0.28360000000000002</v>
      </c>
      <c r="O703">
        <v>6</v>
      </c>
      <c r="P703">
        <v>47</v>
      </c>
      <c r="S703" t="s">
        <v>26</v>
      </c>
      <c r="T703" t="s">
        <v>69</v>
      </c>
    </row>
    <row r="704" spans="1:20" x14ac:dyDescent="0.3">
      <c r="A704">
        <v>313</v>
      </c>
      <c r="B704" s="37">
        <v>40557</v>
      </c>
      <c r="F704">
        <v>12</v>
      </c>
      <c r="G704" t="b">
        <v>0</v>
      </c>
      <c r="H704">
        <v>5</v>
      </c>
      <c r="I704">
        <v>1</v>
      </c>
      <c r="J704">
        <v>0.2</v>
      </c>
      <c r="K704">
        <v>40557</v>
      </c>
      <c r="L704">
        <v>0.19700000000000001</v>
      </c>
      <c r="M704">
        <v>0.44</v>
      </c>
      <c r="N704">
        <v>0.25369999999999998</v>
      </c>
      <c r="O704">
        <v>2</v>
      </c>
      <c r="P704">
        <v>59</v>
      </c>
      <c r="S704" t="s">
        <v>26</v>
      </c>
      <c r="T704" t="s">
        <v>69</v>
      </c>
    </row>
    <row r="705" spans="1:20" x14ac:dyDescent="0.3">
      <c r="A705">
        <v>314</v>
      </c>
      <c r="B705" s="37">
        <v>40557</v>
      </c>
      <c r="F705">
        <v>13</v>
      </c>
      <c r="G705" t="b">
        <v>0</v>
      </c>
      <c r="H705">
        <v>5</v>
      </c>
      <c r="I705">
        <v>1</v>
      </c>
      <c r="J705">
        <v>0.22</v>
      </c>
      <c r="K705">
        <v>40557</v>
      </c>
      <c r="L705">
        <v>0.19700000000000001</v>
      </c>
      <c r="M705">
        <v>0.37</v>
      </c>
      <c r="N705">
        <v>0.3881</v>
      </c>
      <c r="O705">
        <v>4</v>
      </c>
      <c r="P705">
        <v>73</v>
      </c>
      <c r="S705" t="s">
        <v>26</v>
      </c>
      <c r="T705" t="s">
        <v>69</v>
      </c>
    </row>
    <row r="706" spans="1:20" x14ac:dyDescent="0.3">
      <c r="A706">
        <v>315</v>
      </c>
      <c r="B706" s="37">
        <v>40557</v>
      </c>
      <c r="F706">
        <v>14</v>
      </c>
      <c r="G706" t="b">
        <v>0</v>
      </c>
      <c r="H706">
        <v>5</v>
      </c>
      <c r="I706">
        <v>1</v>
      </c>
      <c r="J706">
        <v>0.22</v>
      </c>
      <c r="K706">
        <v>40557</v>
      </c>
      <c r="L706">
        <v>0.21210000000000001</v>
      </c>
      <c r="M706">
        <v>0.41</v>
      </c>
      <c r="N706">
        <v>0.28360000000000002</v>
      </c>
      <c r="O706">
        <v>5</v>
      </c>
      <c r="P706">
        <v>59</v>
      </c>
      <c r="S706" t="s">
        <v>26</v>
      </c>
      <c r="T706" t="s">
        <v>69</v>
      </c>
    </row>
    <row r="707" spans="1:20" x14ac:dyDescent="0.3">
      <c r="A707">
        <v>316</v>
      </c>
      <c r="B707" s="37">
        <v>40557</v>
      </c>
      <c r="F707">
        <v>15</v>
      </c>
      <c r="G707" t="b">
        <v>0</v>
      </c>
      <c r="H707">
        <v>5</v>
      </c>
      <c r="I707">
        <v>1</v>
      </c>
      <c r="J707">
        <v>0.24</v>
      </c>
      <c r="K707">
        <v>40557</v>
      </c>
      <c r="L707">
        <v>0.2424</v>
      </c>
      <c r="M707">
        <v>0.38</v>
      </c>
      <c r="N707">
        <v>0.16420000000000001</v>
      </c>
      <c r="O707">
        <v>9</v>
      </c>
      <c r="P707">
        <v>59</v>
      </c>
      <c r="S707" t="s">
        <v>26</v>
      </c>
      <c r="T707" t="s">
        <v>69</v>
      </c>
    </row>
    <row r="708" spans="1:20" x14ac:dyDescent="0.3">
      <c r="A708">
        <v>317</v>
      </c>
      <c r="B708" s="37">
        <v>40557</v>
      </c>
      <c r="F708">
        <v>16</v>
      </c>
      <c r="G708" t="b">
        <v>0</v>
      </c>
      <c r="H708">
        <v>5</v>
      </c>
      <c r="I708">
        <v>1</v>
      </c>
      <c r="J708">
        <v>0.22</v>
      </c>
      <c r="K708">
        <v>40557</v>
      </c>
      <c r="L708">
        <v>0.2424</v>
      </c>
      <c r="M708">
        <v>0.41</v>
      </c>
      <c r="N708">
        <v>0.1045</v>
      </c>
      <c r="O708">
        <v>3</v>
      </c>
      <c r="P708">
        <v>87</v>
      </c>
      <c r="S708" t="s">
        <v>26</v>
      </c>
      <c r="T708" t="s">
        <v>69</v>
      </c>
    </row>
    <row r="709" spans="1:20" x14ac:dyDescent="0.3">
      <c r="A709">
        <v>318</v>
      </c>
      <c r="B709" s="37">
        <v>40557</v>
      </c>
      <c r="F709">
        <v>17</v>
      </c>
      <c r="G709" t="b">
        <v>0</v>
      </c>
      <c r="H709">
        <v>5</v>
      </c>
      <c r="I709">
        <v>1</v>
      </c>
      <c r="J709">
        <v>0.22</v>
      </c>
      <c r="K709">
        <v>40557</v>
      </c>
      <c r="L709">
        <v>0.2273</v>
      </c>
      <c r="M709">
        <v>0.41</v>
      </c>
      <c r="N709">
        <v>0.16420000000000001</v>
      </c>
      <c r="O709">
        <v>4</v>
      </c>
      <c r="P709">
        <v>155</v>
      </c>
      <c r="S709" t="s">
        <v>26</v>
      </c>
      <c r="T709" t="s">
        <v>69</v>
      </c>
    </row>
    <row r="710" spans="1:20" x14ac:dyDescent="0.3">
      <c r="A710">
        <v>319</v>
      </c>
      <c r="B710" s="37">
        <v>40557</v>
      </c>
      <c r="F710">
        <v>18</v>
      </c>
      <c r="G710" t="b">
        <v>0</v>
      </c>
      <c r="H710">
        <v>5</v>
      </c>
      <c r="I710">
        <v>1</v>
      </c>
      <c r="J710">
        <v>0.2</v>
      </c>
      <c r="K710">
        <v>40557</v>
      </c>
      <c r="L710">
        <v>0.2576</v>
      </c>
      <c r="M710">
        <v>0.47</v>
      </c>
      <c r="N710">
        <v>0</v>
      </c>
      <c r="O710">
        <v>5</v>
      </c>
      <c r="P710">
        <v>134</v>
      </c>
      <c r="S710" t="s">
        <v>26</v>
      </c>
      <c r="T710" t="s">
        <v>69</v>
      </c>
    </row>
    <row r="711" spans="1:20" x14ac:dyDescent="0.3">
      <c r="A711">
        <v>320</v>
      </c>
      <c r="B711" s="37">
        <v>40557</v>
      </c>
      <c r="F711">
        <v>19</v>
      </c>
      <c r="G711" t="b">
        <v>0</v>
      </c>
      <c r="H711">
        <v>5</v>
      </c>
      <c r="I711">
        <v>1</v>
      </c>
      <c r="J711">
        <v>0.16</v>
      </c>
      <c r="K711">
        <v>40557</v>
      </c>
      <c r="L711">
        <v>0.19700000000000001</v>
      </c>
      <c r="M711">
        <v>0.59</v>
      </c>
      <c r="N711">
        <v>8.9599999999999999E-2</v>
      </c>
      <c r="O711">
        <v>3</v>
      </c>
      <c r="P711">
        <v>89</v>
      </c>
      <c r="S711" t="s">
        <v>26</v>
      </c>
      <c r="T711" t="s">
        <v>29</v>
      </c>
    </row>
    <row r="712" spans="1:20" x14ac:dyDescent="0.3">
      <c r="A712">
        <v>321</v>
      </c>
      <c r="B712" s="37">
        <v>40557</v>
      </c>
      <c r="F712">
        <v>20</v>
      </c>
      <c r="G712" t="b">
        <v>0</v>
      </c>
      <c r="H712">
        <v>5</v>
      </c>
      <c r="I712">
        <v>1</v>
      </c>
      <c r="J712">
        <v>0.18</v>
      </c>
      <c r="K712">
        <v>40557</v>
      </c>
      <c r="L712">
        <v>0.2424</v>
      </c>
      <c r="M712">
        <v>0.59</v>
      </c>
      <c r="N712">
        <v>0</v>
      </c>
      <c r="O712">
        <v>0</v>
      </c>
      <c r="P712">
        <v>68</v>
      </c>
      <c r="S712" t="s">
        <v>26</v>
      </c>
      <c r="T712" t="s">
        <v>29</v>
      </c>
    </row>
    <row r="713" spans="1:20" x14ac:dyDescent="0.3">
      <c r="A713">
        <v>322</v>
      </c>
      <c r="B713" s="37">
        <v>40557</v>
      </c>
      <c r="F713">
        <v>21</v>
      </c>
      <c r="G713" t="b">
        <v>0</v>
      </c>
      <c r="H713">
        <v>5</v>
      </c>
      <c r="I713">
        <v>1</v>
      </c>
      <c r="J713">
        <v>0.16</v>
      </c>
      <c r="K713">
        <v>40557</v>
      </c>
      <c r="L713">
        <v>0.2273</v>
      </c>
      <c r="M713">
        <v>0.69</v>
      </c>
      <c r="N713">
        <v>0</v>
      </c>
      <c r="O713">
        <v>4</v>
      </c>
      <c r="P713">
        <v>48</v>
      </c>
      <c r="S713" t="s">
        <v>26</v>
      </c>
      <c r="T713" t="s">
        <v>29</v>
      </c>
    </row>
    <row r="714" spans="1:20" x14ac:dyDescent="0.3">
      <c r="A714">
        <v>323</v>
      </c>
      <c r="B714" s="37">
        <v>40557</v>
      </c>
      <c r="F714">
        <v>22</v>
      </c>
      <c r="G714" t="b">
        <v>0</v>
      </c>
      <c r="H714">
        <v>5</v>
      </c>
      <c r="I714">
        <v>2</v>
      </c>
      <c r="J714">
        <v>0.16</v>
      </c>
      <c r="K714">
        <v>40557</v>
      </c>
      <c r="L714">
        <v>0.2273</v>
      </c>
      <c r="M714">
        <v>0.69</v>
      </c>
      <c r="N714">
        <v>0</v>
      </c>
      <c r="O714">
        <v>2</v>
      </c>
      <c r="P714">
        <v>34</v>
      </c>
      <c r="S714" t="s">
        <v>26</v>
      </c>
      <c r="T714" t="s">
        <v>29</v>
      </c>
    </row>
    <row r="715" spans="1:20" x14ac:dyDescent="0.3">
      <c r="A715">
        <v>324</v>
      </c>
      <c r="B715" s="37">
        <v>40557</v>
      </c>
      <c r="F715">
        <v>23</v>
      </c>
      <c r="G715" t="b">
        <v>0</v>
      </c>
      <c r="H715">
        <v>5</v>
      </c>
      <c r="I715">
        <v>2</v>
      </c>
      <c r="J715">
        <v>0.18</v>
      </c>
      <c r="K715">
        <v>40557</v>
      </c>
      <c r="L715">
        <v>0.2424</v>
      </c>
      <c r="M715">
        <v>0.55000000000000004</v>
      </c>
      <c r="N715">
        <v>0</v>
      </c>
      <c r="O715">
        <v>1</v>
      </c>
      <c r="P715">
        <v>26</v>
      </c>
      <c r="S715" t="s">
        <v>26</v>
      </c>
      <c r="T715" t="s">
        <v>29</v>
      </c>
    </row>
    <row r="716" spans="1:20" x14ac:dyDescent="0.3">
      <c r="A716">
        <v>325</v>
      </c>
      <c r="B716" s="37">
        <v>40558</v>
      </c>
      <c r="F716">
        <v>0</v>
      </c>
      <c r="G716" t="b">
        <v>0</v>
      </c>
      <c r="H716">
        <v>6</v>
      </c>
      <c r="I716">
        <v>1</v>
      </c>
      <c r="J716">
        <v>0.18</v>
      </c>
      <c r="K716">
        <v>40558</v>
      </c>
      <c r="L716">
        <v>0.2424</v>
      </c>
      <c r="M716">
        <v>0.55000000000000004</v>
      </c>
      <c r="N716">
        <v>0</v>
      </c>
      <c r="O716">
        <v>3</v>
      </c>
      <c r="P716">
        <v>25</v>
      </c>
      <c r="S716" t="s">
        <v>20</v>
      </c>
      <c r="T716" t="s">
        <v>29</v>
      </c>
    </row>
    <row r="717" spans="1:20" x14ac:dyDescent="0.3">
      <c r="A717">
        <v>326</v>
      </c>
      <c r="B717" s="37">
        <v>40558</v>
      </c>
      <c r="F717">
        <v>1</v>
      </c>
      <c r="G717" t="b">
        <v>0</v>
      </c>
      <c r="H717">
        <v>6</v>
      </c>
      <c r="I717">
        <v>2</v>
      </c>
      <c r="J717">
        <v>0.16</v>
      </c>
      <c r="K717">
        <v>40558</v>
      </c>
      <c r="L717">
        <v>0.19700000000000001</v>
      </c>
      <c r="M717">
        <v>0.59</v>
      </c>
      <c r="N717">
        <v>8.9599999999999999E-2</v>
      </c>
      <c r="O717">
        <v>2</v>
      </c>
      <c r="P717">
        <v>18</v>
      </c>
      <c r="S717" t="s">
        <v>20</v>
      </c>
      <c r="T717" t="s">
        <v>29</v>
      </c>
    </row>
    <row r="718" spans="1:20" x14ac:dyDescent="0.3">
      <c r="A718">
        <v>327</v>
      </c>
      <c r="B718" s="37">
        <v>40558</v>
      </c>
      <c r="F718">
        <v>2</v>
      </c>
      <c r="G718" t="b">
        <v>0</v>
      </c>
      <c r="H718">
        <v>6</v>
      </c>
      <c r="I718">
        <v>2</v>
      </c>
      <c r="J718">
        <v>0.16</v>
      </c>
      <c r="K718">
        <v>40558</v>
      </c>
      <c r="L718">
        <v>0.19700000000000001</v>
      </c>
      <c r="M718">
        <v>0.59</v>
      </c>
      <c r="N718">
        <v>8.9599999999999999E-2</v>
      </c>
      <c r="O718">
        <v>0</v>
      </c>
      <c r="P718">
        <v>12</v>
      </c>
      <c r="S718" t="s">
        <v>20</v>
      </c>
      <c r="T718" t="s">
        <v>29</v>
      </c>
    </row>
    <row r="719" spans="1:20" x14ac:dyDescent="0.3">
      <c r="A719">
        <v>328</v>
      </c>
      <c r="B719" s="37">
        <v>40558</v>
      </c>
      <c r="F719">
        <v>3</v>
      </c>
      <c r="G719" t="b">
        <v>0</v>
      </c>
      <c r="H719">
        <v>6</v>
      </c>
      <c r="I719">
        <v>2</v>
      </c>
      <c r="J719">
        <v>0.16</v>
      </c>
      <c r="K719">
        <v>40558</v>
      </c>
      <c r="L719">
        <v>0.2273</v>
      </c>
      <c r="M719">
        <v>0.59</v>
      </c>
      <c r="N719">
        <v>0</v>
      </c>
      <c r="O719">
        <v>1</v>
      </c>
      <c r="P719">
        <v>7</v>
      </c>
      <c r="S719" t="s">
        <v>20</v>
      </c>
      <c r="T719" t="s">
        <v>29</v>
      </c>
    </row>
    <row r="720" spans="1:20" x14ac:dyDescent="0.3">
      <c r="A720">
        <v>329</v>
      </c>
      <c r="B720" s="37">
        <v>40558</v>
      </c>
      <c r="F720">
        <v>4</v>
      </c>
      <c r="G720" t="b">
        <v>0</v>
      </c>
      <c r="H720">
        <v>6</v>
      </c>
      <c r="I720">
        <v>2</v>
      </c>
      <c r="J720">
        <v>0.16</v>
      </c>
      <c r="K720">
        <v>40558</v>
      </c>
      <c r="L720">
        <v>0.2273</v>
      </c>
      <c r="M720">
        <v>0.59</v>
      </c>
      <c r="N720">
        <v>0</v>
      </c>
      <c r="O720">
        <v>0</v>
      </c>
      <c r="P720">
        <v>5</v>
      </c>
      <c r="S720" t="s">
        <v>20</v>
      </c>
      <c r="T720" t="s">
        <v>29</v>
      </c>
    </row>
    <row r="721" spans="1:20" x14ac:dyDescent="0.3">
      <c r="A721">
        <v>330</v>
      </c>
      <c r="B721" s="37">
        <v>40558</v>
      </c>
      <c r="F721">
        <v>5</v>
      </c>
      <c r="G721" t="b">
        <v>0</v>
      </c>
      <c r="H721">
        <v>6</v>
      </c>
      <c r="I721">
        <v>1</v>
      </c>
      <c r="J721">
        <v>0.16</v>
      </c>
      <c r="K721">
        <v>40558</v>
      </c>
      <c r="L721">
        <v>0.2273</v>
      </c>
      <c r="M721">
        <v>0.59</v>
      </c>
      <c r="N721">
        <v>0</v>
      </c>
      <c r="O721">
        <v>0</v>
      </c>
      <c r="P721">
        <v>1</v>
      </c>
      <c r="S721" t="s">
        <v>20</v>
      </c>
      <c r="T721" t="s">
        <v>29</v>
      </c>
    </row>
    <row r="722" spans="1:20" x14ac:dyDescent="0.3">
      <c r="A722">
        <v>331</v>
      </c>
      <c r="B722" s="37">
        <v>40558</v>
      </c>
      <c r="F722">
        <v>6</v>
      </c>
      <c r="G722" t="b">
        <v>0</v>
      </c>
      <c r="H722">
        <v>6</v>
      </c>
      <c r="I722">
        <v>1</v>
      </c>
      <c r="J722">
        <v>0.14000000000000001</v>
      </c>
      <c r="K722">
        <v>40558</v>
      </c>
      <c r="L722">
        <v>0.16669999999999999</v>
      </c>
      <c r="M722">
        <v>0.63</v>
      </c>
      <c r="N722">
        <v>0.1045</v>
      </c>
      <c r="O722">
        <v>1</v>
      </c>
      <c r="P722">
        <v>2</v>
      </c>
      <c r="S722" t="s">
        <v>20</v>
      </c>
      <c r="T722" t="s">
        <v>69</v>
      </c>
    </row>
    <row r="723" spans="1:20" x14ac:dyDescent="0.3">
      <c r="A723">
        <v>332</v>
      </c>
      <c r="B723" s="37">
        <v>40558</v>
      </c>
      <c r="F723">
        <v>7</v>
      </c>
      <c r="G723" t="b">
        <v>0</v>
      </c>
      <c r="H723">
        <v>6</v>
      </c>
      <c r="I723">
        <v>1</v>
      </c>
      <c r="J723">
        <v>0.14000000000000001</v>
      </c>
      <c r="K723">
        <v>40558</v>
      </c>
      <c r="L723">
        <v>0.21210000000000001</v>
      </c>
      <c r="M723">
        <v>0.63</v>
      </c>
      <c r="N723">
        <v>0</v>
      </c>
      <c r="O723">
        <v>1</v>
      </c>
      <c r="P723">
        <v>9</v>
      </c>
      <c r="S723" t="s">
        <v>20</v>
      </c>
      <c r="T723" t="s">
        <v>69</v>
      </c>
    </row>
    <row r="724" spans="1:20" x14ac:dyDescent="0.3">
      <c r="A724">
        <v>333</v>
      </c>
      <c r="B724" s="37">
        <v>40558</v>
      </c>
      <c r="F724">
        <v>8</v>
      </c>
      <c r="G724" t="b">
        <v>0</v>
      </c>
      <c r="H724">
        <v>6</v>
      </c>
      <c r="I724">
        <v>1</v>
      </c>
      <c r="J724">
        <v>0.14000000000000001</v>
      </c>
      <c r="K724">
        <v>40558</v>
      </c>
      <c r="L724">
        <v>0.1515</v>
      </c>
      <c r="M724">
        <v>0.63</v>
      </c>
      <c r="N724">
        <v>0.1343</v>
      </c>
      <c r="O724">
        <v>1</v>
      </c>
      <c r="P724">
        <v>22</v>
      </c>
      <c r="S724" t="s">
        <v>20</v>
      </c>
      <c r="T724" t="s">
        <v>69</v>
      </c>
    </row>
    <row r="725" spans="1:20" x14ac:dyDescent="0.3">
      <c r="A725">
        <v>334</v>
      </c>
      <c r="B725" s="37">
        <v>40558</v>
      </c>
      <c r="F725">
        <v>9</v>
      </c>
      <c r="G725" t="b">
        <v>0</v>
      </c>
      <c r="H725">
        <v>6</v>
      </c>
      <c r="I725">
        <v>1</v>
      </c>
      <c r="J725">
        <v>0.16</v>
      </c>
      <c r="K725">
        <v>40558</v>
      </c>
      <c r="L725">
        <v>0.18179999999999999</v>
      </c>
      <c r="M725">
        <v>0.64</v>
      </c>
      <c r="N725">
        <v>0.1343</v>
      </c>
      <c r="O725">
        <v>2</v>
      </c>
      <c r="P725">
        <v>31</v>
      </c>
      <c r="S725" t="s">
        <v>20</v>
      </c>
      <c r="T725" t="s">
        <v>69</v>
      </c>
    </row>
    <row r="726" spans="1:20" x14ac:dyDescent="0.3">
      <c r="A726">
        <v>335</v>
      </c>
      <c r="B726" s="37">
        <v>40558</v>
      </c>
      <c r="F726">
        <v>10</v>
      </c>
      <c r="G726" t="b">
        <v>0</v>
      </c>
      <c r="H726">
        <v>6</v>
      </c>
      <c r="I726">
        <v>1</v>
      </c>
      <c r="J726">
        <v>0.18</v>
      </c>
      <c r="K726">
        <v>40558</v>
      </c>
      <c r="L726">
        <v>0.19700000000000001</v>
      </c>
      <c r="M726">
        <v>0.59</v>
      </c>
      <c r="N726">
        <v>0.16420000000000001</v>
      </c>
      <c r="O726">
        <v>2</v>
      </c>
      <c r="P726">
        <v>57</v>
      </c>
      <c r="S726" t="s">
        <v>20</v>
      </c>
      <c r="T726" t="s">
        <v>69</v>
      </c>
    </row>
    <row r="727" spans="1:20" x14ac:dyDescent="0.3">
      <c r="A727">
        <v>336</v>
      </c>
      <c r="B727" s="37">
        <v>40558</v>
      </c>
      <c r="F727">
        <v>11</v>
      </c>
      <c r="G727" t="b">
        <v>0</v>
      </c>
      <c r="H727">
        <v>6</v>
      </c>
      <c r="I727">
        <v>1</v>
      </c>
      <c r="J727">
        <v>0.2</v>
      </c>
      <c r="K727">
        <v>40558</v>
      </c>
      <c r="L727">
        <v>0.19700000000000001</v>
      </c>
      <c r="M727">
        <v>0.55000000000000004</v>
      </c>
      <c r="N727">
        <v>0.22389999999999999</v>
      </c>
      <c r="O727">
        <v>18</v>
      </c>
      <c r="P727">
        <v>54</v>
      </c>
      <c r="S727" t="s">
        <v>20</v>
      </c>
      <c r="T727" t="s">
        <v>69</v>
      </c>
    </row>
    <row r="728" spans="1:20" x14ac:dyDescent="0.3">
      <c r="A728">
        <v>337</v>
      </c>
      <c r="B728" s="37">
        <v>40558</v>
      </c>
      <c r="F728">
        <v>12</v>
      </c>
      <c r="G728" t="b">
        <v>0</v>
      </c>
      <c r="H728">
        <v>6</v>
      </c>
      <c r="I728">
        <v>1</v>
      </c>
      <c r="J728">
        <v>0.24</v>
      </c>
      <c r="K728">
        <v>40558</v>
      </c>
      <c r="L728">
        <v>0.2273</v>
      </c>
      <c r="M728">
        <v>0.48</v>
      </c>
      <c r="N728">
        <v>0.22389999999999999</v>
      </c>
      <c r="O728">
        <v>15</v>
      </c>
      <c r="P728">
        <v>74</v>
      </c>
      <c r="S728" t="s">
        <v>20</v>
      </c>
      <c r="T728" t="s">
        <v>69</v>
      </c>
    </row>
    <row r="729" spans="1:20" x14ac:dyDescent="0.3">
      <c r="A729">
        <v>338</v>
      </c>
      <c r="B729" s="37">
        <v>40558</v>
      </c>
      <c r="F729">
        <v>13</v>
      </c>
      <c r="G729" t="b">
        <v>0</v>
      </c>
      <c r="H729">
        <v>6</v>
      </c>
      <c r="I729">
        <v>1</v>
      </c>
      <c r="J729">
        <v>0.28000000000000003</v>
      </c>
      <c r="K729">
        <v>40558</v>
      </c>
      <c r="L729">
        <v>0.2576</v>
      </c>
      <c r="M729">
        <v>0.38</v>
      </c>
      <c r="N729">
        <v>0.29849999999999999</v>
      </c>
      <c r="O729">
        <v>21</v>
      </c>
      <c r="P729">
        <v>80</v>
      </c>
      <c r="S729" t="s">
        <v>20</v>
      </c>
      <c r="T729" t="s">
        <v>69</v>
      </c>
    </row>
    <row r="730" spans="1:20" x14ac:dyDescent="0.3">
      <c r="A730">
        <v>339</v>
      </c>
      <c r="B730" s="37">
        <v>40558</v>
      </c>
      <c r="F730">
        <v>14</v>
      </c>
      <c r="G730" t="b">
        <v>0</v>
      </c>
      <c r="H730">
        <v>6</v>
      </c>
      <c r="I730">
        <v>1</v>
      </c>
      <c r="J730">
        <v>0.3</v>
      </c>
      <c r="K730">
        <v>40558</v>
      </c>
      <c r="L730">
        <v>0.28789999999999999</v>
      </c>
      <c r="M730">
        <v>0.39</v>
      </c>
      <c r="N730">
        <v>0.28360000000000002</v>
      </c>
      <c r="O730">
        <v>26</v>
      </c>
      <c r="P730">
        <v>92</v>
      </c>
      <c r="S730" t="s">
        <v>20</v>
      </c>
      <c r="T730" t="s">
        <v>69</v>
      </c>
    </row>
    <row r="731" spans="1:20" x14ac:dyDescent="0.3">
      <c r="A731">
        <v>340</v>
      </c>
      <c r="B731" s="37">
        <v>40558</v>
      </c>
      <c r="F731">
        <v>15</v>
      </c>
      <c r="G731" t="b">
        <v>0</v>
      </c>
      <c r="H731">
        <v>6</v>
      </c>
      <c r="I731">
        <v>2</v>
      </c>
      <c r="J731">
        <v>0.32</v>
      </c>
      <c r="K731">
        <v>40558</v>
      </c>
      <c r="L731">
        <v>0.31819999999999998</v>
      </c>
      <c r="M731">
        <v>0.36</v>
      </c>
      <c r="N731">
        <v>0.19400000000000001</v>
      </c>
      <c r="O731">
        <v>21</v>
      </c>
      <c r="P731">
        <v>108</v>
      </c>
      <c r="S731" t="s">
        <v>20</v>
      </c>
      <c r="T731" t="s">
        <v>69</v>
      </c>
    </row>
    <row r="732" spans="1:20" x14ac:dyDescent="0.3">
      <c r="A732">
        <v>341</v>
      </c>
      <c r="B732" s="37">
        <v>40558</v>
      </c>
      <c r="F732">
        <v>16</v>
      </c>
      <c r="G732" t="b">
        <v>0</v>
      </c>
      <c r="H732">
        <v>6</v>
      </c>
      <c r="I732">
        <v>2</v>
      </c>
      <c r="J732">
        <v>0.34</v>
      </c>
      <c r="K732">
        <v>40558</v>
      </c>
      <c r="L732">
        <v>0.33329999999999999</v>
      </c>
      <c r="M732">
        <v>0.34</v>
      </c>
      <c r="N732">
        <v>0.19400000000000001</v>
      </c>
      <c r="O732">
        <v>33</v>
      </c>
      <c r="P732">
        <v>95</v>
      </c>
      <c r="S732" t="s">
        <v>20</v>
      </c>
      <c r="T732" t="s">
        <v>69</v>
      </c>
    </row>
    <row r="733" spans="1:20" x14ac:dyDescent="0.3">
      <c r="A733">
        <v>342</v>
      </c>
      <c r="B733" s="37">
        <v>40558</v>
      </c>
      <c r="F733">
        <v>17</v>
      </c>
      <c r="G733" t="b">
        <v>0</v>
      </c>
      <c r="H733">
        <v>6</v>
      </c>
      <c r="I733">
        <v>2</v>
      </c>
      <c r="J733">
        <v>0.32</v>
      </c>
      <c r="K733">
        <v>40558</v>
      </c>
      <c r="L733">
        <v>0.30299999999999999</v>
      </c>
      <c r="M733">
        <v>0.36</v>
      </c>
      <c r="N733">
        <v>0.28360000000000002</v>
      </c>
      <c r="O733">
        <v>29</v>
      </c>
      <c r="P733">
        <v>54</v>
      </c>
      <c r="S733" t="s">
        <v>20</v>
      </c>
      <c r="T733" t="s">
        <v>69</v>
      </c>
    </row>
    <row r="734" spans="1:20" x14ac:dyDescent="0.3">
      <c r="A734">
        <v>343</v>
      </c>
      <c r="B734" s="37">
        <v>40558</v>
      </c>
      <c r="F734">
        <v>18</v>
      </c>
      <c r="G734" t="b">
        <v>0</v>
      </c>
      <c r="H734">
        <v>6</v>
      </c>
      <c r="I734">
        <v>2</v>
      </c>
      <c r="J734">
        <v>0.3</v>
      </c>
      <c r="K734">
        <v>40558</v>
      </c>
      <c r="L734">
        <v>0.28789999999999999</v>
      </c>
      <c r="M734">
        <v>0.45</v>
      </c>
      <c r="N734">
        <v>0.25369999999999998</v>
      </c>
      <c r="O734">
        <v>15</v>
      </c>
      <c r="P734">
        <v>69</v>
      </c>
      <c r="S734" t="s">
        <v>20</v>
      </c>
      <c r="T734" t="s">
        <v>69</v>
      </c>
    </row>
    <row r="735" spans="1:20" x14ac:dyDescent="0.3">
      <c r="A735">
        <v>344</v>
      </c>
      <c r="B735" s="37">
        <v>40558</v>
      </c>
      <c r="F735">
        <v>19</v>
      </c>
      <c r="G735" t="b">
        <v>0</v>
      </c>
      <c r="H735">
        <v>6</v>
      </c>
      <c r="I735">
        <v>2</v>
      </c>
      <c r="J735">
        <v>0.32</v>
      </c>
      <c r="K735">
        <v>40558</v>
      </c>
      <c r="L735">
        <v>0.30299999999999999</v>
      </c>
      <c r="M735">
        <v>0.39</v>
      </c>
      <c r="N735">
        <v>0.25369999999999998</v>
      </c>
      <c r="O735">
        <v>14</v>
      </c>
      <c r="P735">
        <v>60</v>
      </c>
      <c r="S735" t="s">
        <v>20</v>
      </c>
      <c r="T735" t="s">
        <v>29</v>
      </c>
    </row>
    <row r="736" spans="1:20" x14ac:dyDescent="0.3">
      <c r="A736">
        <v>345</v>
      </c>
      <c r="B736" s="37">
        <v>40558</v>
      </c>
      <c r="F736">
        <v>20</v>
      </c>
      <c r="G736" t="b">
        <v>0</v>
      </c>
      <c r="H736">
        <v>6</v>
      </c>
      <c r="I736">
        <v>2</v>
      </c>
      <c r="J736">
        <v>0.32</v>
      </c>
      <c r="K736">
        <v>40558</v>
      </c>
      <c r="L736">
        <v>0.30299999999999999</v>
      </c>
      <c r="M736">
        <v>0.39</v>
      </c>
      <c r="N736">
        <v>0.25369999999999998</v>
      </c>
      <c r="O736">
        <v>6</v>
      </c>
      <c r="P736">
        <v>35</v>
      </c>
      <c r="S736" t="s">
        <v>20</v>
      </c>
      <c r="T736" t="s">
        <v>29</v>
      </c>
    </row>
    <row r="737" spans="1:20" x14ac:dyDescent="0.3">
      <c r="A737">
        <v>346</v>
      </c>
      <c r="B737" s="37">
        <v>40558</v>
      </c>
      <c r="F737">
        <v>21</v>
      </c>
      <c r="G737" t="b">
        <v>0</v>
      </c>
      <c r="H737">
        <v>6</v>
      </c>
      <c r="I737">
        <v>2</v>
      </c>
      <c r="J737">
        <v>0.32</v>
      </c>
      <c r="K737">
        <v>40558</v>
      </c>
      <c r="L737">
        <v>0.30299999999999999</v>
      </c>
      <c r="M737">
        <v>0.39</v>
      </c>
      <c r="N737">
        <v>0.22389999999999999</v>
      </c>
      <c r="O737">
        <v>6</v>
      </c>
      <c r="P737">
        <v>51</v>
      </c>
      <c r="S737" t="s">
        <v>20</v>
      </c>
      <c r="T737" t="s">
        <v>29</v>
      </c>
    </row>
    <row r="738" spans="1:20" x14ac:dyDescent="0.3">
      <c r="A738">
        <v>347</v>
      </c>
      <c r="B738" s="37">
        <v>40558</v>
      </c>
      <c r="F738">
        <v>22</v>
      </c>
      <c r="G738" t="b">
        <v>0</v>
      </c>
      <c r="H738">
        <v>6</v>
      </c>
      <c r="I738">
        <v>2</v>
      </c>
      <c r="J738">
        <v>0.3</v>
      </c>
      <c r="K738">
        <v>40558</v>
      </c>
      <c r="L738">
        <v>0.31819999999999998</v>
      </c>
      <c r="M738">
        <v>0.42</v>
      </c>
      <c r="N738">
        <v>0.1045</v>
      </c>
      <c r="O738">
        <v>0</v>
      </c>
      <c r="P738">
        <v>26</v>
      </c>
      <c r="S738" t="s">
        <v>20</v>
      </c>
      <c r="T738" t="s">
        <v>29</v>
      </c>
    </row>
    <row r="739" spans="1:20" x14ac:dyDescent="0.3">
      <c r="A739">
        <v>348</v>
      </c>
      <c r="B739" s="37">
        <v>40558</v>
      </c>
      <c r="F739">
        <v>23</v>
      </c>
      <c r="G739" t="b">
        <v>0</v>
      </c>
      <c r="H739">
        <v>6</v>
      </c>
      <c r="I739">
        <v>1</v>
      </c>
      <c r="J739">
        <v>0.3</v>
      </c>
      <c r="K739">
        <v>40558</v>
      </c>
      <c r="L739">
        <v>0.28789999999999999</v>
      </c>
      <c r="M739">
        <v>0.45</v>
      </c>
      <c r="N739">
        <v>0.28360000000000002</v>
      </c>
      <c r="O739">
        <v>5</v>
      </c>
      <c r="P739">
        <v>39</v>
      </c>
      <c r="S739" t="s">
        <v>20</v>
      </c>
      <c r="T739" t="s">
        <v>29</v>
      </c>
    </row>
    <row r="740" spans="1:20" x14ac:dyDescent="0.3">
      <c r="A740">
        <v>349</v>
      </c>
      <c r="B740" s="37">
        <v>40559</v>
      </c>
      <c r="F740">
        <v>0</v>
      </c>
      <c r="G740" t="b">
        <v>0</v>
      </c>
      <c r="H740">
        <v>0</v>
      </c>
      <c r="I740">
        <v>1</v>
      </c>
      <c r="J740">
        <v>0.26</v>
      </c>
      <c r="K740">
        <v>40559</v>
      </c>
      <c r="L740">
        <v>0.30299999999999999</v>
      </c>
      <c r="M740">
        <v>0.56000000000000005</v>
      </c>
      <c r="N740">
        <v>0</v>
      </c>
      <c r="O740">
        <v>6</v>
      </c>
      <c r="P740">
        <v>33</v>
      </c>
      <c r="S740" t="s">
        <v>21</v>
      </c>
      <c r="T740" t="s">
        <v>29</v>
      </c>
    </row>
    <row r="741" spans="1:20" x14ac:dyDescent="0.3">
      <c r="A741">
        <v>350</v>
      </c>
      <c r="B741" s="37">
        <v>40559</v>
      </c>
      <c r="F741">
        <v>1</v>
      </c>
      <c r="G741" t="b">
        <v>0</v>
      </c>
      <c r="H741">
        <v>0</v>
      </c>
      <c r="I741">
        <v>1</v>
      </c>
      <c r="J741">
        <v>0.26</v>
      </c>
      <c r="K741">
        <v>40559</v>
      </c>
      <c r="L741">
        <v>0.2727</v>
      </c>
      <c r="M741">
        <v>0.56000000000000005</v>
      </c>
      <c r="N741">
        <v>0.1343</v>
      </c>
      <c r="O741">
        <v>4</v>
      </c>
      <c r="P741">
        <v>19</v>
      </c>
      <c r="S741" t="s">
        <v>21</v>
      </c>
      <c r="T741" t="s">
        <v>29</v>
      </c>
    </row>
    <row r="742" spans="1:20" x14ac:dyDescent="0.3">
      <c r="A742">
        <v>351</v>
      </c>
      <c r="B742" s="37">
        <v>40559</v>
      </c>
      <c r="F742">
        <v>2</v>
      </c>
      <c r="G742" t="b">
        <v>0</v>
      </c>
      <c r="H742">
        <v>0</v>
      </c>
      <c r="I742">
        <v>1</v>
      </c>
      <c r="J742">
        <v>0.26</v>
      </c>
      <c r="K742">
        <v>40559</v>
      </c>
      <c r="L742">
        <v>0.28789999999999999</v>
      </c>
      <c r="M742">
        <v>0.56000000000000005</v>
      </c>
      <c r="N742">
        <v>8.9599999999999999E-2</v>
      </c>
      <c r="O742">
        <v>3</v>
      </c>
      <c r="P742">
        <v>13</v>
      </c>
      <c r="S742" t="s">
        <v>21</v>
      </c>
      <c r="T742" t="s">
        <v>29</v>
      </c>
    </row>
    <row r="743" spans="1:20" x14ac:dyDescent="0.3">
      <c r="A743">
        <v>352</v>
      </c>
      <c r="B743" s="37">
        <v>40559</v>
      </c>
      <c r="F743">
        <v>3</v>
      </c>
      <c r="G743" t="b">
        <v>0</v>
      </c>
      <c r="H743">
        <v>0</v>
      </c>
      <c r="I743">
        <v>1</v>
      </c>
      <c r="J743">
        <v>0.22</v>
      </c>
      <c r="K743">
        <v>40559</v>
      </c>
      <c r="L743">
        <v>0.2727</v>
      </c>
      <c r="M743">
        <v>0.69</v>
      </c>
      <c r="N743">
        <v>0</v>
      </c>
      <c r="O743">
        <v>9</v>
      </c>
      <c r="P743">
        <v>6</v>
      </c>
      <c r="S743" t="s">
        <v>21</v>
      </c>
      <c r="T743" t="s">
        <v>29</v>
      </c>
    </row>
    <row r="744" spans="1:20" x14ac:dyDescent="0.3">
      <c r="A744">
        <v>353</v>
      </c>
      <c r="B744" s="37">
        <v>40559</v>
      </c>
      <c r="F744">
        <v>4</v>
      </c>
      <c r="G744" t="b">
        <v>0</v>
      </c>
      <c r="H744">
        <v>0</v>
      </c>
      <c r="I744">
        <v>1</v>
      </c>
      <c r="J744">
        <v>0.26</v>
      </c>
      <c r="K744">
        <v>40559</v>
      </c>
      <c r="L744">
        <v>0.2576</v>
      </c>
      <c r="M744">
        <v>0.56000000000000005</v>
      </c>
      <c r="N744">
        <v>0.16420000000000001</v>
      </c>
      <c r="O744">
        <v>0</v>
      </c>
      <c r="P744">
        <v>1</v>
      </c>
      <c r="S744" t="s">
        <v>21</v>
      </c>
      <c r="T744" t="s">
        <v>29</v>
      </c>
    </row>
    <row r="745" spans="1:20" x14ac:dyDescent="0.3">
      <c r="A745">
        <v>354</v>
      </c>
      <c r="B745" s="37">
        <v>40559</v>
      </c>
      <c r="F745">
        <v>5</v>
      </c>
      <c r="G745" t="b">
        <v>0</v>
      </c>
      <c r="H745">
        <v>0</v>
      </c>
      <c r="I745">
        <v>2</v>
      </c>
      <c r="J745">
        <v>0.26</v>
      </c>
      <c r="K745">
        <v>40559</v>
      </c>
      <c r="L745">
        <v>0.2576</v>
      </c>
      <c r="M745">
        <v>0.56000000000000005</v>
      </c>
      <c r="N745">
        <v>0.16420000000000001</v>
      </c>
      <c r="O745">
        <v>1</v>
      </c>
      <c r="P745">
        <v>1</v>
      </c>
      <c r="S745" t="s">
        <v>21</v>
      </c>
      <c r="T745" t="s">
        <v>29</v>
      </c>
    </row>
    <row r="746" spans="1:20" x14ac:dyDescent="0.3">
      <c r="A746">
        <v>355</v>
      </c>
      <c r="B746" s="37">
        <v>40559</v>
      </c>
      <c r="F746">
        <v>6</v>
      </c>
      <c r="G746" t="b">
        <v>0</v>
      </c>
      <c r="H746">
        <v>0</v>
      </c>
      <c r="I746">
        <v>2</v>
      </c>
      <c r="J746">
        <v>0.26</v>
      </c>
      <c r="K746">
        <v>40559</v>
      </c>
      <c r="L746">
        <v>0.2576</v>
      </c>
      <c r="M746">
        <v>0.56000000000000005</v>
      </c>
      <c r="N746">
        <v>0.16420000000000001</v>
      </c>
      <c r="O746">
        <v>0</v>
      </c>
      <c r="P746">
        <v>1</v>
      </c>
      <c r="S746" t="s">
        <v>21</v>
      </c>
      <c r="T746" t="s">
        <v>69</v>
      </c>
    </row>
    <row r="747" spans="1:20" x14ac:dyDescent="0.3">
      <c r="A747">
        <v>356</v>
      </c>
      <c r="B747" s="37">
        <v>40559</v>
      </c>
      <c r="F747">
        <v>7</v>
      </c>
      <c r="G747" t="b">
        <v>0</v>
      </c>
      <c r="H747">
        <v>0</v>
      </c>
      <c r="I747">
        <v>2</v>
      </c>
      <c r="J747">
        <v>0.24</v>
      </c>
      <c r="K747">
        <v>40559</v>
      </c>
      <c r="L747">
        <v>0.21210000000000001</v>
      </c>
      <c r="M747">
        <v>0.56000000000000005</v>
      </c>
      <c r="N747">
        <v>0.29849999999999999</v>
      </c>
      <c r="O747">
        <v>0</v>
      </c>
      <c r="P747">
        <v>3</v>
      </c>
      <c r="S747" t="s">
        <v>21</v>
      </c>
      <c r="T747" t="s">
        <v>69</v>
      </c>
    </row>
    <row r="748" spans="1:20" x14ac:dyDescent="0.3">
      <c r="A748">
        <v>357</v>
      </c>
      <c r="B748" s="37">
        <v>40559</v>
      </c>
      <c r="F748">
        <v>8</v>
      </c>
      <c r="G748" t="b">
        <v>0</v>
      </c>
      <c r="H748">
        <v>0</v>
      </c>
      <c r="I748">
        <v>1</v>
      </c>
      <c r="J748">
        <v>0.22</v>
      </c>
      <c r="K748">
        <v>40559</v>
      </c>
      <c r="L748">
        <v>0.21210000000000001</v>
      </c>
      <c r="M748">
        <v>0.55000000000000004</v>
      </c>
      <c r="N748">
        <v>0.28360000000000002</v>
      </c>
      <c r="O748">
        <v>0</v>
      </c>
      <c r="P748">
        <v>18</v>
      </c>
      <c r="S748" t="s">
        <v>21</v>
      </c>
      <c r="T748" t="s">
        <v>69</v>
      </c>
    </row>
    <row r="749" spans="1:20" x14ac:dyDescent="0.3">
      <c r="A749">
        <v>358</v>
      </c>
      <c r="B749" s="37">
        <v>40559</v>
      </c>
      <c r="F749">
        <v>9</v>
      </c>
      <c r="G749" t="b">
        <v>0</v>
      </c>
      <c r="H749">
        <v>0</v>
      </c>
      <c r="I749">
        <v>1</v>
      </c>
      <c r="J749">
        <v>0.22</v>
      </c>
      <c r="K749">
        <v>40559</v>
      </c>
      <c r="L749">
        <v>0.21210000000000001</v>
      </c>
      <c r="M749">
        <v>0.51</v>
      </c>
      <c r="N749">
        <v>0.25369999999999998</v>
      </c>
      <c r="O749">
        <v>3</v>
      </c>
      <c r="P749">
        <v>29</v>
      </c>
      <c r="S749" t="s">
        <v>21</v>
      </c>
      <c r="T749" t="s">
        <v>69</v>
      </c>
    </row>
    <row r="750" spans="1:20" x14ac:dyDescent="0.3">
      <c r="A750">
        <v>359</v>
      </c>
      <c r="B750" s="37">
        <v>40559</v>
      </c>
      <c r="F750">
        <v>10</v>
      </c>
      <c r="G750" t="b">
        <v>0</v>
      </c>
      <c r="H750">
        <v>0</v>
      </c>
      <c r="I750">
        <v>1</v>
      </c>
      <c r="J750">
        <v>0.22</v>
      </c>
      <c r="K750">
        <v>40559</v>
      </c>
      <c r="L750">
        <v>0.21210000000000001</v>
      </c>
      <c r="M750">
        <v>0.51</v>
      </c>
      <c r="N750">
        <v>0.28360000000000002</v>
      </c>
      <c r="O750">
        <v>8</v>
      </c>
      <c r="P750">
        <v>71</v>
      </c>
      <c r="S750" t="s">
        <v>21</v>
      </c>
      <c r="T750" t="s">
        <v>69</v>
      </c>
    </row>
    <row r="751" spans="1:20" x14ac:dyDescent="0.3">
      <c r="A751">
        <v>360</v>
      </c>
      <c r="B751" s="37">
        <v>40559</v>
      </c>
      <c r="F751">
        <v>11</v>
      </c>
      <c r="G751" t="b">
        <v>0</v>
      </c>
      <c r="H751">
        <v>0</v>
      </c>
      <c r="I751">
        <v>1</v>
      </c>
      <c r="J751">
        <v>0.24</v>
      </c>
      <c r="K751">
        <v>40559</v>
      </c>
      <c r="L751">
        <v>0.2273</v>
      </c>
      <c r="M751">
        <v>0.44</v>
      </c>
      <c r="N751">
        <v>0.25369999999999998</v>
      </c>
      <c r="O751">
        <v>23</v>
      </c>
      <c r="P751">
        <v>70</v>
      </c>
      <c r="S751" t="s">
        <v>21</v>
      </c>
      <c r="T751" t="s">
        <v>69</v>
      </c>
    </row>
    <row r="752" spans="1:20" x14ac:dyDescent="0.3">
      <c r="A752">
        <v>361</v>
      </c>
      <c r="B752" s="37">
        <v>40559</v>
      </c>
      <c r="F752">
        <v>12</v>
      </c>
      <c r="G752" t="b">
        <v>0</v>
      </c>
      <c r="H752">
        <v>0</v>
      </c>
      <c r="I752">
        <v>1</v>
      </c>
      <c r="J752">
        <v>0.24</v>
      </c>
      <c r="K752">
        <v>40559</v>
      </c>
      <c r="L752">
        <v>0.21210000000000001</v>
      </c>
      <c r="M752">
        <v>0.41</v>
      </c>
      <c r="N752">
        <v>0.28360000000000002</v>
      </c>
      <c r="O752">
        <v>29</v>
      </c>
      <c r="P752">
        <v>75</v>
      </c>
      <c r="S752" t="s">
        <v>21</v>
      </c>
      <c r="T752" t="s">
        <v>69</v>
      </c>
    </row>
    <row r="753" spans="1:20" x14ac:dyDescent="0.3">
      <c r="A753">
        <v>362</v>
      </c>
      <c r="B753" s="37">
        <v>40559</v>
      </c>
      <c r="F753">
        <v>13</v>
      </c>
      <c r="G753" t="b">
        <v>0</v>
      </c>
      <c r="H753">
        <v>0</v>
      </c>
      <c r="I753">
        <v>1</v>
      </c>
      <c r="J753">
        <v>0.26</v>
      </c>
      <c r="K753">
        <v>40559</v>
      </c>
      <c r="L753">
        <v>0.2273</v>
      </c>
      <c r="M753">
        <v>0.35</v>
      </c>
      <c r="N753">
        <v>0.29849999999999999</v>
      </c>
      <c r="O753">
        <v>23</v>
      </c>
      <c r="P753">
        <v>95</v>
      </c>
      <c r="S753" t="s">
        <v>21</v>
      </c>
      <c r="T753" t="s">
        <v>69</v>
      </c>
    </row>
    <row r="754" spans="1:20" x14ac:dyDescent="0.3">
      <c r="A754">
        <v>363</v>
      </c>
      <c r="B754" s="37">
        <v>40559</v>
      </c>
      <c r="F754">
        <v>14</v>
      </c>
      <c r="G754" t="b">
        <v>0</v>
      </c>
      <c r="H754">
        <v>0</v>
      </c>
      <c r="I754">
        <v>1</v>
      </c>
      <c r="J754">
        <v>0.28000000000000003</v>
      </c>
      <c r="K754">
        <v>40559</v>
      </c>
      <c r="L754">
        <v>0.2727</v>
      </c>
      <c r="M754">
        <v>0.36</v>
      </c>
      <c r="N754">
        <v>0.25369999999999998</v>
      </c>
      <c r="O754">
        <v>22</v>
      </c>
      <c r="P754">
        <v>69</v>
      </c>
      <c r="S754" t="s">
        <v>21</v>
      </c>
      <c r="T754" t="s">
        <v>69</v>
      </c>
    </row>
    <row r="755" spans="1:20" x14ac:dyDescent="0.3">
      <c r="A755">
        <v>364</v>
      </c>
      <c r="B755" s="37">
        <v>40559</v>
      </c>
      <c r="F755">
        <v>15</v>
      </c>
      <c r="G755" t="b">
        <v>0</v>
      </c>
      <c r="H755">
        <v>0</v>
      </c>
      <c r="I755">
        <v>1</v>
      </c>
      <c r="J755">
        <v>0.26</v>
      </c>
      <c r="K755">
        <v>40559</v>
      </c>
      <c r="L755">
        <v>0.2424</v>
      </c>
      <c r="M755">
        <v>0.38</v>
      </c>
      <c r="N755">
        <v>0.25369999999999998</v>
      </c>
      <c r="O755">
        <v>35</v>
      </c>
      <c r="P755">
        <v>78</v>
      </c>
      <c r="S755" t="s">
        <v>21</v>
      </c>
      <c r="T755" t="s">
        <v>69</v>
      </c>
    </row>
    <row r="756" spans="1:20" x14ac:dyDescent="0.3">
      <c r="A756">
        <v>365</v>
      </c>
      <c r="B756" s="37">
        <v>40559</v>
      </c>
      <c r="F756">
        <v>16</v>
      </c>
      <c r="G756" t="b">
        <v>0</v>
      </c>
      <c r="H756">
        <v>0</v>
      </c>
      <c r="I756">
        <v>1</v>
      </c>
      <c r="J756">
        <v>0.24</v>
      </c>
      <c r="K756">
        <v>40559</v>
      </c>
      <c r="L756">
        <v>0.2273</v>
      </c>
      <c r="M756">
        <v>0.38</v>
      </c>
      <c r="N756">
        <v>0.22389999999999999</v>
      </c>
      <c r="O756">
        <v>22</v>
      </c>
      <c r="P756">
        <v>77</v>
      </c>
      <c r="S756" t="s">
        <v>21</v>
      </c>
      <c r="T756" t="s">
        <v>69</v>
      </c>
    </row>
    <row r="757" spans="1:20" x14ac:dyDescent="0.3">
      <c r="A757">
        <v>366</v>
      </c>
      <c r="B757" s="37">
        <v>40559</v>
      </c>
      <c r="F757">
        <v>17</v>
      </c>
      <c r="G757" t="b">
        <v>0</v>
      </c>
      <c r="H757">
        <v>0</v>
      </c>
      <c r="I757">
        <v>1</v>
      </c>
      <c r="J757">
        <v>0.22</v>
      </c>
      <c r="K757">
        <v>40559</v>
      </c>
      <c r="L757">
        <v>0.21210000000000001</v>
      </c>
      <c r="M757">
        <v>0.37</v>
      </c>
      <c r="N757">
        <v>0.25369999999999998</v>
      </c>
      <c r="O757">
        <v>23</v>
      </c>
      <c r="P757">
        <v>82</v>
      </c>
      <c r="S757" t="s">
        <v>21</v>
      </c>
      <c r="T757" t="s">
        <v>69</v>
      </c>
    </row>
    <row r="758" spans="1:20" x14ac:dyDescent="0.3">
      <c r="A758">
        <v>367</v>
      </c>
      <c r="B758" s="37">
        <v>40559</v>
      </c>
      <c r="F758">
        <v>18</v>
      </c>
      <c r="G758" t="b">
        <v>0</v>
      </c>
      <c r="H758">
        <v>0</v>
      </c>
      <c r="I758">
        <v>1</v>
      </c>
      <c r="J758">
        <v>0.2</v>
      </c>
      <c r="K758">
        <v>40559</v>
      </c>
      <c r="L758">
        <v>0.21210000000000001</v>
      </c>
      <c r="M758">
        <v>0.4</v>
      </c>
      <c r="N758">
        <v>0.16420000000000001</v>
      </c>
      <c r="O758">
        <v>11</v>
      </c>
      <c r="P758">
        <v>56</v>
      </c>
      <c r="S758" t="s">
        <v>21</v>
      </c>
      <c r="T758" t="s">
        <v>69</v>
      </c>
    </row>
    <row r="759" spans="1:20" x14ac:dyDescent="0.3">
      <c r="A759">
        <v>368</v>
      </c>
      <c r="B759" s="37">
        <v>40559</v>
      </c>
      <c r="F759">
        <v>19</v>
      </c>
      <c r="G759" t="b">
        <v>0</v>
      </c>
      <c r="H759">
        <v>0</v>
      </c>
      <c r="I759">
        <v>1</v>
      </c>
      <c r="J759">
        <v>0.18</v>
      </c>
      <c r="K759">
        <v>40559</v>
      </c>
      <c r="L759">
        <v>0.19700000000000001</v>
      </c>
      <c r="M759">
        <v>0.47</v>
      </c>
      <c r="N759">
        <v>0.1343</v>
      </c>
      <c r="O759">
        <v>14</v>
      </c>
      <c r="P759">
        <v>47</v>
      </c>
      <c r="S759" t="s">
        <v>21</v>
      </c>
      <c r="T759" t="s">
        <v>29</v>
      </c>
    </row>
    <row r="760" spans="1:20" x14ac:dyDescent="0.3">
      <c r="A760">
        <v>369</v>
      </c>
      <c r="B760" s="37">
        <v>40559</v>
      </c>
      <c r="F760">
        <v>20</v>
      </c>
      <c r="G760" t="b">
        <v>0</v>
      </c>
      <c r="H760">
        <v>0</v>
      </c>
      <c r="I760">
        <v>1</v>
      </c>
      <c r="J760">
        <v>0.18</v>
      </c>
      <c r="K760">
        <v>40559</v>
      </c>
      <c r="L760">
        <v>0.19700000000000001</v>
      </c>
      <c r="M760">
        <v>0.47</v>
      </c>
      <c r="N760">
        <v>0.16420000000000001</v>
      </c>
      <c r="O760">
        <v>7</v>
      </c>
      <c r="P760">
        <v>50</v>
      </c>
      <c r="S760" t="s">
        <v>21</v>
      </c>
      <c r="T760" t="s">
        <v>29</v>
      </c>
    </row>
    <row r="761" spans="1:20" x14ac:dyDescent="0.3">
      <c r="A761">
        <v>370</v>
      </c>
      <c r="B761" s="37">
        <v>40559</v>
      </c>
      <c r="F761">
        <v>21</v>
      </c>
      <c r="G761" t="b">
        <v>0</v>
      </c>
      <c r="H761">
        <v>0</v>
      </c>
      <c r="I761">
        <v>1</v>
      </c>
      <c r="J761">
        <v>0.18</v>
      </c>
      <c r="K761">
        <v>40559</v>
      </c>
      <c r="L761">
        <v>0.19700000000000001</v>
      </c>
      <c r="M761">
        <v>0.51</v>
      </c>
      <c r="N761">
        <v>0.16420000000000001</v>
      </c>
      <c r="O761">
        <v>6</v>
      </c>
      <c r="P761">
        <v>22</v>
      </c>
      <c r="S761" t="s">
        <v>21</v>
      </c>
      <c r="T761" t="s">
        <v>29</v>
      </c>
    </row>
    <row r="762" spans="1:20" x14ac:dyDescent="0.3">
      <c r="A762">
        <v>371</v>
      </c>
      <c r="B762" s="37">
        <v>40559</v>
      </c>
      <c r="F762">
        <v>22</v>
      </c>
      <c r="G762" t="b">
        <v>0</v>
      </c>
      <c r="H762">
        <v>0</v>
      </c>
      <c r="I762">
        <v>2</v>
      </c>
      <c r="J762">
        <v>0.2</v>
      </c>
      <c r="K762">
        <v>40559</v>
      </c>
      <c r="L762">
        <v>0.21210000000000001</v>
      </c>
      <c r="M762">
        <v>0.49</v>
      </c>
      <c r="N762">
        <v>0.1343</v>
      </c>
      <c r="O762">
        <v>2</v>
      </c>
      <c r="P762">
        <v>19</v>
      </c>
      <c r="S762" t="s">
        <v>21</v>
      </c>
      <c r="T762" t="s">
        <v>29</v>
      </c>
    </row>
    <row r="763" spans="1:20" x14ac:dyDescent="0.3">
      <c r="A763">
        <v>372</v>
      </c>
      <c r="B763" s="37">
        <v>40559</v>
      </c>
      <c r="F763">
        <v>23</v>
      </c>
      <c r="G763" t="b">
        <v>0</v>
      </c>
      <c r="H763">
        <v>0</v>
      </c>
      <c r="I763">
        <v>2</v>
      </c>
      <c r="J763">
        <v>0.2</v>
      </c>
      <c r="K763">
        <v>40559</v>
      </c>
      <c r="L763">
        <v>0.2273</v>
      </c>
      <c r="M763">
        <v>0.4</v>
      </c>
      <c r="N763">
        <v>0.1045</v>
      </c>
      <c r="O763">
        <v>0</v>
      </c>
      <c r="P763">
        <v>18</v>
      </c>
      <c r="S763" t="s">
        <v>21</v>
      </c>
      <c r="T763" t="s">
        <v>29</v>
      </c>
    </row>
    <row r="764" spans="1:20" x14ac:dyDescent="0.3">
      <c r="A764">
        <v>373</v>
      </c>
      <c r="B764" s="37">
        <v>40560</v>
      </c>
      <c r="F764">
        <v>0</v>
      </c>
      <c r="G764" t="b">
        <v>1</v>
      </c>
      <c r="H764">
        <v>1</v>
      </c>
      <c r="I764">
        <v>2</v>
      </c>
      <c r="J764">
        <v>0.2</v>
      </c>
      <c r="K764">
        <v>40560</v>
      </c>
      <c r="L764">
        <v>0.19700000000000001</v>
      </c>
      <c r="M764">
        <v>0.47</v>
      </c>
      <c r="N764">
        <v>0.22389999999999999</v>
      </c>
      <c r="O764">
        <v>1</v>
      </c>
      <c r="P764">
        <v>16</v>
      </c>
      <c r="S764" t="s">
        <v>22</v>
      </c>
      <c r="T764" t="s">
        <v>29</v>
      </c>
    </row>
    <row r="765" spans="1:20" x14ac:dyDescent="0.3">
      <c r="A765">
        <v>374</v>
      </c>
      <c r="B765" s="37">
        <v>40560</v>
      </c>
      <c r="F765">
        <v>1</v>
      </c>
      <c r="G765" t="b">
        <v>1</v>
      </c>
      <c r="H765">
        <v>1</v>
      </c>
      <c r="I765">
        <v>2</v>
      </c>
      <c r="J765">
        <v>0.2</v>
      </c>
      <c r="K765">
        <v>40560</v>
      </c>
      <c r="L765">
        <v>0.19700000000000001</v>
      </c>
      <c r="M765">
        <v>0.44</v>
      </c>
      <c r="N765">
        <v>0.19400000000000001</v>
      </c>
      <c r="O765">
        <v>1</v>
      </c>
      <c r="P765">
        <v>15</v>
      </c>
      <c r="S765" t="s">
        <v>22</v>
      </c>
      <c r="T765" t="s">
        <v>29</v>
      </c>
    </row>
    <row r="766" spans="1:20" x14ac:dyDescent="0.3">
      <c r="A766">
        <v>375</v>
      </c>
      <c r="B766" s="37">
        <v>40560</v>
      </c>
      <c r="F766">
        <v>2</v>
      </c>
      <c r="G766" t="b">
        <v>1</v>
      </c>
      <c r="H766">
        <v>1</v>
      </c>
      <c r="I766">
        <v>2</v>
      </c>
      <c r="J766">
        <v>0.18</v>
      </c>
      <c r="K766">
        <v>40560</v>
      </c>
      <c r="L766">
        <v>0.16669999999999999</v>
      </c>
      <c r="M766">
        <v>0.43</v>
      </c>
      <c r="N766">
        <v>0.25369999999999998</v>
      </c>
      <c r="O766">
        <v>0</v>
      </c>
      <c r="P766">
        <v>8</v>
      </c>
      <c r="S766" t="s">
        <v>22</v>
      </c>
      <c r="T766" t="s">
        <v>29</v>
      </c>
    </row>
    <row r="767" spans="1:20" x14ac:dyDescent="0.3">
      <c r="A767">
        <v>376</v>
      </c>
      <c r="B767" s="37">
        <v>40560</v>
      </c>
      <c r="F767">
        <v>3</v>
      </c>
      <c r="G767" t="b">
        <v>1</v>
      </c>
      <c r="H767">
        <v>1</v>
      </c>
      <c r="I767">
        <v>2</v>
      </c>
      <c r="J767">
        <v>0.18</v>
      </c>
      <c r="K767">
        <v>40560</v>
      </c>
      <c r="L767">
        <v>0.18179999999999999</v>
      </c>
      <c r="M767">
        <v>0.43</v>
      </c>
      <c r="N767">
        <v>0.19400000000000001</v>
      </c>
      <c r="O767">
        <v>0</v>
      </c>
      <c r="P767">
        <v>2</v>
      </c>
      <c r="S767" t="s">
        <v>22</v>
      </c>
      <c r="T767" t="s">
        <v>29</v>
      </c>
    </row>
    <row r="768" spans="1:20" x14ac:dyDescent="0.3">
      <c r="A768">
        <v>377</v>
      </c>
      <c r="B768" s="37">
        <v>40560</v>
      </c>
      <c r="F768">
        <v>4</v>
      </c>
      <c r="G768" t="b">
        <v>1</v>
      </c>
      <c r="H768">
        <v>1</v>
      </c>
      <c r="I768">
        <v>2</v>
      </c>
      <c r="J768">
        <v>0.18</v>
      </c>
      <c r="K768">
        <v>40560</v>
      </c>
      <c r="L768">
        <v>0.19700000000000001</v>
      </c>
      <c r="M768">
        <v>0.43</v>
      </c>
      <c r="N768">
        <v>0.1343</v>
      </c>
      <c r="O768">
        <v>1</v>
      </c>
      <c r="P768">
        <v>2</v>
      </c>
      <c r="S768" t="s">
        <v>22</v>
      </c>
      <c r="T768" t="s">
        <v>29</v>
      </c>
    </row>
    <row r="769" spans="1:20" x14ac:dyDescent="0.3">
      <c r="A769">
        <v>378</v>
      </c>
      <c r="B769" s="37">
        <v>40560</v>
      </c>
      <c r="F769">
        <v>5</v>
      </c>
      <c r="G769" t="b">
        <v>1</v>
      </c>
      <c r="H769">
        <v>1</v>
      </c>
      <c r="I769">
        <v>2</v>
      </c>
      <c r="J769">
        <v>0.18</v>
      </c>
      <c r="K769">
        <v>40560</v>
      </c>
      <c r="L769">
        <v>0.19700000000000001</v>
      </c>
      <c r="M769">
        <v>0.43</v>
      </c>
      <c r="N769">
        <v>0.16420000000000001</v>
      </c>
      <c r="O769">
        <v>0</v>
      </c>
      <c r="P769">
        <v>1</v>
      </c>
      <c r="S769" t="s">
        <v>22</v>
      </c>
      <c r="T769" t="s">
        <v>29</v>
      </c>
    </row>
    <row r="770" spans="1:20" x14ac:dyDescent="0.3">
      <c r="A770">
        <v>379</v>
      </c>
      <c r="B770" s="37">
        <v>40560</v>
      </c>
      <c r="F770">
        <v>6</v>
      </c>
      <c r="G770" t="b">
        <v>1</v>
      </c>
      <c r="H770">
        <v>1</v>
      </c>
      <c r="I770">
        <v>2</v>
      </c>
      <c r="J770">
        <v>0.18</v>
      </c>
      <c r="K770">
        <v>40560</v>
      </c>
      <c r="L770">
        <v>0.18179999999999999</v>
      </c>
      <c r="M770">
        <v>0.43</v>
      </c>
      <c r="N770">
        <v>0.19400000000000001</v>
      </c>
      <c r="O770">
        <v>0</v>
      </c>
      <c r="P770">
        <v>5</v>
      </c>
      <c r="S770" t="s">
        <v>22</v>
      </c>
      <c r="T770" t="s">
        <v>69</v>
      </c>
    </row>
    <row r="771" spans="1:20" x14ac:dyDescent="0.3">
      <c r="A771">
        <v>380</v>
      </c>
      <c r="B771" s="37">
        <v>40560</v>
      </c>
      <c r="F771">
        <v>7</v>
      </c>
      <c r="G771" t="b">
        <v>1</v>
      </c>
      <c r="H771">
        <v>1</v>
      </c>
      <c r="I771">
        <v>2</v>
      </c>
      <c r="J771">
        <v>0.16</v>
      </c>
      <c r="K771">
        <v>40560</v>
      </c>
      <c r="L771">
        <v>0.18179999999999999</v>
      </c>
      <c r="M771">
        <v>0.5</v>
      </c>
      <c r="N771">
        <v>0.1343</v>
      </c>
      <c r="O771">
        <v>4</v>
      </c>
      <c r="P771">
        <v>9</v>
      </c>
      <c r="S771" t="s">
        <v>22</v>
      </c>
      <c r="T771" t="s">
        <v>69</v>
      </c>
    </row>
    <row r="772" spans="1:20" x14ac:dyDescent="0.3">
      <c r="A772">
        <v>381</v>
      </c>
      <c r="B772" s="37">
        <v>40560</v>
      </c>
      <c r="F772">
        <v>8</v>
      </c>
      <c r="G772" t="b">
        <v>1</v>
      </c>
      <c r="H772">
        <v>1</v>
      </c>
      <c r="I772">
        <v>2</v>
      </c>
      <c r="J772">
        <v>0.16</v>
      </c>
      <c r="K772">
        <v>40560</v>
      </c>
      <c r="L772">
        <v>0.1515</v>
      </c>
      <c r="M772">
        <v>0.47</v>
      </c>
      <c r="N772">
        <v>0.22389999999999999</v>
      </c>
      <c r="O772">
        <v>3</v>
      </c>
      <c r="P772">
        <v>30</v>
      </c>
      <c r="S772" t="s">
        <v>22</v>
      </c>
      <c r="T772" t="s">
        <v>69</v>
      </c>
    </row>
    <row r="773" spans="1:20" x14ac:dyDescent="0.3">
      <c r="A773">
        <v>382</v>
      </c>
      <c r="B773" s="37">
        <v>40560</v>
      </c>
      <c r="F773">
        <v>9</v>
      </c>
      <c r="G773" t="b">
        <v>1</v>
      </c>
      <c r="H773">
        <v>1</v>
      </c>
      <c r="I773">
        <v>2</v>
      </c>
      <c r="J773">
        <v>0.16</v>
      </c>
      <c r="K773">
        <v>40560</v>
      </c>
      <c r="L773">
        <v>0.1515</v>
      </c>
      <c r="M773">
        <v>0.47</v>
      </c>
      <c r="N773">
        <v>0.22389999999999999</v>
      </c>
      <c r="O773">
        <v>8</v>
      </c>
      <c r="P773">
        <v>39</v>
      </c>
      <c r="S773" t="s">
        <v>22</v>
      </c>
      <c r="T773" t="s">
        <v>69</v>
      </c>
    </row>
    <row r="774" spans="1:20" x14ac:dyDescent="0.3">
      <c r="A774">
        <v>383</v>
      </c>
      <c r="B774" s="37">
        <v>40560</v>
      </c>
      <c r="F774">
        <v>10</v>
      </c>
      <c r="G774" t="b">
        <v>1</v>
      </c>
      <c r="H774">
        <v>1</v>
      </c>
      <c r="I774">
        <v>2</v>
      </c>
      <c r="J774">
        <v>0.16</v>
      </c>
      <c r="K774">
        <v>40560</v>
      </c>
      <c r="L774">
        <v>0.1515</v>
      </c>
      <c r="M774">
        <v>0.5</v>
      </c>
      <c r="N774">
        <v>0.25369999999999998</v>
      </c>
      <c r="O774">
        <v>7</v>
      </c>
      <c r="P774">
        <v>50</v>
      </c>
      <c r="S774" t="s">
        <v>22</v>
      </c>
      <c r="T774" t="s">
        <v>69</v>
      </c>
    </row>
    <row r="775" spans="1:20" x14ac:dyDescent="0.3">
      <c r="A775">
        <v>384</v>
      </c>
      <c r="B775" s="37">
        <v>40560</v>
      </c>
      <c r="F775">
        <v>11</v>
      </c>
      <c r="G775" t="b">
        <v>1</v>
      </c>
      <c r="H775">
        <v>1</v>
      </c>
      <c r="I775">
        <v>2</v>
      </c>
      <c r="J775">
        <v>0.16</v>
      </c>
      <c r="K775">
        <v>40560</v>
      </c>
      <c r="L775">
        <v>0.1515</v>
      </c>
      <c r="M775">
        <v>0.55000000000000004</v>
      </c>
      <c r="N775">
        <v>0.19400000000000001</v>
      </c>
      <c r="O775">
        <v>9</v>
      </c>
      <c r="P775">
        <v>55</v>
      </c>
      <c r="S775" t="s">
        <v>22</v>
      </c>
      <c r="T775" t="s">
        <v>69</v>
      </c>
    </row>
    <row r="776" spans="1:20" x14ac:dyDescent="0.3">
      <c r="A776">
        <v>385</v>
      </c>
      <c r="B776" s="37">
        <v>40560</v>
      </c>
      <c r="F776">
        <v>12</v>
      </c>
      <c r="G776" t="b">
        <v>1</v>
      </c>
      <c r="H776">
        <v>1</v>
      </c>
      <c r="I776">
        <v>2</v>
      </c>
      <c r="J776">
        <v>0.18</v>
      </c>
      <c r="K776">
        <v>40560</v>
      </c>
      <c r="L776">
        <v>0.19700000000000001</v>
      </c>
      <c r="M776">
        <v>0.47</v>
      </c>
      <c r="N776">
        <v>0.1343</v>
      </c>
      <c r="O776">
        <v>10</v>
      </c>
      <c r="P776">
        <v>70</v>
      </c>
      <c r="S776" t="s">
        <v>22</v>
      </c>
      <c r="T776" t="s">
        <v>69</v>
      </c>
    </row>
    <row r="777" spans="1:20" x14ac:dyDescent="0.3">
      <c r="A777">
        <v>386</v>
      </c>
      <c r="B777" s="37">
        <v>40560</v>
      </c>
      <c r="F777">
        <v>13</v>
      </c>
      <c r="G777" t="b">
        <v>1</v>
      </c>
      <c r="H777">
        <v>1</v>
      </c>
      <c r="I777">
        <v>2</v>
      </c>
      <c r="J777">
        <v>0.18</v>
      </c>
      <c r="K777">
        <v>40560</v>
      </c>
      <c r="L777">
        <v>0.19700000000000001</v>
      </c>
      <c r="M777">
        <v>0.47</v>
      </c>
      <c r="N777">
        <v>0.1343</v>
      </c>
      <c r="O777">
        <v>13</v>
      </c>
      <c r="P777">
        <v>80</v>
      </c>
      <c r="S777" t="s">
        <v>22</v>
      </c>
      <c r="T777" t="s">
        <v>69</v>
      </c>
    </row>
    <row r="778" spans="1:20" x14ac:dyDescent="0.3">
      <c r="A778">
        <v>387</v>
      </c>
      <c r="B778" s="37">
        <v>40560</v>
      </c>
      <c r="F778">
        <v>14</v>
      </c>
      <c r="G778" t="b">
        <v>1</v>
      </c>
      <c r="H778">
        <v>1</v>
      </c>
      <c r="I778">
        <v>2</v>
      </c>
      <c r="J778">
        <v>0.18</v>
      </c>
      <c r="K778">
        <v>40560</v>
      </c>
      <c r="L778">
        <v>0.21210000000000001</v>
      </c>
      <c r="M778">
        <v>0.43</v>
      </c>
      <c r="N778">
        <v>0.1045</v>
      </c>
      <c r="O778">
        <v>12</v>
      </c>
      <c r="P778">
        <v>74</v>
      </c>
      <c r="S778" t="s">
        <v>22</v>
      </c>
      <c r="T778" t="s">
        <v>69</v>
      </c>
    </row>
    <row r="779" spans="1:20" x14ac:dyDescent="0.3">
      <c r="A779">
        <v>388</v>
      </c>
      <c r="B779" s="37">
        <v>40560</v>
      </c>
      <c r="F779">
        <v>15</v>
      </c>
      <c r="G779" t="b">
        <v>1</v>
      </c>
      <c r="H779">
        <v>1</v>
      </c>
      <c r="I779">
        <v>2</v>
      </c>
      <c r="J779">
        <v>0.2</v>
      </c>
      <c r="K779">
        <v>40560</v>
      </c>
      <c r="L779">
        <v>0.21210000000000001</v>
      </c>
      <c r="M779">
        <v>0.47</v>
      </c>
      <c r="N779">
        <v>0.16420000000000001</v>
      </c>
      <c r="O779">
        <v>21</v>
      </c>
      <c r="P779">
        <v>72</v>
      </c>
      <c r="S779" t="s">
        <v>22</v>
      </c>
      <c r="T779" t="s">
        <v>69</v>
      </c>
    </row>
    <row r="780" spans="1:20" x14ac:dyDescent="0.3">
      <c r="A780">
        <v>389</v>
      </c>
      <c r="B780" s="37">
        <v>40560</v>
      </c>
      <c r="F780">
        <v>16</v>
      </c>
      <c r="G780" t="b">
        <v>1</v>
      </c>
      <c r="H780">
        <v>1</v>
      </c>
      <c r="I780">
        <v>2</v>
      </c>
      <c r="J780">
        <v>0.2</v>
      </c>
      <c r="K780">
        <v>40560</v>
      </c>
      <c r="L780">
        <v>0.21210000000000001</v>
      </c>
      <c r="M780">
        <v>0.47</v>
      </c>
      <c r="N780">
        <v>0.16420000000000001</v>
      </c>
      <c r="O780">
        <v>6</v>
      </c>
      <c r="P780">
        <v>76</v>
      </c>
      <c r="S780" t="s">
        <v>22</v>
      </c>
      <c r="T780" t="s">
        <v>69</v>
      </c>
    </row>
    <row r="781" spans="1:20" x14ac:dyDescent="0.3">
      <c r="A781">
        <v>390</v>
      </c>
      <c r="B781" s="37">
        <v>40560</v>
      </c>
      <c r="F781">
        <v>17</v>
      </c>
      <c r="G781" t="b">
        <v>1</v>
      </c>
      <c r="H781">
        <v>1</v>
      </c>
      <c r="I781">
        <v>1</v>
      </c>
      <c r="J781">
        <v>0.2</v>
      </c>
      <c r="K781">
        <v>40560</v>
      </c>
      <c r="L781">
        <v>0.19700000000000001</v>
      </c>
      <c r="M781">
        <v>0.51</v>
      </c>
      <c r="N781">
        <v>0.19400000000000001</v>
      </c>
      <c r="O781">
        <v>4</v>
      </c>
      <c r="P781">
        <v>67</v>
      </c>
      <c r="S781" t="s">
        <v>22</v>
      </c>
      <c r="T781" t="s">
        <v>69</v>
      </c>
    </row>
    <row r="782" spans="1:20" x14ac:dyDescent="0.3">
      <c r="A782">
        <v>391</v>
      </c>
      <c r="B782" s="37">
        <v>40560</v>
      </c>
      <c r="F782">
        <v>18</v>
      </c>
      <c r="G782" t="b">
        <v>1</v>
      </c>
      <c r="H782">
        <v>1</v>
      </c>
      <c r="I782">
        <v>2</v>
      </c>
      <c r="J782">
        <v>0.18</v>
      </c>
      <c r="K782">
        <v>40560</v>
      </c>
      <c r="L782">
        <v>0.16669999999999999</v>
      </c>
      <c r="M782">
        <v>0.55000000000000004</v>
      </c>
      <c r="N782">
        <v>0.25369999999999998</v>
      </c>
      <c r="O782">
        <v>7</v>
      </c>
      <c r="P782">
        <v>85</v>
      </c>
      <c r="S782" t="s">
        <v>22</v>
      </c>
      <c r="T782" t="s">
        <v>69</v>
      </c>
    </row>
    <row r="783" spans="1:20" x14ac:dyDescent="0.3">
      <c r="A783">
        <v>392</v>
      </c>
      <c r="B783" s="37">
        <v>40560</v>
      </c>
      <c r="F783">
        <v>19</v>
      </c>
      <c r="G783" t="b">
        <v>1</v>
      </c>
      <c r="H783">
        <v>1</v>
      </c>
      <c r="I783">
        <v>3</v>
      </c>
      <c r="J783">
        <v>0.18</v>
      </c>
      <c r="K783">
        <v>40560</v>
      </c>
      <c r="L783">
        <v>0.18179999999999999</v>
      </c>
      <c r="M783">
        <v>0.59</v>
      </c>
      <c r="N783">
        <v>0.19400000000000001</v>
      </c>
      <c r="O783">
        <v>2</v>
      </c>
      <c r="P783">
        <v>58</v>
      </c>
      <c r="S783" t="s">
        <v>22</v>
      </c>
      <c r="T783" t="s">
        <v>29</v>
      </c>
    </row>
    <row r="784" spans="1:20" x14ac:dyDescent="0.3">
      <c r="A784">
        <v>393</v>
      </c>
      <c r="B784" s="37">
        <v>40560</v>
      </c>
      <c r="F784">
        <v>20</v>
      </c>
      <c r="G784" t="b">
        <v>1</v>
      </c>
      <c r="H784">
        <v>1</v>
      </c>
      <c r="I784">
        <v>3</v>
      </c>
      <c r="J784">
        <v>0.16</v>
      </c>
      <c r="K784">
        <v>40560</v>
      </c>
      <c r="L784">
        <v>0.1515</v>
      </c>
      <c r="M784">
        <v>0.8</v>
      </c>
      <c r="N784">
        <v>0.19400000000000001</v>
      </c>
      <c r="O784">
        <v>4</v>
      </c>
      <c r="P784">
        <v>29</v>
      </c>
      <c r="S784" t="s">
        <v>22</v>
      </c>
      <c r="T784" t="s">
        <v>29</v>
      </c>
    </row>
    <row r="785" spans="1:20" x14ac:dyDescent="0.3">
      <c r="A785">
        <v>394</v>
      </c>
      <c r="B785" s="37">
        <v>40560</v>
      </c>
      <c r="F785">
        <v>21</v>
      </c>
      <c r="G785" t="b">
        <v>1</v>
      </c>
      <c r="H785">
        <v>1</v>
      </c>
      <c r="I785">
        <v>3</v>
      </c>
      <c r="J785">
        <v>0.16</v>
      </c>
      <c r="K785">
        <v>40560</v>
      </c>
      <c r="L785">
        <v>0.1515</v>
      </c>
      <c r="M785">
        <v>0.8</v>
      </c>
      <c r="N785">
        <v>0.19400000000000001</v>
      </c>
      <c r="O785">
        <v>3</v>
      </c>
      <c r="P785">
        <v>24</v>
      </c>
      <c r="S785" t="s">
        <v>22</v>
      </c>
      <c r="T785" t="s">
        <v>29</v>
      </c>
    </row>
    <row r="786" spans="1:20" x14ac:dyDescent="0.3">
      <c r="A786">
        <v>395</v>
      </c>
      <c r="B786" s="37">
        <v>40560</v>
      </c>
      <c r="F786">
        <v>22</v>
      </c>
      <c r="G786" t="b">
        <v>1</v>
      </c>
      <c r="H786">
        <v>1</v>
      </c>
      <c r="I786">
        <v>3</v>
      </c>
      <c r="J786">
        <v>0.14000000000000001</v>
      </c>
      <c r="K786">
        <v>40560</v>
      </c>
      <c r="L786">
        <v>0.1212</v>
      </c>
      <c r="M786">
        <v>0.93</v>
      </c>
      <c r="N786">
        <v>0.25369999999999998</v>
      </c>
      <c r="O786">
        <v>0</v>
      </c>
      <c r="P786">
        <v>13</v>
      </c>
      <c r="S786" t="s">
        <v>22</v>
      </c>
      <c r="T786" t="s">
        <v>29</v>
      </c>
    </row>
    <row r="787" spans="1:20" x14ac:dyDescent="0.3">
      <c r="A787">
        <v>396</v>
      </c>
      <c r="B787" s="37">
        <v>40560</v>
      </c>
      <c r="F787">
        <v>23</v>
      </c>
      <c r="G787" t="b">
        <v>1</v>
      </c>
      <c r="H787">
        <v>1</v>
      </c>
      <c r="I787">
        <v>3</v>
      </c>
      <c r="J787">
        <v>0.16</v>
      </c>
      <c r="K787">
        <v>40560</v>
      </c>
      <c r="L787">
        <v>0.13639999999999999</v>
      </c>
      <c r="M787">
        <v>0.86</v>
      </c>
      <c r="N787">
        <v>0.28360000000000002</v>
      </c>
      <c r="O787">
        <v>1</v>
      </c>
      <c r="P787">
        <v>3</v>
      </c>
      <c r="S787" t="s">
        <v>22</v>
      </c>
      <c r="T787" t="s">
        <v>29</v>
      </c>
    </row>
    <row r="788" spans="1:20" x14ac:dyDescent="0.3">
      <c r="A788">
        <v>397</v>
      </c>
      <c r="B788" s="37">
        <v>40561</v>
      </c>
      <c r="F788">
        <v>12</v>
      </c>
      <c r="G788" t="b">
        <v>0</v>
      </c>
      <c r="H788">
        <v>2</v>
      </c>
      <c r="I788">
        <v>2</v>
      </c>
      <c r="J788">
        <v>0.2</v>
      </c>
      <c r="K788">
        <v>40561</v>
      </c>
      <c r="L788">
        <v>0.18179999999999999</v>
      </c>
      <c r="M788">
        <v>0.86</v>
      </c>
      <c r="N788">
        <v>0.32840000000000003</v>
      </c>
      <c r="O788">
        <v>0</v>
      </c>
      <c r="P788">
        <v>3</v>
      </c>
      <c r="S788" t="s">
        <v>23</v>
      </c>
      <c r="T788" t="s">
        <v>69</v>
      </c>
    </row>
    <row r="789" spans="1:20" x14ac:dyDescent="0.3">
      <c r="A789">
        <v>398</v>
      </c>
      <c r="B789" s="37">
        <v>40561</v>
      </c>
      <c r="F789">
        <v>13</v>
      </c>
      <c r="G789" t="b">
        <v>0</v>
      </c>
      <c r="H789">
        <v>2</v>
      </c>
      <c r="I789">
        <v>2</v>
      </c>
      <c r="J789">
        <v>0.2</v>
      </c>
      <c r="K789">
        <v>40561</v>
      </c>
      <c r="L789">
        <v>0.19700000000000001</v>
      </c>
      <c r="M789">
        <v>0.86</v>
      </c>
      <c r="N789">
        <v>0.22389999999999999</v>
      </c>
      <c r="O789">
        <v>0</v>
      </c>
      <c r="P789">
        <v>22</v>
      </c>
      <c r="S789" t="s">
        <v>23</v>
      </c>
      <c r="T789" t="s">
        <v>69</v>
      </c>
    </row>
    <row r="790" spans="1:20" x14ac:dyDescent="0.3">
      <c r="A790">
        <v>399</v>
      </c>
      <c r="B790" s="37">
        <v>40561</v>
      </c>
      <c r="F790">
        <v>14</v>
      </c>
      <c r="G790" t="b">
        <v>0</v>
      </c>
      <c r="H790">
        <v>2</v>
      </c>
      <c r="I790">
        <v>2</v>
      </c>
      <c r="J790">
        <v>0.22</v>
      </c>
      <c r="K790">
        <v>40561</v>
      </c>
      <c r="L790">
        <v>0.2273</v>
      </c>
      <c r="M790">
        <v>0.8</v>
      </c>
      <c r="N790">
        <v>0.16420000000000001</v>
      </c>
      <c r="O790">
        <v>2</v>
      </c>
      <c r="P790">
        <v>26</v>
      </c>
      <c r="S790" t="s">
        <v>23</v>
      </c>
      <c r="T790" t="s">
        <v>69</v>
      </c>
    </row>
    <row r="791" spans="1:20" x14ac:dyDescent="0.3">
      <c r="A791">
        <v>400</v>
      </c>
      <c r="B791" s="37">
        <v>40561</v>
      </c>
      <c r="F791">
        <v>15</v>
      </c>
      <c r="G791" t="b">
        <v>0</v>
      </c>
      <c r="H791">
        <v>2</v>
      </c>
      <c r="I791">
        <v>2</v>
      </c>
      <c r="J791">
        <v>0.22</v>
      </c>
      <c r="K791">
        <v>40561</v>
      </c>
      <c r="L791">
        <v>0.2273</v>
      </c>
      <c r="M791">
        <v>0.87</v>
      </c>
      <c r="N791">
        <v>0.16420000000000001</v>
      </c>
      <c r="O791">
        <v>3</v>
      </c>
      <c r="P791">
        <v>32</v>
      </c>
      <c r="S791" t="s">
        <v>23</v>
      </c>
      <c r="T791" t="s">
        <v>69</v>
      </c>
    </row>
    <row r="792" spans="1:20" x14ac:dyDescent="0.3">
      <c r="A792">
        <v>401</v>
      </c>
      <c r="B792" s="37">
        <v>40561</v>
      </c>
      <c r="F792">
        <v>16</v>
      </c>
      <c r="G792" t="b">
        <v>0</v>
      </c>
      <c r="H792">
        <v>2</v>
      </c>
      <c r="I792">
        <v>2</v>
      </c>
      <c r="J792">
        <v>0.22</v>
      </c>
      <c r="K792">
        <v>40561</v>
      </c>
      <c r="L792">
        <v>0.2273</v>
      </c>
      <c r="M792">
        <v>0.87</v>
      </c>
      <c r="N792">
        <v>0.19400000000000001</v>
      </c>
      <c r="O792">
        <v>0</v>
      </c>
      <c r="P792">
        <v>61</v>
      </c>
      <c r="S792" t="s">
        <v>23</v>
      </c>
      <c r="T792" t="s">
        <v>69</v>
      </c>
    </row>
    <row r="793" spans="1:20" x14ac:dyDescent="0.3">
      <c r="A793">
        <v>402</v>
      </c>
      <c r="B793" s="37">
        <v>40561</v>
      </c>
      <c r="F793">
        <v>17</v>
      </c>
      <c r="G793" t="b">
        <v>0</v>
      </c>
      <c r="H793">
        <v>2</v>
      </c>
      <c r="I793">
        <v>2</v>
      </c>
      <c r="J793">
        <v>0.22</v>
      </c>
      <c r="K793">
        <v>40561</v>
      </c>
      <c r="L793">
        <v>0.2273</v>
      </c>
      <c r="M793">
        <v>0.82</v>
      </c>
      <c r="N793">
        <v>0.19400000000000001</v>
      </c>
      <c r="O793">
        <v>1</v>
      </c>
      <c r="P793">
        <v>124</v>
      </c>
      <c r="S793" t="s">
        <v>23</v>
      </c>
      <c r="T793" t="s">
        <v>69</v>
      </c>
    </row>
    <row r="794" spans="1:20" x14ac:dyDescent="0.3">
      <c r="A794">
        <v>403</v>
      </c>
      <c r="B794" s="37">
        <v>40561</v>
      </c>
      <c r="F794">
        <v>18</v>
      </c>
      <c r="G794" t="b">
        <v>0</v>
      </c>
      <c r="H794">
        <v>2</v>
      </c>
      <c r="I794">
        <v>2</v>
      </c>
      <c r="J794">
        <v>0.22</v>
      </c>
      <c r="K794">
        <v>40561</v>
      </c>
      <c r="L794">
        <v>0.2273</v>
      </c>
      <c r="M794">
        <v>0.8</v>
      </c>
      <c r="N794">
        <v>0.16420000000000001</v>
      </c>
      <c r="O794">
        <v>1</v>
      </c>
      <c r="P794">
        <v>132</v>
      </c>
      <c r="S794" t="s">
        <v>23</v>
      </c>
      <c r="T794" t="s">
        <v>69</v>
      </c>
    </row>
    <row r="795" spans="1:20" x14ac:dyDescent="0.3">
      <c r="A795">
        <v>404</v>
      </c>
      <c r="B795" s="37">
        <v>40561</v>
      </c>
      <c r="F795">
        <v>19</v>
      </c>
      <c r="G795" t="b">
        <v>0</v>
      </c>
      <c r="H795">
        <v>2</v>
      </c>
      <c r="I795">
        <v>2</v>
      </c>
      <c r="J795">
        <v>0.22</v>
      </c>
      <c r="K795">
        <v>40561</v>
      </c>
      <c r="L795">
        <v>0.2273</v>
      </c>
      <c r="M795">
        <v>0.8</v>
      </c>
      <c r="N795">
        <v>0.1343</v>
      </c>
      <c r="O795">
        <v>1</v>
      </c>
      <c r="P795">
        <v>98</v>
      </c>
      <c r="S795" t="s">
        <v>23</v>
      </c>
      <c r="T795" t="s">
        <v>29</v>
      </c>
    </row>
    <row r="796" spans="1:20" x14ac:dyDescent="0.3">
      <c r="A796">
        <v>405</v>
      </c>
      <c r="B796" s="37">
        <v>40561</v>
      </c>
      <c r="F796">
        <v>20</v>
      </c>
      <c r="G796" t="b">
        <v>0</v>
      </c>
      <c r="H796">
        <v>2</v>
      </c>
      <c r="I796">
        <v>2</v>
      </c>
      <c r="J796">
        <v>0.22</v>
      </c>
      <c r="K796">
        <v>40561</v>
      </c>
      <c r="L796">
        <v>0.2727</v>
      </c>
      <c r="M796">
        <v>0.87</v>
      </c>
      <c r="N796">
        <v>0</v>
      </c>
      <c r="O796">
        <v>0</v>
      </c>
      <c r="P796">
        <v>83</v>
      </c>
      <c r="S796" t="s">
        <v>23</v>
      </c>
      <c r="T796" t="s">
        <v>29</v>
      </c>
    </row>
    <row r="797" spans="1:20" x14ac:dyDescent="0.3">
      <c r="A797">
        <v>406</v>
      </c>
      <c r="B797" s="37">
        <v>40561</v>
      </c>
      <c r="F797">
        <v>21</v>
      </c>
      <c r="G797" t="b">
        <v>0</v>
      </c>
      <c r="H797">
        <v>2</v>
      </c>
      <c r="I797">
        <v>2</v>
      </c>
      <c r="J797">
        <v>0.22</v>
      </c>
      <c r="K797">
        <v>40561</v>
      </c>
      <c r="L797">
        <v>0.2424</v>
      </c>
      <c r="M797">
        <v>0.93</v>
      </c>
      <c r="N797">
        <v>0.1045</v>
      </c>
      <c r="O797">
        <v>0</v>
      </c>
      <c r="P797">
        <v>41</v>
      </c>
      <c r="S797" t="s">
        <v>23</v>
      </c>
      <c r="T797" t="s">
        <v>29</v>
      </c>
    </row>
    <row r="798" spans="1:20" x14ac:dyDescent="0.3">
      <c r="A798">
        <v>407</v>
      </c>
      <c r="B798" s="37">
        <v>40561</v>
      </c>
      <c r="F798">
        <v>22</v>
      </c>
      <c r="G798" t="b">
        <v>0</v>
      </c>
      <c r="H798">
        <v>2</v>
      </c>
      <c r="I798">
        <v>2</v>
      </c>
      <c r="J798">
        <v>0.22</v>
      </c>
      <c r="K798">
        <v>40561</v>
      </c>
      <c r="L798">
        <v>0.2576</v>
      </c>
      <c r="M798">
        <v>0.93</v>
      </c>
      <c r="N798">
        <v>8.9599999999999999E-2</v>
      </c>
      <c r="O798">
        <v>0</v>
      </c>
      <c r="P798">
        <v>33</v>
      </c>
      <c r="S798" t="s">
        <v>23</v>
      </c>
      <c r="T798" t="s">
        <v>29</v>
      </c>
    </row>
    <row r="799" spans="1:20" x14ac:dyDescent="0.3">
      <c r="A799">
        <v>408</v>
      </c>
      <c r="B799" s="37">
        <v>40561</v>
      </c>
      <c r="F799">
        <v>23</v>
      </c>
      <c r="G799" t="b">
        <v>0</v>
      </c>
      <c r="H799">
        <v>2</v>
      </c>
      <c r="I799">
        <v>2</v>
      </c>
      <c r="J799">
        <v>0.22</v>
      </c>
      <c r="K799">
        <v>40561</v>
      </c>
      <c r="L799">
        <v>0.2727</v>
      </c>
      <c r="M799">
        <v>0.93</v>
      </c>
      <c r="N799">
        <v>0</v>
      </c>
      <c r="O799">
        <v>1</v>
      </c>
      <c r="P799">
        <v>19</v>
      </c>
      <c r="S799" t="s">
        <v>23</v>
      </c>
      <c r="T799" t="s">
        <v>29</v>
      </c>
    </row>
    <row r="800" spans="1:20" x14ac:dyDescent="0.3">
      <c r="A800">
        <v>409</v>
      </c>
      <c r="B800" s="37">
        <v>40562</v>
      </c>
      <c r="F800">
        <v>0</v>
      </c>
      <c r="G800" t="b">
        <v>0</v>
      </c>
      <c r="H800">
        <v>3</v>
      </c>
      <c r="I800">
        <v>2</v>
      </c>
      <c r="J800">
        <v>0.22</v>
      </c>
      <c r="K800">
        <v>40562</v>
      </c>
      <c r="L800">
        <v>0.2727</v>
      </c>
      <c r="M800">
        <v>0.93</v>
      </c>
      <c r="N800">
        <v>0</v>
      </c>
      <c r="O800">
        <v>0</v>
      </c>
      <c r="P800">
        <v>3</v>
      </c>
      <c r="S800" t="s">
        <v>24</v>
      </c>
      <c r="T800" t="s">
        <v>29</v>
      </c>
    </row>
    <row r="801" spans="1:20" x14ac:dyDescent="0.3">
      <c r="A801">
        <v>410</v>
      </c>
      <c r="B801" s="37">
        <v>40562</v>
      </c>
      <c r="F801">
        <v>1</v>
      </c>
      <c r="G801" t="b">
        <v>0</v>
      </c>
      <c r="H801">
        <v>3</v>
      </c>
      <c r="I801">
        <v>3</v>
      </c>
      <c r="J801">
        <v>0.22</v>
      </c>
      <c r="K801">
        <v>40562</v>
      </c>
      <c r="L801">
        <v>0.2273</v>
      </c>
      <c r="M801">
        <v>0.93</v>
      </c>
      <c r="N801">
        <v>0.1343</v>
      </c>
      <c r="O801">
        <v>1</v>
      </c>
      <c r="P801">
        <v>6</v>
      </c>
      <c r="S801" t="s">
        <v>24</v>
      </c>
      <c r="T801" t="s">
        <v>29</v>
      </c>
    </row>
    <row r="802" spans="1:20" x14ac:dyDescent="0.3">
      <c r="A802">
        <v>411</v>
      </c>
      <c r="B802" s="37">
        <v>40562</v>
      </c>
      <c r="F802">
        <v>2</v>
      </c>
      <c r="G802" t="b">
        <v>0</v>
      </c>
      <c r="H802">
        <v>3</v>
      </c>
      <c r="I802">
        <v>3</v>
      </c>
      <c r="J802">
        <v>0.22</v>
      </c>
      <c r="K802">
        <v>40562</v>
      </c>
      <c r="L802">
        <v>0.2273</v>
      </c>
      <c r="M802">
        <v>0.93</v>
      </c>
      <c r="N802">
        <v>0.1343</v>
      </c>
      <c r="O802">
        <v>0</v>
      </c>
      <c r="P802">
        <v>3</v>
      </c>
      <c r="S802" t="s">
        <v>24</v>
      </c>
      <c r="T802" t="s">
        <v>29</v>
      </c>
    </row>
    <row r="803" spans="1:20" x14ac:dyDescent="0.3">
      <c r="A803">
        <v>412</v>
      </c>
      <c r="B803" s="37">
        <v>40562</v>
      </c>
      <c r="F803">
        <v>4</v>
      </c>
      <c r="G803" t="b">
        <v>0</v>
      </c>
      <c r="H803">
        <v>3</v>
      </c>
      <c r="I803">
        <v>3</v>
      </c>
      <c r="J803">
        <v>0.22</v>
      </c>
      <c r="K803">
        <v>40562</v>
      </c>
      <c r="L803">
        <v>0.2273</v>
      </c>
      <c r="M803">
        <v>0.93</v>
      </c>
      <c r="N803">
        <v>0.1343</v>
      </c>
      <c r="O803">
        <v>1</v>
      </c>
      <c r="P803">
        <v>1</v>
      </c>
      <c r="S803" t="s">
        <v>24</v>
      </c>
      <c r="T803" t="s">
        <v>29</v>
      </c>
    </row>
    <row r="804" spans="1:20" x14ac:dyDescent="0.3">
      <c r="A804">
        <v>413</v>
      </c>
      <c r="B804" s="37">
        <v>40562</v>
      </c>
      <c r="F804">
        <v>5</v>
      </c>
      <c r="G804" t="b">
        <v>0</v>
      </c>
      <c r="H804">
        <v>3</v>
      </c>
      <c r="I804">
        <v>2</v>
      </c>
      <c r="J804">
        <v>0.22</v>
      </c>
      <c r="K804">
        <v>40562</v>
      </c>
      <c r="L804">
        <v>0.2576</v>
      </c>
      <c r="M804">
        <v>0.93</v>
      </c>
      <c r="N804">
        <v>8.9599999999999999E-2</v>
      </c>
      <c r="O804">
        <v>0</v>
      </c>
      <c r="P804">
        <v>7</v>
      </c>
      <c r="S804" t="s">
        <v>24</v>
      </c>
      <c r="T804" t="s">
        <v>29</v>
      </c>
    </row>
    <row r="805" spans="1:20" x14ac:dyDescent="0.3">
      <c r="A805">
        <v>414</v>
      </c>
      <c r="B805" s="37">
        <v>40562</v>
      </c>
      <c r="F805">
        <v>6</v>
      </c>
      <c r="G805" t="b">
        <v>0</v>
      </c>
      <c r="H805">
        <v>3</v>
      </c>
      <c r="I805">
        <v>2</v>
      </c>
      <c r="J805">
        <v>0.22</v>
      </c>
      <c r="K805">
        <v>40562</v>
      </c>
      <c r="L805">
        <v>0.2576</v>
      </c>
      <c r="M805">
        <v>0.93</v>
      </c>
      <c r="N805">
        <v>8.9599999999999999E-2</v>
      </c>
      <c r="O805">
        <v>0</v>
      </c>
      <c r="P805">
        <v>32</v>
      </c>
      <c r="S805" t="s">
        <v>24</v>
      </c>
      <c r="T805" t="s">
        <v>69</v>
      </c>
    </row>
    <row r="806" spans="1:20" x14ac:dyDescent="0.3">
      <c r="A806">
        <v>415</v>
      </c>
      <c r="B806" s="37">
        <v>40562</v>
      </c>
      <c r="F806">
        <v>7</v>
      </c>
      <c r="G806" t="b">
        <v>0</v>
      </c>
      <c r="H806">
        <v>3</v>
      </c>
      <c r="I806">
        <v>2</v>
      </c>
      <c r="J806">
        <v>0.24</v>
      </c>
      <c r="K806">
        <v>40562</v>
      </c>
      <c r="L806">
        <v>0.2576</v>
      </c>
      <c r="M806">
        <v>0.92</v>
      </c>
      <c r="N806">
        <v>0.1045</v>
      </c>
      <c r="O806">
        <v>1</v>
      </c>
      <c r="P806">
        <v>89</v>
      </c>
      <c r="S806" t="s">
        <v>24</v>
      </c>
      <c r="T806" t="s">
        <v>69</v>
      </c>
    </row>
    <row r="807" spans="1:20" x14ac:dyDescent="0.3">
      <c r="A807">
        <v>416</v>
      </c>
      <c r="B807" s="37">
        <v>40562</v>
      </c>
      <c r="F807">
        <v>8</v>
      </c>
      <c r="G807" t="b">
        <v>0</v>
      </c>
      <c r="H807">
        <v>3</v>
      </c>
      <c r="I807">
        <v>2</v>
      </c>
      <c r="J807">
        <v>0.24</v>
      </c>
      <c r="K807">
        <v>40562</v>
      </c>
      <c r="L807">
        <v>0.2576</v>
      </c>
      <c r="M807">
        <v>0.93</v>
      </c>
      <c r="N807">
        <v>0.1045</v>
      </c>
      <c r="O807">
        <v>1</v>
      </c>
      <c r="P807">
        <v>196</v>
      </c>
      <c r="S807" t="s">
        <v>24</v>
      </c>
      <c r="T807" t="s">
        <v>69</v>
      </c>
    </row>
    <row r="808" spans="1:20" x14ac:dyDescent="0.3">
      <c r="A808">
        <v>417</v>
      </c>
      <c r="B808" s="37">
        <v>40562</v>
      </c>
      <c r="F808">
        <v>9</v>
      </c>
      <c r="G808" t="b">
        <v>0</v>
      </c>
      <c r="H808">
        <v>3</v>
      </c>
      <c r="I808">
        <v>2</v>
      </c>
      <c r="J808">
        <v>0.24</v>
      </c>
      <c r="K808">
        <v>40562</v>
      </c>
      <c r="L808">
        <v>0.2576</v>
      </c>
      <c r="M808">
        <v>0.93</v>
      </c>
      <c r="N808">
        <v>0.1045</v>
      </c>
      <c r="O808">
        <v>2</v>
      </c>
      <c r="P808">
        <v>107</v>
      </c>
      <c r="S808" t="s">
        <v>24</v>
      </c>
      <c r="T808" t="s">
        <v>69</v>
      </c>
    </row>
    <row r="809" spans="1:20" x14ac:dyDescent="0.3">
      <c r="A809">
        <v>418</v>
      </c>
      <c r="B809" s="37">
        <v>40562</v>
      </c>
      <c r="F809">
        <v>10</v>
      </c>
      <c r="G809" t="b">
        <v>0</v>
      </c>
      <c r="H809">
        <v>3</v>
      </c>
      <c r="I809">
        <v>2</v>
      </c>
      <c r="J809">
        <v>0.26</v>
      </c>
      <c r="K809">
        <v>40562</v>
      </c>
      <c r="L809">
        <v>0.2727</v>
      </c>
      <c r="M809">
        <v>0.93</v>
      </c>
      <c r="N809">
        <v>0.1343</v>
      </c>
      <c r="O809">
        <v>1</v>
      </c>
      <c r="P809">
        <v>46</v>
      </c>
      <c r="S809" t="s">
        <v>24</v>
      </c>
      <c r="T809" t="s">
        <v>69</v>
      </c>
    </row>
    <row r="810" spans="1:20" x14ac:dyDescent="0.3">
      <c r="A810">
        <v>419</v>
      </c>
      <c r="B810" s="37">
        <v>40562</v>
      </c>
      <c r="F810">
        <v>11</v>
      </c>
      <c r="G810" t="b">
        <v>0</v>
      </c>
      <c r="H810">
        <v>3</v>
      </c>
      <c r="I810">
        <v>2</v>
      </c>
      <c r="J810">
        <v>0.28000000000000003</v>
      </c>
      <c r="K810">
        <v>40562</v>
      </c>
      <c r="L810">
        <v>0.30299999999999999</v>
      </c>
      <c r="M810">
        <v>0.87</v>
      </c>
      <c r="N810">
        <v>8.9599999999999999E-2</v>
      </c>
      <c r="O810">
        <v>5</v>
      </c>
      <c r="P810">
        <v>47</v>
      </c>
      <c r="S810" t="s">
        <v>24</v>
      </c>
      <c r="T810" t="s">
        <v>69</v>
      </c>
    </row>
    <row r="811" spans="1:20" x14ac:dyDescent="0.3">
      <c r="A811">
        <v>420</v>
      </c>
      <c r="B811" s="37">
        <v>40562</v>
      </c>
      <c r="F811">
        <v>12</v>
      </c>
      <c r="G811" t="b">
        <v>0</v>
      </c>
      <c r="H811">
        <v>3</v>
      </c>
      <c r="I811">
        <v>2</v>
      </c>
      <c r="J811">
        <v>0.3</v>
      </c>
      <c r="K811">
        <v>40562</v>
      </c>
      <c r="L811">
        <v>0.31819999999999998</v>
      </c>
      <c r="M811">
        <v>0.81</v>
      </c>
      <c r="N811">
        <v>8.9599999999999999E-2</v>
      </c>
      <c r="O811">
        <v>5</v>
      </c>
      <c r="P811">
        <v>65</v>
      </c>
      <c r="S811" t="s">
        <v>24</v>
      </c>
      <c r="T811" t="s">
        <v>69</v>
      </c>
    </row>
    <row r="812" spans="1:20" x14ac:dyDescent="0.3">
      <c r="A812">
        <v>421</v>
      </c>
      <c r="B812" s="37">
        <v>40562</v>
      </c>
      <c r="F812">
        <v>13</v>
      </c>
      <c r="G812" t="b">
        <v>0</v>
      </c>
      <c r="H812">
        <v>3</v>
      </c>
      <c r="I812">
        <v>1</v>
      </c>
      <c r="J812">
        <v>0.4</v>
      </c>
      <c r="K812">
        <v>40562</v>
      </c>
      <c r="L812">
        <v>0.40910000000000002</v>
      </c>
      <c r="M812">
        <v>0.62</v>
      </c>
      <c r="N812">
        <v>0.28360000000000002</v>
      </c>
      <c r="O812">
        <v>11</v>
      </c>
      <c r="P812">
        <v>67</v>
      </c>
      <c r="S812" t="s">
        <v>24</v>
      </c>
      <c r="T812" t="s">
        <v>69</v>
      </c>
    </row>
    <row r="813" spans="1:20" x14ac:dyDescent="0.3">
      <c r="A813">
        <v>422</v>
      </c>
      <c r="B813" s="37">
        <v>40562</v>
      </c>
      <c r="F813">
        <v>14</v>
      </c>
      <c r="G813" t="b">
        <v>0</v>
      </c>
      <c r="H813">
        <v>3</v>
      </c>
      <c r="I813">
        <v>1</v>
      </c>
      <c r="J813">
        <v>0.4</v>
      </c>
      <c r="K813">
        <v>40562</v>
      </c>
      <c r="L813">
        <v>0.40910000000000002</v>
      </c>
      <c r="M813">
        <v>0.57999999999999996</v>
      </c>
      <c r="N813">
        <v>0.25369999999999998</v>
      </c>
      <c r="O813">
        <v>7</v>
      </c>
      <c r="P813">
        <v>68</v>
      </c>
      <c r="S813" t="s">
        <v>24</v>
      </c>
      <c r="T813" t="s">
        <v>69</v>
      </c>
    </row>
    <row r="814" spans="1:20" x14ac:dyDescent="0.3">
      <c r="A814">
        <v>423</v>
      </c>
      <c r="B814" s="37">
        <v>40562</v>
      </c>
      <c r="F814">
        <v>15</v>
      </c>
      <c r="G814" t="b">
        <v>0</v>
      </c>
      <c r="H814">
        <v>3</v>
      </c>
      <c r="I814">
        <v>1</v>
      </c>
      <c r="J814">
        <v>0.4</v>
      </c>
      <c r="K814">
        <v>40562</v>
      </c>
      <c r="L814">
        <v>0.40910000000000002</v>
      </c>
      <c r="M814">
        <v>0.54</v>
      </c>
      <c r="N814">
        <v>0.28360000000000002</v>
      </c>
      <c r="O814">
        <v>4</v>
      </c>
      <c r="P814">
        <v>78</v>
      </c>
      <c r="S814" t="s">
        <v>24</v>
      </c>
      <c r="T814" t="s">
        <v>69</v>
      </c>
    </row>
    <row r="815" spans="1:20" x14ac:dyDescent="0.3">
      <c r="A815">
        <v>424</v>
      </c>
      <c r="B815" s="37">
        <v>40562</v>
      </c>
      <c r="F815">
        <v>16</v>
      </c>
      <c r="G815" t="b">
        <v>0</v>
      </c>
      <c r="H815">
        <v>3</v>
      </c>
      <c r="I815">
        <v>1</v>
      </c>
      <c r="J815">
        <v>0.38</v>
      </c>
      <c r="K815">
        <v>40562</v>
      </c>
      <c r="L815">
        <v>0.39389999999999997</v>
      </c>
      <c r="M815">
        <v>0.57999999999999996</v>
      </c>
      <c r="N815">
        <v>0.3881</v>
      </c>
      <c r="O815">
        <v>10</v>
      </c>
      <c r="P815">
        <v>94</v>
      </c>
      <c r="S815" t="s">
        <v>24</v>
      </c>
      <c r="T815" t="s">
        <v>69</v>
      </c>
    </row>
    <row r="816" spans="1:20" x14ac:dyDescent="0.3">
      <c r="A816">
        <v>425</v>
      </c>
      <c r="B816" s="37">
        <v>40562</v>
      </c>
      <c r="F816">
        <v>17</v>
      </c>
      <c r="G816" t="b">
        <v>0</v>
      </c>
      <c r="H816">
        <v>3</v>
      </c>
      <c r="I816">
        <v>1</v>
      </c>
      <c r="J816">
        <v>0.36</v>
      </c>
      <c r="K816">
        <v>40562</v>
      </c>
      <c r="L816">
        <v>0.33329999999999999</v>
      </c>
      <c r="M816">
        <v>0.56999999999999995</v>
      </c>
      <c r="N816">
        <v>0.32840000000000003</v>
      </c>
      <c r="O816">
        <v>7</v>
      </c>
      <c r="P816">
        <v>190</v>
      </c>
      <c r="S816" t="s">
        <v>24</v>
      </c>
      <c r="T816" t="s">
        <v>69</v>
      </c>
    </row>
    <row r="817" spans="1:20" x14ac:dyDescent="0.3">
      <c r="A817">
        <v>426</v>
      </c>
      <c r="B817" s="37">
        <v>40562</v>
      </c>
      <c r="F817">
        <v>18</v>
      </c>
      <c r="G817" t="b">
        <v>0</v>
      </c>
      <c r="H817">
        <v>3</v>
      </c>
      <c r="I817">
        <v>1</v>
      </c>
      <c r="J817">
        <v>0.34</v>
      </c>
      <c r="K817">
        <v>40562</v>
      </c>
      <c r="L817">
        <v>0.31819999999999998</v>
      </c>
      <c r="M817">
        <v>0.61</v>
      </c>
      <c r="N817">
        <v>0.28360000000000002</v>
      </c>
      <c r="O817">
        <v>5</v>
      </c>
      <c r="P817">
        <v>156</v>
      </c>
      <c r="S817" t="s">
        <v>24</v>
      </c>
      <c r="T817" t="s">
        <v>69</v>
      </c>
    </row>
    <row r="818" spans="1:20" x14ac:dyDescent="0.3">
      <c r="A818">
        <v>427</v>
      </c>
      <c r="B818" s="37">
        <v>40562</v>
      </c>
      <c r="F818">
        <v>19</v>
      </c>
      <c r="G818" t="b">
        <v>0</v>
      </c>
      <c r="H818">
        <v>3</v>
      </c>
      <c r="I818">
        <v>1</v>
      </c>
      <c r="J818">
        <v>0.32</v>
      </c>
      <c r="K818">
        <v>40562</v>
      </c>
      <c r="L818">
        <v>0.28789999999999999</v>
      </c>
      <c r="M818">
        <v>0.56999999999999995</v>
      </c>
      <c r="N818">
        <v>0.41789999999999999</v>
      </c>
      <c r="O818">
        <v>4</v>
      </c>
      <c r="P818">
        <v>108</v>
      </c>
      <c r="S818" t="s">
        <v>24</v>
      </c>
      <c r="T818" t="s">
        <v>29</v>
      </c>
    </row>
    <row r="819" spans="1:20" x14ac:dyDescent="0.3">
      <c r="A819">
        <v>428</v>
      </c>
      <c r="B819" s="37">
        <v>40562</v>
      </c>
      <c r="F819">
        <v>20</v>
      </c>
      <c r="G819" t="b">
        <v>0</v>
      </c>
      <c r="H819">
        <v>3</v>
      </c>
      <c r="I819">
        <v>1</v>
      </c>
      <c r="J819">
        <v>0.32</v>
      </c>
      <c r="K819">
        <v>40562</v>
      </c>
      <c r="L819">
        <v>0.30299999999999999</v>
      </c>
      <c r="M819">
        <v>0.49</v>
      </c>
      <c r="N819">
        <v>0.29849999999999999</v>
      </c>
      <c r="O819">
        <v>2</v>
      </c>
      <c r="P819">
        <v>74</v>
      </c>
      <c r="S819" t="s">
        <v>24</v>
      </c>
      <c r="T819" t="s">
        <v>29</v>
      </c>
    </row>
    <row r="820" spans="1:20" x14ac:dyDescent="0.3">
      <c r="A820">
        <v>429</v>
      </c>
      <c r="B820" s="37">
        <v>40562</v>
      </c>
      <c r="F820">
        <v>21</v>
      </c>
      <c r="G820" t="b">
        <v>0</v>
      </c>
      <c r="H820">
        <v>3</v>
      </c>
      <c r="I820">
        <v>1</v>
      </c>
      <c r="J820">
        <v>0.32</v>
      </c>
      <c r="K820">
        <v>40562</v>
      </c>
      <c r="L820">
        <v>0.28789999999999999</v>
      </c>
      <c r="M820">
        <v>0.49</v>
      </c>
      <c r="N820">
        <v>0.41789999999999999</v>
      </c>
      <c r="O820">
        <v>4</v>
      </c>
      <c r="P820">
        <v>55</v>
      </c>
      <c r="S820" t="s">
        <v>24</v>
      </c>
      <c r="T820" t="s">
        <v>29</v>
      </c>
    </row>
    <row r="821" spans="1:20" x14ac:dyDescent="0.3">
      <c r="A821">
        <v>430</v>
      </c>
      <c r="B821" s="37">
        <v>40562</v>
      </c>
      <c r="F821">
        <v>22</v>
      </c>
      <c r="G821" t="b">
        <v>0</v>
      </c>
      <c r="H821">
        <v>3</v>
      </c>
      <c r="I821">
        <v>1</v>
      </c>
      <c r="J821">
        <v>0.3</v>
      </c>
      <c r="K821">
        <v>40562</v>
      </c>
      <c r="L821">
        <v>0.30299999999999999</v>
      </c>
      <c r="M821">
        <v>0.52</v>
      </c>
      <c r="N821">
        <v>0.16420000000000001</v>
      </c>
      <c r="O821">
        <v>6</v>
      </c>
      <c r="P821">
        <v>53</v>
      </c>
      <c r="S821" t="s">
        <v>24</v>
      </c>
      <c r="T821" t="s">
        <v>29</v>
      </c>
    </row>
    <row r="822" spans="1:20" x14ac:dyDescent="0.3">
      <c r="A822">
        <v>431</v>
      </c>
      <c r="B822" s="37">
        <v>40562</v>
      </c>
      <c r="F822">
        <v>23</v>
      </c>
      <c r="G822" t="b">
        <v>0</v>
      </c>
      <c r="H822">
        <v>3</v>
      </c>
      <c r="I822">
        <v>1</v>
      </c>
      <c r="J822">
        <v>0.3</v>
      </c>
      <c r="K822">
        <v>40562</v>
      </c>
      <c r="L822">
        <v>0.2727</v>
      </c>
      <c r="M822">
        <v>0.52</v>
      </c>
      <c r="N822">
        <v>0.4627</v>
      </c>
      <c r="O822">
        <v>1</v>
      </c>
      <c r="P822">
        <v>27</v>
      </c>
      <c r="S822" t="s">
        <v>24</v>
      </c>
      <c r="T822" t="s">
        <v>29</v>
      </c>
    </row>
    <row r="823" spans="1:20" x14ac:dyDescent="0.3">
      <c r="A823">
        <v>432</v>
      </c>
      <c r="B823" s="37">
        <v>40563</v>
      </c>
      <c r="F823">
        <v>0</v>
      </c>
      <c r="G823" t="b">
        <v>0</v>
      </c>
      <c r="H823">
        <v>4</v>
      </c>
      <c r="I823">
        <v>1</v>
      </c>
      <c r="J823">
        <v>0.26</v>
      </c>
      <c r="K823">
        <v>40563</v>
      </c>
      <c r="L823">
        <v>0.2273</v>
      </c>
      <c r="M823">
        <v>0.56000000000000005</v>
      </c>
      <c r="N823">
        <v>0.3881</v>
      </c>
      <c r="O823">
        <v>5</v>
      </c>
      <c r="P823">
        <v>8</v>
      </c>
      <c r="S823" t="s">
        <v>25</v>
      </c>
      <c r="T823" t="s">
        <v>29</v>
      </c>
    </row>
    <row r="824" spans="1:20" x14ac:dyDescent="0.3">
      <c r="A824">
        <v>433</v>
      </c>
      <c r="B824" s="37">
        <v>40563</v>
      </c>
      <c r="F824">
        <v>1</v>
      </c>
      <c r="G824" t="b">
        <v>0</v>
      </c>
      <c r="H824">
        <v>4</v>
      </c>
      <c r="I824">
        <v>1</v>
      </c>
      <c r="J824">
        <v>0.26</v>
      </c>
      <c r="K824">
        <v>40563</v>
      </c>
      <c r="L824">
        <v>0.2727</v>
      </c>
      <c r="M824">
        <v>0.56000000000000005</v>
      </c>
      <c r="N824">
        <v>0</v>
      </c>
      <c r="O824">
        <v>2</v>
      </c>
      <c r="P824">
        <v>3</v>
      </c>
      <c r="S824" t="s">
        <v>25</v>
      </c>
      <c r="T824" t="s">
        <v>29</v>
      </c>
    </row>
    <row r="825" spans="1:20" x14ac:dyDescent="0.3">
      <c r="A825">
        <v>434</v>
      </c>
      <c r="B825" s="37">
        <v>40563</v>
      </c>
      <c r="F825">
        <v>2</v>
      </c>
      <c r="G825" t="b">
        <v>0</v>
      </c>
      <c r="H825">
        <v>4</v>
      </c>
      <c r="I825">
        <v>1</v>
      </c>
      <c r="J825">
        <v>0.26</v>
      </c>
      <c r="K825">
        <v>40563</v>
      </c>
      <c r="L825">
        <v>0.2727</v>
      </c>
      <c r="M825">
        <v>0.56000000000000005</v>
      </c>
      <c r="N825">
        <v>0</v>
      </c>
      <c r="O825">
        <v>0</v>
      </c>
      <c r="P825">
        <v>2</v>
      </c>
      <c r="S825" t="s">
        <v>25</v>
      </c>
      <c r="T825" t="s">
        <v>29</v>
      </c>
    </row>
    <row r="826" spans="1:20" x14ac:dyDescent="0.3">
      <c r="A826">
        <v>435</v>
      </c>
      <c r="B826" s="37">
        <v>40563</v>
      </c>
      <c r="F826">
        <v>3</v>
      </c>
      <c r="G826" t="b">
        <v>0</v>
      </c>
      <c r="H826">
        <v>4</v>
      </c>
      <c r="I826">
        <v>1</v>
      </c>
      <c r="J826">
        <v>0.26</v>
      </c>
      <c r="K826">
        <v>40563</v>
      </c>
      <c r="L826">
        <v>0.2576</v>
      </c>
      <c r="M826">
        <v>0.56000000000000005</v>
      </c>
      <c r="N826">
        <v>0.16420000000000001</v>
      </c>
      <c r="O826">
        <v>0</v>
      </c>
      <c r="P826">
        <v>1</v>
      </c>
      <c r="S826" t="s">
        <v>25</v>
      </c>
      <c r="T826" t="s">
        <v>29</v>
      </c>
    </row>
    <row r="827" spans="1:20" x14ac:dyDescent="0.3">
      <c r="A827">
        <v>436</v>
      </c>
      <c r="B827" s="37">
        <v>40563</v>
      </c>
      <c r="F827">
        <v>4</v>
      </c>
      <c r="G827" t="b">
        <v>0</v>
      </c>
      <c r="H827">
        <v>4</v>
      </c>
      <c r="I827">
        <v>1</v>
      </c>
      <c r="J827">
        <v>0.26</v>
      </c>
      <c r="K827">
        <v>40563</v>
      </c>
      <c r="L827">
        <v>0.2576</v>
      </c>
      <c r="M827">
        <v>0.56000000000000005</v>
      </c>
      <c r="N827">
        <v>0.16420000000000001</v>
      </c>
      <c r="O827">
        <v>0</v>
      </c>
      <c r="P827">
        <v>1</v>
      </c>
      <c r="S827" t="s">
        <v>25</v>
      </c>
      <c r="T827" t="s">
        <v>29</v>
      </c>
    </row>
    <row r="828" spans="1:20" x14ac:dyDescent="0.3">
      <c r="A828">
        <v>437</v>
      </c>
      <c r="B828" s="37">
        <v>40563</v>
      </c>
      <c r="F828">
        <v>5</v>
      </c>
      <c r="G828" t="b">
        <v>0</v>
      </c>
      <c r="H828">
        <v>4</v>
      </c>
      <c r="I828">
        <v>1</v>
      </c>
      <c r="J828">
        <v>0.24</v>
      </c>
      <c r="K828">
        <v>40563</v>
      </c>
      <c r="L828">
        <v>0.2273</v>
      </c>
      <c r="M828">
        <v>0.6</v>
      </c>
      <c r="N828">
        <v>0.22389999999999999</v>
      </c>
      <c r="O828">
        <v>0</v>
      </c>
      <c r="P828">
        <v>6</v>
      </c>
      <c r="S828" t="s">
        <v>25</v>
      </c>
      <c r="T828" t="s">
        <v>29</v>
      </c>
    </row>
    <row r="829" spans="1:20" x14ac:dyDescent="0.3">
      <c r="A829">
        <v>438</v>
      </c>
      <c r="B829" s="37">
        <v>40563</v>
      </c>
      <c r="F829">
        <v>6</v>
      </c>
      <c r="G829" t="b">
        <v>0</v>
      </c>
      <c r="H829">
        <v>4</v>
      </c>
      <c r="I829">
        <v>1</v>
      </c>
      <c r="J829">
        <v>0.22</v>
      </c>
      <c r="K829">
        <v>40563</v>
      </c>
      <c r="L829">
        <v>0.21210000000000001</v>
      </c>
      <c r="M829">
        <v>0.6</v>
      </c>
      <c r="N829">
        <v>0.22389999999999999</v>
      </c>
      <c r="O829">
        <v>0</v>
      </c>
      <c r="P829">
        <v>35</v>
      </c>
      <c r="S829" t="s">
        <v>25</v>
      </c>
      <c r="T829" t="s">
        <v>69</v>
      </c>
    </row>
    <row r="830" spans="1:20" x14ac:dyDescent="0.3">
      <c r="A830">
        <v>439</v>
      </c>
      <c r="B830" s="37">
        <v>40563</v>
      </c>
      <c r="F830">
        <v>7</v>
      </c>
      <c r="G830" t="b">
        <v>0</v>
      </c>
      <c r="H830">
        <v>4</v>
      </c>
      <c r="I830">
        <v>1</v>
      </c>
      <c r="J830">
        <v>0.22</v>
      </c>
      <c r="K830">
        <v>40563</v>
      </c>
      <c r="L830">
        <v>0.21210000000000001</v>
      </c>
      <c r="M830">
        <v>0.55000000000000004</v>
      </c>
      <c r="N830">
        <v>0.22389999999999999</v>
      </c>
      <c r="O830">
        <v>1</v>
      </c>
      <c r="P830">
        <v>100</v>
      </c>
      <c r="S830" t="s">
        <v>25</v>
      </c>
      <c r="T830" t="s">
        <v>69</v>
      </c>
    </row>
    <row r="831" spans="1:20" x14ac:dyDescent="0.3">
      <c r="A831">
        <v>440</v>
      </c>
      <c r="B831" s="37">
        <v>40563</v>
      </c>
      <c r="F831">
        <v>8</v>
      </c>
      <c r="G831" t="b">
        <v>0</v>
      </c>
      <c r="H831">
        <v>4</v>
      </c>
      <c r="I831">
        <v>1</v>
      </c>
      <c r="J831">
        <v>0.22</v>
      </c>
      <c r="K831">
        <v>40563</v>
      </c>
      <c r="L831">
        <v>0.21210000000000001</v>
      </c>
      <c r="M831">
        <v>0.55000000000000004</v>
      </c>
      <c r="N831">
        <v>0.28360000000000002</v>
      </c>
      <c r="O831">
        <v>2</v>
      </c>
      <c r="P831">
        <v>247</v>
      </c>
      <c r="S831" t="s">
        <v>25</v>
      </c>
      <c r="T831" t="s">
        <v>69</v>
      </c>
    </row>
    <row r="832" spans="1:20" x14ac:dyDescent="0.3">
      <c r="A832">
        <v>441</v>
      </c>
      <c r="B832" s="37">
        <v>40563</v>
      </c>
      <c r="F832">
        <v>9</v>
      </c>
      <c r="G832" t="b">
        <v>0</v>
      </c>
      <c r="H832">
        <v>4</v>
      </c>
      <c r="I832">
        <v>2</v>
      </c>
      <c r="J832">
        <v>0.24</v>
      </c>
      <c r="K832">
        <v>40563</v>
      </c>
      <c r="L832">
        <v>0.2273</v>
      </c>
      <c r="M832">
        <v>0.52</v>
      </c>
      <c r="N832">
        <v>0.22389999999999999</v>
      </c>
      <c r="O832">
        <v>3</v>
      </c>
      <c r="P832">
        <v>140</v>
      </c>
      <c r="S832" t="s">
        <v>25</v>
      </c>
      <c r="T832" t="s">
        <v>69</v>
      </c>
    </row>
    <row r="833" spans="1:20" x14ac:dyDescent="0.3">
      <c r="A833">
        <v>442</v>
      </c>
      <c r="B833" s="37">
        <v>40563</v>
      </c>
      <c r="F833">
        <v>10</v>
      </c>
      <c r="G833" t="b">
        <v>0</v>
      </c>
      <c r="H833">
        <v>4</v>
      </c>
      <c r="I833">
        <v>1</v>
      </c>
      <c r="J833">
        <v>0.26</v>
      </c>
      <c r="K833">
        <v>40563</v>
      </c>
      <c r="L833">
        <v>0.2273</v>
      </c>
      <c r="M833">
        <v>0.48</v>
      </c>
      <c r="N833">
        <v>0.29849999999999999</v>
      </c>
      <c r="O833">
        <v>1</v>
      </c>
      <c r="P833">
        <v>56</v>
      </c>
      <c r="S833" t="s">
        <v>25</v>
      </c>
      <c r="T833" t="s">
        <v>69</v>
      </c>
    </row>
    <row r="834" spans="1:20" x14ac:dyDescent="0.3">
      <c r="A834">
        <v>443</v>
      </c>
      <c r="B834" s="37">
        <v>40563</v>
      </c>
      <c r="F834">
        <v>11</v>
      </c>
      <c r="G834" t="b">
        <v>0</v>
      </c>
      <c r="H834">
        <v>4</v>
      </c>
      <c r="I834">
        <v>2</v>
      </c>
      <c r="J834">
        <v>0.28000000000000003</v>
      </c>
      <c r="K834">
        <v>40563</v>
      </c>
      <c r="L834">
        <v>0.2727</v>
      </c>
      <c r="M834">
        <v>0.45</v>
      </c>
      <c r="N834">
        <v>0.16420000000000001</v>
      </c>
      <c r="O834">
        <v>5</v>
      </c>
      <c r="P834">
        <v>63</v>
      </c>
      <c r="S834" t="s">
        <v>25</v>
      </c>
      <c r="T834" t="s">
        <v>69</v>
      </c>
    </row>
    <row r="835" spans="1:20" x14ac:dyDescent="0.3">
      <c r="A835">
        <v>444</v>
      </c>
      <c r="B835" s="37">
        <v>40563</v>
      </c>
      <c r="F835">
        <v>12</v>
      </c>
      <c r="G835" t="b">
        <v>0</v>
      </c>
      <c r="H835">
        <v>4</v>
      </c>
      <c r="I835">
        <v>2</v>
      </c>
      <c r="J835">
        <v>0.3</v>
      </c>
      <c r="K835">
        <v>40563</v>
      </c>
      <c r="L835">
        <v>0.33329999999999999</v>
      </c>
      <c r="M835">
        <v>0.42</v>
      </c>
      <c r="N835">
        <v>0</v>
      </c>
      <c r="O835">
        <v>7</v>
      </c>
      <c r="P835">
        <v>77</v>
      </c>
      <c r="S835" t="s">
        <v>25</v>
      </c>
      <c r="T835" t="s">
        <v>69</v>
      </c>
    </row>
    <row r="836" spans="1:20" x14ac:dyDescent="0.3">
      <c r="A836">
        <v>445</v>
      </c>
      <c r="B836" s="37">
        <v>40563</v>
      </c>
      <c r="F836">
        <v>13</v>
      </c>
      <c r="G836" t="b">
        <v>0</v>
      </c>
      <c r="H836">
        <v>4</v>
      </c>
      <c r="I836">
        <v>2</v>
      </c>
      <c r="J836">
        <v>0.28000000000000003</v>
      </c>
      <c r="K836">
        <v>40563</v>
      </c>
      <c r="L836">
        <v>0.28789999999999999</v>
      </c>
      <c r="M836">
        <v>0.45</v>
      </c>
      <c r="N836">
        <v>0.1045</v>
      </c>
      <c r="O836">
        <v>12</v>
      </c>
      <c r="P836">
        <v>86</v>
      </c>
      <c r="S836" t="s">
        <v>25</v>
      </c>
      <c r="T836" t="s">
        <v>69</v>
      </c>
    </row>
    <row r="837" spans="1:20" x14ac:dyDescent="0.3">
      <c r="A837">
        <v>446</v>
      </c>
      <c r="B837" s="37">
        <v>40563</v>
      </c>
      <c r="F837">
        <v>14</v>
      </c>
      <c r="G837" t="b">
        <v>0</v>
      </c>
      <c r="H837">
        <v>4</v>
      </c>
      <c r="I837">
        <v>2</v>
      </c>
      <c r="J837">
        <v>0.3</v>
      </c>
      <c r="K837">
        <v>40563</v>
      </c>
      <c r="L837">
        <v>0.30299999999999999</v>
      </c>
      <c r="M837">
        <v>0.45</v>
      </c>
      <c r="N837">
        <v>0.1343</v>
      </c>
      <c r="O837">
        <v>6</v>
      </c>
      <c r="P837">
        <v>75</v>
      </c>
      <c r="S837" t="s">
        <v>25</v>
      </c>
      <c r="T837" t="s">
        <v>69</v>
      </c>
    </row>
    <row r="838" spans="1:20" x14ac:dyDescent="0.3">
      <c r="A838">
        <v>447</v>
      </c>
      <c r="B838" s="37">
        <v>40563</v>
      </c>
      <c r="F838">
        <v>15</v>
      </c>
      <c r="G838" t="b">
        <v>0</v>
      </c>
      <c r="H838">
        <v>4</v>
      </c>
      <c r="I838">
        <v>2</v>
      </c>
      <c r="J838">
        <v>0.32</v>
      </c>
      <c r="K838">
        <v>40563</v>
      </c>
      <c r="L838">
        <v>0.31819999999999998</v>
      </c>
      <c r="M838">
        <v>0.45</v>
      </c>
      <c r="N838">
        <v>0.19400000000000001</v>
      </c>
      <c r="O838">
        <v>8</v>
      </c>
      <c r="P838">
        <v>62</v>
      </c>
      <c r="S838" t="s">
        <v>25</v>
      </c>
      <c r="T838" t="s">
        <v>69</v>
      </c>
    </row>
    <row r="839" spans="1:20" x14ac:dyDescent="0.3">
      <c r="A839">
        <v>448</v>
      </c>
      <c r="B839" s="37">
        <v>40563</v>
      </c>
      <c r="F839">
        <v>16</v>
      </c>
      <c r="G839" t="b">
        <v>0</v>
      </c>
      <c r="H839">
        <v>4</v>
      </c>
      <c r="I839">
        <v>2</v>
      </c>
      <c r="J839">
        <v>0.3</v>
      </c>
      <c r="K839">
        <v>40563</v>
      </c>
      <c r="L839">
        <v>0.30299999999999999</v>
      </c>
      <c r="M839">
        <v>0.49</v>
      </c>
      <c r="N839">
        <v>0.1343</v>
      </c>
      <c r="O839">
        <v>8</v>
      </c>
      <c r="P839">
        <v>83</v>
      </c>
      <c r="S839" t="s">
        <v>25</v>
      </c>
      <c r="T839" t="s">
        <v>69</v>
      </c>
    </row>
    <row r="840" spans="1:20" x14ac:dyDescent="0.3">
      <c r="A840">
        <v>449</v>
      </c>
      <c r="B840" s="37">
        <v>40563</v>
      </c>
      <c r="F840">
        <v>17</v>
      </c>
      <c r="G840" t="b">
        <v>0</v>
      </c>
      <c r="H840">
        <v>4</v>
      </c>
      <c r="I840">
        <v>2</v>
      </c>
      <c r="J840">
        <v>0.3</v>
      </c>
      <c r="K840">
        <v>40563</v>
      </c>
      <c r="L840">
        <v>0.31819999999999998</v>
      </c>
      <c r="M840">
        <v>0.49</v>
      </c>
      <c r="N840">
        <v>0.1045</v>
      </c>
      <c r="O840">
        <v>8</v>
      </c>
      <c r="P840">
        <v>207</v>
      </c>
      <c r="S840" t="s">
        <v>25</v>
      </c>
      <c r="T840" t="s">
        <v>69</v>
      </c>
    </row>
    <row r="841" spans="1:20" x14ac:dyDescent="0.3">
      <c r="A841">
        <v>450</v>
      </c>
      <c r="B841" s="37">
        <v>40563</v>
      </c>
      <c r="F841">
        <v>18</v>
      </c>
      <c r="G841" t="b">
        <v>0</v>
      </c>
      <c r="H841">
        <v>4</v>
      </c>
      <c r="I841">
        <v>2</v>
      </c>
      <c r="J841">
        <v>0.26</v>
      </c>
      <c r="K841">
        <v>40563</v>
      </c>
      <c r="L841">
        <v>0.2576</v>
      </c>
      <c r="M841">
        <v>0.56000000000000005</v>
      </c>
      <c r="N841">
        <v>0.19400000000000001</v>
      </c>
      <c r="O841">
        <v>1</v>
      </c>
      <c r="P841">
        <v>184</v>
      </c>
      <c r="S841" t="s">
        <v>25</v>
      </c>
      <c r="T841" t="s">
        <v>69</v>
      </c>
    </row>
    <row r="842" spans="1:20" x14ac:dyDescent="0.3">
      <c r="A842">
        <v>451</v>
      </c>
      <c r="B842" s="37">
        <v>40563</v>
      </c>
      <c r="F842">
        <v>19</v>
      </c>
      <c r="G842" t="b">
        <v>0</v>
      </c>
      <c r="H842">
        <v>4</v>
      </c>
      <c r="I842">
        <v>1</v>
      </c>
      <c r="J842">
        <v>0.26</v>
      </c>
      <c r="K842">
        <v>40563</v>
      </c>
      <c r="L842">
        <v>0.2273</v>
      </c>
      <c r="M842">
        <v>0.56000000000000005</v>
      </c>
      <c r="N842">
        <v>0.32840000000000003</v>
      </c>
      <c r="O842">
        <v>6</v>
      </c>
      <c r="P842">
        <v>146</v>
      </c>
      <c r="S842" t="s">
        <v>25</v>
      </c>
      <c r="T842" t="s">
        <v>29</v>
      </c>
    </row>
    <row r="843" spans="1:20" x14ac:dyDescent="0.3">
      <c r="A843">
        <v>452</v>
      </c>
      <c r="B843" s="37">
        <v>40563</v>
      </c>
      <c r="F843">
        <v>20</v>
      </c>
      <c r="G843" t="b">
        <v>0</v>
      </c>
      <c r="H843">
        <v>4</v>
      </c>
      <c r="I843">
        <v>2</v>
      </c>
      <c r="J843">
        <v>0.26</v>
      </c>
      <c r="K843">
        <v>40563</v>
      </c>
      <c r="L843">
        <v>0.2424</v>
      </c>
      <c r="M843">
        <v>0.6</v>
      </c>
      <c r="N843">
        <v>0.28360000000000002</v>
      </c>
      <c r="O843">
        <v>2</v>
      </c>
      <c r="P843">
        <v>124</v>
      </c>
      <c r="S843" t="s">
        <v>25</v>
      </c>
      <c r="T843" t="s">
        <v>29</v>
      </c>
    </row>
    <row r="844" spans="1:20" x14ac:dyDescent="0.3">
      <c r="A844">
        <v>453</v>
      </c>
      <c r="B844" s="37">
        <v>40563</v>
      </c>
      <c r="F844">
        <v>21</v>
      </c>
      <c r="G844" t="b">
        <v>0</v>
      </c>
      <c r="H844">
        <v>4</v>
      </c>
      <c r="I844">
        <v>2</v>
      </c>
      <c r="J844">
        <v>0.24</v>
      </c>
      <c r="K844">
        <v>40563</v>
      </c>
      <c r="L844">
        <v>0.2273</v>
      </c>
      <c r="M844">
        <v>0.6</v>
      </c>
      <c r="N844">
        <v>0.25369999999999998</v>
      </c>
      <c r="O844">
        <v>3</v>
      </c>
      <c r="P844">
        <v>54</v>
      </c>
      <c r="S844" t="s">
        <v>25</v>
      </c>
      <c r="T844" t="s">
        <v>29</v>
      </c>
    </row>
    <row r="845" spans="1:20" x14ac:dyDescent="0.3">
      <c r="A845">
        <v>454</v>
      </c>
      <c r="B845" s="37">
        <v>40563</v>
      </c>
      <c r="F845">
        <v>22</v>
      </c>
      <c r="G845" t="b">
        <v>0</v>
      </c>
      <c r="H845">
        <v>4</v>
      </c>
      <c r="I845">
        <v>2</v>
      </c>
      <c r="J845">
        <v>0.24</v>
      </c>
      <c r="K845">
        <v>40563</v>
      </c>
      <c r="L845">
        <v>0.21210000000000001</v>
      </c>
      <c r="M845">
        <v>0.65</v>
      </c>
      <c r="N845">
        <v>0.28360000000000002</v>
      </c>
      <c r="O845">
        <v>0</v>
      </c>
      <c r="P845">
        <v>56</v>
      </c>
      <c r="S845" t="s">
        <v>25</v>
      </c>
      <c r="T845" t="s">
        <v>29</v>
      </c>
    </row>
    <row r="846" spans="1:20" x14ac:dyDescent="0.3">
      <c r="A846">
        <v>455</v>
      </c>
      <c r="B846" s="37">
        <v>40563</v>
      </c>
      <c r="F846">
        <v>23</v>
      </c>
      <c r="G846" t="b">
        <v>0</v>
      </c>
      <c r="H846">
        <v>4</v>
      </c>
      <c r="I846">
        <v>2</v>
      </c>
      <c r="J846">
        <v>0.24</v>
      </c>
      <c r="K846">
        <v>40563</v>
      </c>
      <c r="L846">
        <v>0.21210000000000001</v>
      </c>
      <c r="M846">
        <v>0.65</v>
      </c>
      <c r="N846">
        <v>0.32840000000000003</v>
      </c>
      <c r="O846">
        <v>3</v>
      </c>
      <c r="P846">
        <v>28</v>
      </c>
      <c r="S846" t="s">
        <v>25</v>
      </c>
      <c r="T846" t="s">
        <v>29</v>
      </c>
    </row>
    <row r="847" spans="1:20" x14ac:dyDescent="0.3">
      <c r="A847">
        <v>456</v>
      </c>
      <c r="B847" s="37">
        <v>40564</v>
      </c>
      <c r="F847">
        <v>0</v>
      </c>
      <c r="G847" t="b">
        <v>0</v>
      </c>
      <c r="H847">
        <v>5</v>
      </c>
      <c r="I847">
        <v>2</v>
      </c>
      <c r="J847">
        <v>0.24</v>
      </c>
      <c r="K847">
        <v>40564</v>
      </c>
      <c r="L847">
        <v>0.2273</v>
      </c>
      <c r="M847">
        <v>0.7</v>
      </c>
      <c r="N847">
        <v>0.25369999999999998</v>
      </c>
      <c r="O847">
        <v>1</v>
      </c>
      <c r="P847">
        <v>20</v>
      </c>
      <c r="S847" t="s">
        <v>26</v>
      </c>
      <c r="T847" t="s">
        <v>29</v>
      </c>
    </row>
    <row r="848" spans="1:20" x14ac:dyDescent="0.3">
      <c r="A848">
        <v>457</v>
      </c>
      <c r="B848" s="37">
        <v>40564</v>
      </c>
      <c r="F848">
        <v>1</v>
      </c>
      <c r="G848" t="b">
        <v>0</v>
      </c>
      <c r="H848">
        <v>5</v>
      </c>
      <c r="I848">
        <v>2</v>
      </c>
      <c r="J848">
        <v>0.24</v>
      </c>
      <c r="K848">
        <v>40564</v>
      </c>
      <c r="L848">
        <v>0.2273</v>
      </c>
      <c r="M848">
        <v>0.7</v>
      </c>
      <c r="N848">
        <v>0.25369999999999998</v>
      </c>
      <c r="O848">
        <v>0</v>
      </c>
      <c r="P848">
        <v>6</v>
      </c>
      <c r="S848" t="s">
        <v>26</v>
      </c>
      <c r="T848" t="s">
        <v>29</v>
      </c>
    </row>
    <row r="849" spans="1:20" x14ac:dyDescent="0.3">
      <c r="A849">
        <v>458</v>
      </c>
      <c r="B849" s="37">
        <v>40564</v>
      </c>
      <c r="F849">
        <v>2</v>
      </c>
      <c r="G849" t="b">
        <v>0</v>
      </c>
      <c r="H849">
        <v>5</v>
      </c>
      <c r="I849">
        <v>3</v>
      </c>
      <c r="J849">
        <v>0.24</v>
      </c>
      <c r="K849">
        <v>40564</v>
      </c>
      <c r="L849">
        <v>0.2424</v>
      </c>
      <c r="M849">
        <v>0.75</v>
      </c>
      <c r="N849">
        <v>0.16420000000000001</v>
      </c>
      <c r="O849">
        <v>0</v>
      </c>
      <c r="P849">
        <v>2</v>
      </c>
      <c r="S849" t="s">
        <v>26</v>
      </c>
      <c r="T849" t="s">
        <v>29</v>
      </c>
    </row>
    <row r="850" spans="1:20" x14ac:dyDescent="0.3">
      <c r="A850">
        <v>459</v>
      </c>
      <c r="B850" s="37">
        <v>40564</v>
      </c>
      <c r="F850">
        <v>3</v>
      </c>
      <c r="G850" t="b">
        <v>0</v>
      </c>
      <c r="H850">
        <v>5</v>
      </c>
      <c r="I850">
        <v>3</v>
      </c>
      <c r="J850">
        <v>0.22</v>
      </c>
      <c r="K850">
        <v>40564</v>
      </c>
      <c r="L850">
        <v>0.21210000000000001</v>
      </c>
      <c r="M850">
        <v>0.8</v>
      </c>
      <c r="N850">
        <v>0.29849999999999999</v>
      </c>
      <c r="O850">
        <v>0</v>
      </c>
      <c r="P850">
        <v>1</v>
      </c>
      <c r="S850" t="s">
        <v>26</v>
      </c>
      <c r="T850" t="s">
        <v>29</v>
      </c>
    </row>
    <row r="851" spans="1:20" x14ac:dyDescent="0.3">
      <c r="A851">
        <v>460</v>
      </c>
      <c r="B851" s="37">
        <v>40564</v>
      </c>
      <c r="F851">
        <v>4</v>
      </c>
      <c r="G851" t="b">
        <v>0</v>
      </c>
      <c r="H851">
        <v>5</v>
      </c>
      <c r="I851">
        <v>2</v>
      </c>
      <c r="J851">
        <v>0.22</v>
      </c>
      <c r="K851">
        <v>40564</v>
      </c>
      <c r="L851">
        <v>0.2576</v>
      </c>
      <c r="M851">
        <v>0.87</v>
      </c>
      <c r="N851">
        <v>8.9599999999999999E-2</v>
      </c>
      <c r="O851">
        <v>0</v>
      </c>
      <c r="P851">
        <v>1</v>
      </c>
      <c r="S851" t="s">
        <v>26</v>
      </c>
      <c r="T851" t="s">
        <v>29</v>
      </c>
    </row>
    <row r="852" spans="1:20" x14ac:dyDescent="0.3">
      <c r="A852">
        <v>461</v>
      </c>
      <c r="B852" s="37">
        <v>40564</v>
      </c>
      <c r="F852">
        <v>5</v>
      </c>
      <c r="G852" t="b">
        <v>0</v>
      </c>
      <c r="H852">
        <v>5</v>
      </c>
      <c r="I852">
        <v>1</v>
      </c>
      <c r="J852">
        <v>0.24</v>
      </c>
      <c r="K852">
        <v>40564</v>
      </c>
      <c r="L852">
        <v>0.19700000000000001</v>
      </c>
      <c r="M852">
        <v>0.6</v>
      </c>
      <c r="N852">
        <v>0.41789999999999999</v>
      </c>
      <c r="O852">
        <v>1</v>
      </c>
      <c r="P852">
        <v>4</v>
      </c>
      <c r="S852" t="s">
        <v>26</v>
      </c>
      <c r="T852" t="s">
        <v>29</v>
      </c>
    </row>
    <row r="853" spans="1:20" x14ac:dyDescent="0.3">
      <c r="A853">
        <v>462</v>
      </c>
      <c r="B853" s="37">
        <v>40564</v>
      </c>
      <c r="F853">
        <v>6</v>
      </c>
      <c r="G853" t="b">
        <v>0</v>
      </c>
      <c r="H853">
        <v>5</v>
      </c>
      <c r="I853">
        <v>1</v>
      </c>
      <c r="J853">
        <v>0.22</v>
      </c>
      <c r="K853">
        <v>40564</v>
      </c>
      <c r="L853">
        <v>0.21210000000000001</v>
      </c>
      <c r="M853">
        <v>0.55000000000000004</v>
      </c>
      <c r="N853">
        <v>0.25369999999999998</v>
      </c>
      <c r="O853">
        <v>0</v>
      </c>
      <c r="P853">
        <v>27</v>
      </c>
      <c r="S853" t="s">
        <v>26</v>
      </c>
      <c r="T853" t="s">
        <v>69</v>
      </c>
    </row>
    <row r="854" spans="1:20" x14ac:dyDescent="0.3">
      <c r="A854">
        <v>463</v>
      </c>
      <c r="B854" s="37">
        <v>40564</v>
      </c>
      <c r="F854">
        <v>7</v>
      </c>
      <c r="G854" t="b">
        <v>0</v>
      </c>
      <c r="H854">
        <v>5</v>
      </c>
      <c r="I854">
        <v>1</v>
      </c>
      <c r="J854">
        <v>0.2</v>
      </c>
      <c r="K854">
        <v>40564</v>
      </c>
      <c r="L854">
        <v>0.18179999999999999</v>
      </c>
      <c r="M854">
        <v>0.51</v>
      </c>
      <c r="N854">
        <v>0.28360000000000002</v>
      </c>
      <c r="O854">
        <v>2</v>
      </c>
      <c r="P854">
        <v>66</v>
      </c>
      <c r="S854" t="s">
        <v>26</v>
      </c>
      <c r="T854" t="s">
        <v>69</v>
      </c>
    </row>
    <row r="855" spans="1:20" x14ac:dyDescent="0.3">
      <c r="A855">
        <v>464</v>
      </c>
      <c r="B855" s="37">
        <v>40564</v>
      </c>
      <c r="F855">
        <v>8</v>
      </c>
      <c r="G855" t="b">
        <v>0</v>
      </c>
      <c r="H855">
        <v>5</v>
      </c>
      <c r="I855">
        <v>1</v>
      </c>
      <c r="J855">
        <v>0.2</v>
      </c>
      <c r="K855">
        <v>40564</v>
      </c>
      <c r="L855">
        <v>0.18179999999999999</v>
      </c>
      <c r="M855">
        <v>0.47</v>
      </c>
      <c r="N855">
        <v>0.32840000000000003</v>
      </c>
      <c r="O855">
        <v>7</v>
      </c>
      <c r="P855">
        <v>210</v>
      </c>
      <c r="S855" t="s">
        <v>26</v>
      </c>
      <c r="T855" t="s">
        <v>69</v>
      </c>
    </row>
    <row r="856" spans="1:20" x14ac:dyDescent="0.3">
      <c r="A856">
        <v>465</v>
      </c>
      <c r="B856" s="37">
        <v>40564</v>
      </c>
      <c r="F856">
        <v>9</v>
      </c>
      <c r="G856" t="b">
        <v>0</v>
      </c>
      <c r="H856">
        <v>5</v>
      </c>
      <c r="I856">
        <v>1</v>
      </c>
      <c r="J856">
        <v>0.2</v>
      </c>
      <c r="K856">
        <v>40564</v>
      </c>
      <c r="L856">
        <v>0.18179999999999999</v>
      </c>
      <c r="M856">
        <v>0.51</v>
      </c>
      <c r="N856">
        <v>0.35820000000000002</v>
      </c>
      <c r="O856">
        <v>7</v>
      </c>
      <c r="P856">
        <v>159</v>
      </c>
      <c r="S856" t="s">
        <v>26</v>
      </c>
      <c r="T856" t="s">
        <v>69</v>
      </c>
    </row>
    <row r="857" spans="1:20" x14ac:dyDescent="0.3">
      <c r="A857">
        <v>466</v>
      </c>
      <c r="B857" s="37">
        <v>40564</v>
      </c>
      <c r="F857">
        <v>10</v>
      </c>
      <c r="G857" t="b">
        <v>0</v>
      </c>
      <c r="H857">
        <v>5</v>
      </c>
      <c r="I857">
        <v>1</v>
      </c>
      <c r="J857">
        <v>0.2</v>
      </c>
      <c r="K857">
        <v>40564</v>
      </c>
      <c r="L857">
        <v>0.16669999999999999</v>
      </c>
      <c r="M857">
        <v>0.47</v>
      </c>
      <c r="N857">
        <v>0.4627</v>
      </c>
      <c r="O857">
        <v>6</v>
      </c>
      <c r="P857">
        <v>57</v>
      </c>
      <c r="S857" t="s">
        <v>26</v>
      </c>
      <c r="T857" t="s">
        <v>69</v>
      </c>
    </row>
    <row r="858" spans="1:20" x14ac:dyDescent="0.3">
      <c r="A858">
        <v>467</v>
      </c>
      <c r="B858" s="37">
        <v>40564</v>
      </c>
      <c r="F858">
        <v>11</v>
      </c>
      <c r="G858" t="b">
        <v>0</v>
      </c>
      <c r="H858">
        <v>5</v>
      </c>
      <c r="I858">
        <v>1</v>
      </c>
      <c r="J858">
        <v>0.22</v>
      </c>
      <c r="K858">
        <v>40564</v>
      </c>
      <c r="L858">
        <v>0.18179999999999999</v>
      </c>
      <c r="M858">
        <v>0.41</v>
      </c>
      <c r="N858">
        <v>0.4627</v>
      </c>
      <c r="O858">
        <v>6</v>
      </c>
      <c r="P858">
        <v>53</v>
      </c>
      <c r="S858" t="s">
        <v>26</v>
      </c>
      <c r="T858" t="s">
        <v>69</v>
      </c>
    </row>
    <row r="859" spans="1:20" x14ac:dyDescent="0.3">
      <c r="A859">
        <v>468</v>
      </c>
      <c r="B859" s="37">
        <v>40564</v>
      </c>
      <c r="F859">
        <v>12</v>
      </c>
      <c r="G859" t="b">
        <v>0</v>
      </c>
      <c r="H859">
        <v>5</v>
      </c>
      <c r="I859">
        <v>1</v>
      </c>
      <c r="J859">
        <v>0.22</v>
      </c>
      <c r="K859">
        <v>40564</v>
      </c>
      <c r="L859">
        <v>0.18179999999999999</v>
      </c>
      <c r="M859">
        <v>0.27</v>
      </c>
      <c r="N859">
        <v>0.58209999999999995</v>
      </c>
      <c r="O859">
        <v>11</v>
      </c>
      <c r="P859">
        <v>67</v>
      </c>
      <c r="S859" t="s">
        <v>26</v>
      </c>
      <c r="T859" t="s">
        <v>69</v>
      </c>
    </row>
    <row r="860" spans="1:20" x14ac:dyDescent="0.3">
      <c r="A860">
        <v>469</v>
      </c>
      <c r="B860" s="37">
        <v>40564</v>
      </c>
      <c r="F860">
        <v>13</v>
      </c>
      <c r="G860" t="b">
        <v>0</v>
      </c>
      <c r="H860">
        <v>5</v>
      </c>
      <c r="I860">
        <v>1</v>
      </c>
      <c r="J860">
        <v>0.2</v>
      </c>
      <c r="K860">
        <v>40564</v>
      </c>
      <c r="L860">
        <v>0.1515</v>
      </c>
      <c r="M860">
        <v>0.21</v>
      </c>
      <c r="N860">
        <v>0.58209999999999995</v>
      </c>
      <c r="O860">
        <v>8</v>
      </c>
      <c r="P860">
        <v>65</v>
      </c>
      <c r="S860" t="s">
        <v>26</v>
      </c>
      <c r="T860" t="s">
        <v>69</v>
      </c>
    </row>
    <row r="861" spans="1:20" x14ac:dyDescent="0.3">
      <c r="A861">
        <v>470</v>
      </c>
      <c r="B861" s="37">
        <v>40564</v>
      </c>
      <c r="F861">
        <v>14</v>
      </c>
      <c r="G861" t="b">
        <v>0</v>
      </c>
      <c r="H861">
        <v>5</v>
      </c>
      <c r="I861">
        <v>1</v>
      </c>
      <c r="J861">
        <v>0.2</v>
      </c>
      <c r="K861">
        <v>40564</v>
      </c>
      <c r="L861">
        <v>0.1515</v>
      </c>
      <c r="M861">
        <v>0.25</v>
      </c>
      <c r="N861">
        <v>0.52239999999999998</v>
      </c>
      <c r="O861">
        <v>6</v>
      </c>
      <c r="P861">
        <v>56</v>
      </c>
      <c r="S861" t="s">
        <v>26</v>
      </c>
      <c r="T861" t="s">
        <v>69</v>
      </c>
    </row>
    <row r="862" spans="1:20" x14ac:dyDescent="0.3">
      <c r="A862">
        <v>471</v>
      </c>
      <c r="B862" s="37">
        <v>40564</v>
      </c>
      <c r="F862">
        <v>15</v>
      </c>
      <c r="G862" t="b">
        <v>0</v>
      </c>
      <c r="H862">
        <v>5</v>
      </c>
      <c r="I862">
        <v>1</v>
      </c>
      <c r="J862">
        <v>0.16</v>
      </c>
      <c r="K862">
        <v>40564</v>
      </c>
      <c r="L862">
        <v>0.1212</v>
      </c>
      <c r="M862">
        <v>0.26</v>
      </c>
      <c r="N862">
        <v>0.44779999999999998</v>
      </c>
      <c r="O862">
        <v>4</v>
      </c>
      <c r="P862">
        <v>61</v>
      </c>
      <c r="S862" t="s">
        <v>26</v>
      </c>
      <c r="T862" t="s">
        <v>69</v>
      </c>
    </row>
    <row r="863" spans="1:20" x14ac:dyDescent="0.3">
      <c r="A863">
        <v>472</v>
      </c>
      <c r="B863" s="37">
        <v>40564</v>
      </c>
      <c r="F863">
        <v>16</v>
      </c>
      <c r="G863" t="b">
        <v>0</v>
      </c>
      <c r="H863">
        <v>5</v>
      </c>
      <c r="I863">
        <v>1</v>
      </c>
      <c r="J863">
        <v>0.16</v>
      </c>
      <c r="K863">
        <v>40564</v>
      </c>
      <c r="L863">
        <v>0.13639999999999999</v>
      </c>
      <c r="M863">
        <v>0.26</v>
      </c>
      <c r="N863">
        <v>0.35820000000000002</v>
      </c>
      <c r="O863">
        <v>0</v>
      </c>
      <c r="P863">
        <v>97</v>
      </c>
      <c r="S863" t="s">
        <v>26</v>
      </c>
      <c r="T863" t="s">
        <v>69</v>
      </c>
    </row>
    <row r="864" spans="1:20" x14ac:dyDescent="0.3">
      <c r="A864">
        <v>473</v>
      </c>
      <c r="B864" s="37">
        <v>40564</v>
      </c>
      <c r="F864">
        <v>17</v>
      </c>
      <c r="G864" t="b">
        <v>0</v>
      </c>
      <c r="H864">
        <v>5</v>
      </c>
      <c r="I864">
        <v>1</v>
      </c>
      <c r="J864">
        <v>0.14000000000000001</v>
      </c>
      <c r="K864">
        <v>40564</v>
      </c>
      <c r="L864">
        <v>0.1212</v>
      </c>
      <c r="M864">
        <v>0.28000000000000003</v>
      </c>
      <c r="N864">
        <v>0.35820000000000002</v>
      </c>
      <c r="O864">
        <v>10</v>
      </c>
      <c r="P864">
        <v>151</v>
      </c>
      <c r="S864" t="s">
        <v>26</v>
      </c>
      <c r="T864" t="s">
        <v>69</v>
      </c>
    </row>
    <row r="865" spans="1:20" x14ac:dyDescent="0.3">
      <c r="A865">
        <v>474</v>
      </c>
      <c r="B865" s="37">
        <v>40564</v>
      </c>
      <c r="F865">
        <v>18</v>
      </c>
      <c r="G865" t="b">
        <v>0</v>
      </c>
      <c r="H865">
        <v>5</v>
      </c>
      <c r="I865">
        <v>1</v>
      </c>
      <c r="J865">
        <v>0.12</v>
      </c>
      <c r="K865">
        <v>40564</v>
      </c>
      <c r="L865">
        <v>0.1212</v>
      </c>
      <c r="M865">
        <v>0.3</v>
      </c>
      <c r="N865">
        <v>0.25369999999999998</v>
      </c>
      <c r="O865">
        <v>1</v>
      </c>
      <c r="P865">
        <v>119</v>
      </c>
      <c r="S865" t="s">
        <v>26</v>
      </c>
      <c r="T865" t="s">
        <v>69</v>
      </c>
    </row>
    <row r="866" spans="1:20" x14ac:dyDescent="0.3">
      <c r="A866">
        <v>475</v>
      </c>
      <c r="B866" s="37">
        <v>40564</v>
      </c>
      <c r="F866">
        <v>19</v>
      </c>
      <c r="G866" t="b">
        <v>0</v>
      </c>
      <c r="H866">
        <v>5</v>
      </c>
      <c r="I866">
        <v>1</v>
      </c>
      <c r="J866">
        <v>0.12</v>
      </c>
      <c r="K866">
        <v>40564</v>
      </c>
      <c r="L866">
        <v>0.1061</v>
      </c>
      <c r="M866">
        <v>0.3</v>
      </c>
      <c r="N866">
        <v>0.32840000000000003</v>
      </c>
      <c r="O866">
        <v>3</v>
      </c>
      <c r="P866">
        <v>93</v>
      </c>
      <c r="S866" t="s">
        <v>26</v>
      </c>
      <c r="T866" t="s">
        <v>29</v>
      </c>
    </row>
    <row r="867" spans="1:20" x14ac:dyDescent="0.3">
      <c r="A867">
        <v>476</v>
      </c>
      <c r="B867" s="37">
        <v>40564</v>
      </c>
      <c r="F867">
        <v>20</v>
      </c>
      <c r="G867" t="b">
        <v>0</v>
      </c>
      <c r="H867">
        <v>5</v>
      </c>
      <c r="I867">
        <v>1</v>
      </c>
      <c r="J867">
        <v>0.1</v>
      </c>
      <c r="K867">
        <v>40564</v>
      </c>
      <c r="L867">
        <v>7.5800000000000006E-2</v>
      </c>
      <c r="M867">
        <v>0.33</v>
      </c>
      <c r="N867">
        <v>0.41789999999999999</v>
      </c>
      <c r="O867">
        <v>1</v>
      </c>
      <c r="P867">
        <v>52</v>
      </c>
      <c r="S867" t="s">
        <v>26</v>
      </c>
      <c r="T867" t="s">
        <v>29</v>
      </c>
    </row>
    <row r="868" spans="1:20" x14ac:dyDescent="0.3">
      <c r="A868">
        <v>477</v>
      </c>
      <c r="B868" s="37">
        <v>40564</v>
      </c>
      <c r="F868">
        <v>21</v>
      </c>
      <c r="G868" t="b">
        <v>0</v>
      </c>
      <c r="H868">
        <v>5</v>
      </c>
      <c r="I868">
        <v>1</v>
      </c>
      <c r="J868">
        <v>0.08</v>
      </c>
      <c r="K868">
        <v>40564</v>
      </c>
      <c r="L868">
        <v>7.5800000000000006E-2</v>
      </c>
      <c r="M868">
        <v>0.38</v>
      </c>
      <c r="N868">
        <v>0.28360000000000002</v>
      </c>
      <c r="O868">
        <v>0</v>
      </c>
      <c r="P868">
        <v>41</v>
      </c>
      <c r="S868" t="s">
        <v>26</v>
      </c>
      <c r="T868" t="s">
        <v>29</v>
      </c>
    </row>
    <row r="869" spans="1:20" x14ac:dyDescent="0.3">
      <c r="A869">
        <v>478</v>
      </c>
      <c r="B869" s="37">
        <v>40564</v>
      </c>
      <c r="F869">
        <v>22</v>
      </c>
      <c r="G869" t="b">
        <v>0</v>
      </c>
      <c r="H869">
        <v>5</v>
      </c>
      <c r="I869">
        <v>1</v>
      </c>
      <c r="J869">
        <v>0.06</v>
      </c>
      <c r="K869">
        <v>40564</v>
      </c>
      <c r="L869">
        <v>3.0300000000000001E-2</v>
      </c>
      <c r="M869">
        <v>0.41</v>
      </c>
      <c r="N869">
        <v>0.3881</v>
      </c>
      <c r="O869">
        <v>1</v>
      </c>
      <c r="P869">
        <v>33</v>
      </c>
      <c r="S869" t="s">
        <v>26</v>
      </c>
      <c r="T869" t="s">
        <v>29</v>
      </c>
    </row>
    <row r="870" spans="1:20" x14ac:dyDescent="0.3">
      <c r="A870">
        <v>479</v>
      </c>
      <c r="B870" s="37">
        <v>40564</v>
      </c>
      <c r="F870">
        <v>23</v>
      </c>
      <c r="G870" t="b">
        <v>0</v>
      </c>
      <c r="H870">
        <v>5</v>
      </c>
      <c r="I870">
        <v>1</v>
      </c>
      <c r="J870">
        <v>0.06</v>
      </c>
      <c r="K870">
        <v>40564</v>
      </c>
      <c r="L870">
        <v>4.5499999999999999E-2</v>
      </c>
      <c r="M870">
        <v>0.38</v>
      </c>
      <c r="N870">
        <v>0.32840000000000003</v>
      </c>
      <c r="O870">
        <v>0</v>
      </c>
      <c r="P870">
        <v>27</v>
      </c>
      <c r="S870" t="s">
        <v>26</v>
      </c>
      <c r="T870" t="s">
        <v>29</v>
      </c>
    </row>
    <row r="871" spans="1:20" x14ac:dyDescent="0.3">
      <c r="A871">
        <v>480</v>
      </c>
      <c r="B871" s="37">
        <v>40565</v>
      </c>
      <c r="F871">
        <v>0</v>
      </c>
      <c r="G871" t="b">
        <v>0</v>
      </c>
      <c r="H871">
        <v>6</v>
      </c>
      <c r="I871">
        <v>1</v>
      </c>
      <c r="J871">
        <v>0.04</v>
      </c>
      <c r="K871">
        <v>40565</v>
      </c>
      <c r="L871">
        <v>3.0300000000000001E-2</v>
      </c>
      <c r="M871">
        <v>0.45</v>
      </c>
      <c r="N871">
        <v>0.25369999999999998</v>
      </c>
      <c r="O871">
        <v>0</v>
      </c>
      <c r="P871">
        <v>13</v>
      </c>
      <c r="S871" t="s">
        <v>20</v>
      </c>
      <c r="T871" t="s">
        <v>29</v>
      </c>
    </row>
    <row r="872" spans="1:20" x14ac:dyDescent="0.3">
      <c r="A872">
        <v>481</v>
      </c>
      <c r="B872" s="37">
        <v>40565</v>
      </c>
      <c r="F872">
        <v>1</v>
      </c>
      <c r="G872" t="b">
        <v>0</v>
      </c>
      <c r="H872">
        <v>6</v>
      </c>
      <c r="I872">
        <v>2</v>
      </c>
      <c r="J872">
        <v>0.04</v>
      </c>
      <c r="K872">
        <v>40565</v>
      </c>
      <c r="L872">
        <v>0</v>
      </c>
      <c r="M872">
        <v>0.41</v>
      </c>
      <c r="N872">
        <v>0.3881</v>
      </c>
      <c r="O872">
        <v>3</v>
      </c>
      <c r="P872">
        <v>9</v>
      </c>
      <c r="S872" t="s">
        <v>20</v>
      </c>
      <c r="T872" t="s">
        <v>29</v>
      </c>
    </row>
    <row r="873" spans="1:20" x14ac:dyDescent="0.3">
      <c r="A873">
        <v>482</v>
      </c>
      <c r="B873" s="37">
        <v>40565</v>
      </c>
      <c r="F873">
        <v>2</v>
      </c>
      <c r="G873" t="b">
        <v>0</v>
      </c>
      <c r="H873">
        <v>6</v>
      </c>
      <c r="I873">
        <v>2</v>
      </c>
      <c r="J873">
        <v>0.04</v>
      </c>
      <c r="K873">
        <v>40565</v>
      </c>
      <c r="L873">
        <v>3.0300000000000001E-2</v>
      </c>
      <c r="M873">
        <v>0.41</v>
      </c>
      <c r="N873">
        <v>0.25369999999999998</v>
      </c>
      <c r="O873">
        <v>0</v>
      </c>
      <c r="P873">
        <v>11</v>
      </c>
      <c r="S873" t="s">
        <v>20</v>
      </c>
      <c r="T873" t="s">
        <v>29</v>
      </c>
    </row>
    <row r="874" spans="1:20" x14ac:dyDescent="0.3">
      <c r="A874">
        <v>483</v>
      </c>
      <c r="B874" s="37">
        <v>40565</v>
      </c>
      <c r="F874">
        <v>3</v>
      </c>
      <c r="G874" t="b">
        <v>0</v>
      </c>
      <c r="H874">
        <v>6</v>
      </c>
      <c r="I874">
        <v>2</v>
      </c>
      <c r="J874">
        <v>0.04</v>
      </c>
      <c r="K874">
        <v>40565</v>
      </c>
      <c r="L874">
        <v>3.0300000000000001E-2</v>
      </c>
      <c r="M874">
        <v>0.41</v>
      </c>
      <c r="N874">
        <v>0.28360000000000002</v>
      </c>
      <c r="O874">
        <v>1</v>
      </c>
      <c r="P874">
        <v>6</v>
      </c>
      <c r="S874" t="s">
        <v>20</v>
      </c>
      <c r="T874" t="s">
        <v>29</v>
      </c>
    </row>
    <row r="875" spans="1:20" x14ac:dyDescent="0.3">
      <c r="A875">
        <v>484</v>
      </c>
      <c r="B875" s="37">
        <v>40565</v>
      </c>
      <c r="F875">
        <v>4</v>
      </c>
      <c r="G875" t="b">
        <v>0</v>
      </c>
      <c r="H875">
        <v>6</v>
      </c>
      <c r="I875">
        <v>2</v>
      </c>
      <c r="J875">
        <v>0.02</v>
      </c>
      <c r="K875">
        <v>40565</v>
      </c>
      <c r="L875">
        <v>1.52E-2</v>
      </c>
      <c r="M875">
        <v>0.48</v>
      </c>
      <c r="N875">
        <v>0.29849999999999999</v>
      </c>
      <c r="O875">
        <v>0</v>
      </c>
      <c r="P875">
        <v>3</v>
      </c>
      <c r="S875" t="s">
        <v>20</v>
      </c>
      <c r="T875" t="s">
        <v>29</v>
      </c>
    </row>
    <row r="876" spans="1:20" x14ac:dyDescent="0.3">
      <c r="A876">
        <v>485</v>
      </c>
      <c r="B876" s="37">
        <v>40565</v>
      </c>
      <c r="F876">
        <v>6</v>
      </c>
      <c r="G876" t="b">
        <v>0</v>
      </c>
      <c r="H876">
        <v>6</v>
      </c>
      <c r="I876">
        <v>2</v>
      </c>
      <c r="J876">
        <v>0.02</v>
      </c>
      <c r="K876">
        <v>40565</v>
      </c>
      <c r="L876">
        <v>3.0300000000000001E-2</v>
      </c>
      <c r="M876">
        <v>0.44</v>
      </c>
      <c r="N876">
        <v>0.22389999999999999</v>
      </c>
      <c r="O876">
        <v>0</v>
      </c>
      <c r="P876">
        <v>2</v>
      </c>
      <c r="S876" t="s">
        <v>20</v>
      </c>
      <c r="T876" t="s">
        <v>69</v>
      </c>
    </row>
    <row r="877" spans="1:20" x14ac:dyDescent="0.3">
      <c r="A877">
        <v>486</v>
      </c>
      <c r="B877" s="37">
        <v>40565</v>
      </c>
      <c r="F877">
        <v>7</v>
      </c>
      <c r="G877" t="b">
        <v>0</v>
      </c>
      <c r="H877">
        <v>6</v>
      </c>
      <c r="I877">
        <v>1</v>
      </c>
      <c r="J877">
        <v>0.02</v>
      </c>
      <c r="K877">
        <v>40565</v>
      </c>
      <c r="L877">
        <v>1.52E-2</v>
      </c>
      <c r="M877">
        <v>0.44</v>
      </c>
      <c r="N877">
        <v>0.28360000000000002</v>
      </c>
      <c r="O877">
        <v>0</v>
      </c>
      <c r="P877">
        <v>8</v>
      </c>
      <c r="S877" t="s">
        <v>20</v>
      </c>
      <c r="T877" t="s">
        <v>69</v>
      </c>
    </row>
    <row r="878" spans="1:20" x14ac:dyDescent="0.3">
      <c r="A878">
        <v>487</v>
      </c>
      <c r="B878" s="37">
        <v>40565</v>
      </c>
      <c r="F878">
        <v>8</v>
      </c>
      <c r="G878" t="b">
        <v>0</v>
      </c>
      <c r="H878">
        <v>6</v>
      </c>
      <c r="I878">
        <v>1</v>
      </c>
      <c r="J878">
        <v>0.02</v>
      </c>
      <c r="K878">
        <v>40565</v>
      </c>
      <c r="L878">
        <v>0</v>
      </c>
      <c r="M878">
        <v>0.44</v>
      </c>
      <c r="N878">
        <v>0.32840000000000003</v>
      </c>
      <c r="O878">
        <v>1</v>
      </c>
      <c r="P878">
        <v>26</v>
      </c>
      <c r="S878" t="s">
        <v>20</v>
      </c>
      <c r="T878" t="s">
        <v>69</v>
      </c>
    </row>
    <row r="879" spans="1:20" x14ac:dyDescent="0.3">
      <c r="A879">
        <v>488</v>
      </c>
      <c r="B879" s="37">
        <v>40565</v>
      </c>
      <c r="F879">
        <v>9</v>
      </c>
      <c r="G879" t="b">
        <v>0</v>
      </c>
      <c r="H879">
        <v>6</v>
      </c>
      <c r="I879">
        <v>1</v>
      </c>
      <c r="J879">
        <v>0.04</v>
      </c>
      <c r="K879">
        <v>40565</v>
      </c>
      <c r="L879">
        <v>3.0300000000000001E-2</v>
      </c>
      <c r="M879">
        <v>0.41</v>
      </c>
      <c r="N879">
        <v>0.25369999999999998</v>
      </c>
      <c r="O879">
        <v>3</v>
      </c>
      <c r="P879">
        <v>37</v>
      </c>
      <c r="S879" t="s">
        <v>20</v>
      </c>
      <c r="T879" t="s">
        <v>69</v>
      </c>
    </row>
    <row r="880" spans="1:20" x14ac:dyDescent="0.3">
      <c r="A880">
        <v>489</v>
      </c>
      <c r="B880" s="37">
        <v>40565</v>
      </c>
      <c r="F880">
        <v>10</v>
      </c>
      <c r="G880" t="b">
        <v>0</v>
      </c>
      <c r="H880">
        <v>6</v>
      </c>
      <c r="I880">
        <v>2</v>
      </c>
      <c r="J880">
        <v>0.04</v>
      </c>
      <c r="K880">
        <v>40565</v>
      </c>
      <c r="L880">
        <v>6.0600000000000001E-2</v>
      </c>
      <c r="M880">
        <v>0.41</v>
      </c>
      <c r="N880">
        <v>0.16420000000000001</v>
      </c>
      <c r="O880">
        <v>3</v>
      </c>
      <c r="P880">
        <v>50</v>
      </c>
      <c r="S880" t="s">
        <v>20</v>
      </c>
      <c r="T880" t="s">
        <v>69</v>
      </c>
    </row>
    <row r="881" spans="1:20" x14ac:dyDescent="0.3">
      <c r="A881">
        <v>490</v>
      </c>
      <c r="B881" s="37">
        <v>40565</v>
      </c>
      <c r="F881">
        <v>11</v>
      </c>
      <c r="G881" t="b">
        <v>0</v>
      </c>
      <c r="H881">
        <v>6</v>
      </c>
      <c r="I881">
        <v>2</v>
      </c>
      <c r="J881">
        <v>0.06</v>
      </c>
      <c r="K881">
        <v>40565</v>
      </c>
      <c r="L881">
        <v>7.5800000000000006E-2</v>
      </c>
      <c r="M881">
        <v>0.38</v>
      </c>
      <c r="N881">
        <v>0.1343</v>
      </c>
      <c r="O881">
        <v>4</v>
      </c>
      <c r="P881">
        <v>59</v>
      </c>
      <c r="S881" t="s">
        <v>20</v>
      </c>
      <c r="T881" t="s">
        <v>69</v>
      </c>
    </row>
    <row r="882" spans="1:20" x14ac:dyDescent="0.3">
      <c r="A882">
        <v>491</v>
      </c>
      <c r="B882" s="37">
        <v>40565</v>
      </c>
      <c r="F882">
        <v>12</v>
      </c>
      <c r="G882" t="b">
        <v>0</v>
      </c>
      <c r="H882">
        <v>6</v>
      </c>
      <c r="I882">
        <v>2</v>
      </c>
      <c r="J882">
        <v>0.06</v>
      </c>
      <c r="K882">
        <v>40565</v>
      </c>
      <c r="L882">
        <v>0.1061</v>
      </c>
      <c r="M882">
        <v>0.38</v>
      </c>
      <c r="N882">
        <v>0.1045</v>
      </c>
      <c r="O882">
        <v>10</v>
      </c>
      <c r="P882">
        <v>60</v>
      </c>
      <c r="S882" t="s">
        <v>20</v>
      </c>
      <c r="T882" t="s">
        <v>69</v>
      </c>
    </row>
    <row r="883" spans="1:20" x14ac:dyDescent="0.3">
      <c r="A883">
        <v>492</v>
      </c>
      <c r="B883" s="37">
        <v>40565</v>
      </c>
      <c r="F883">
        <v>13</v>
      </c>
      <c r="G883" t="b">
        <v>0</v>
      </c>
      <c r="H883">
        <v>6</v>
      </c>
      <c r="I883">
        <v>1</v>
      </c>
      <c r="J883">
        <v>0.08</v>
      </c>
      <c r="K883">
        <v>40565</v>
      </c>
      <c r="L883">
        <v>0.16669999999999999</v>
      </c>
      <c r="M883">
        <v>0.35</v>
      </c>
      <c r="N883">
        <v>0</v>
      </c>
      <c r="O883">
        <v>12</v>
      </c>
      <c r="P883">
        <v>72</v>
      </c>
      <c r="S883" t="s">
        <v>20</v>
      </c>
      <c r="T883" t="s">
        <v>69</v>
      </c>
    </row>
    <row r="884" spans="1:20" x14ac:dyDescent="0.3">
      <c r="A884">
        <v>493</v>
      </c>
      <c r="B884" s="37">
        <v>40565</v>
      </c>
      <c r="F884">
        <v>14</v>
      </c>
      <c r="G884" t="b">
        <v>0</v>
      </c>
      <c r="H884">
        <v>6</v>
      </c>
      <c r="I884">
        <v>1</v>
      </c>
      <c r="J884">
        <v>0.1</v>
      </c>
      <c r="K884">
        <v>40565</v>
      </c>
      <c r="L884">
        <v>0.13639999999999999</v>
      </c>
      <c r="M884">
        <v>0.33</v>
      </c>
      <c r="N884">
        <v>0.1045</v>
      </c>
      <c r="O884">
        <v>11</v>
      </c>
      <c r="P884">
        <v>64</v>
      </c>
      <c r="S884" t="s">
        <v>20</v>
      </c>
      <c r="T884" t="s">
        <v>69</v>
      </c>
    </row>
    <row r="885" spans="1:20" x14ac:dyDescent="0.3">
      <c r="A885">
        <v>494</v>
      </c>
      <c r="B885" s="37">
        <v>40565</v>
      </c>
      <c r="F885">
        <v>15</v>
      </c>
      <c r="G885" t="b">
        <v>0</v>
      </c>
      <c r="H885">
        <v>6</v>
      </c>
      <c r="I885">
        <v>1</v>
      </c>
      <c r="J885">
        <v>0.12</v>
      </c>
      <c r="K885">
        <v>40565</v>
      </c>
      <c r="L885">
        <v>0.1515</v>
      </c>
      <c r="M885">
        <v>0.28000000000000003</v>
      </c>
      <c r="N885">
        <v>0</v>
      </c>
      <c r="O885">
        <v>10</v>
      </c>
      <c r="P885">
        <v>93</v>
      </c>
      <c r="S885" t="s">
        <v>20</v>
      </c>
      <c r="T885" t="s">
        <v>69</v>
      </c>
    </row>
    <row r="886" spans="1:20" x14ac:dyDescent="0.3">
      <c r="A886">
        <v>495</v>
      </c>
      <c r="B886" s="37">
        <v>40565</v>
      </c>
      <c r="F886">
        <v>16</v>
      </c>
      <c r="G886" t="b">
        <v>0</v>
      </c>
      <c r="H886">
        <v>6</v>
      </c>
      <c r="I886">
        <v>1</v>
      </c>
      <c r="J886">
        <v>0.12</v>
      </c>
      <c r="K886">
        <v>40565</v>
      </c>
      <c r="L886">
        <v>0.13639999999999999</v>
      </c>
      <c r="M886">
        <v>0.28000000000000003</v>
      </c>
      <c r="N886">
        <v>0.19400000000000001</v>
      </c>
      <c r="O886">
        <v>11</v>
      </c>
      <c r="P886">
        <v>72</v>
      </c>
      <c r="S886" t="s">
        <v>20</v>
      </c>
      <c r="T886" t="s">
        <v>69</v>
      </c>
    </row>
    <row r="887" spans="1:20" x14ac:dyDescent="0.3">
      <c r="A887">
        <v>496</v>
      </c>
      <c r="B887" s="37">
        <v>40565</v>
      </c>
      <c r="F887">
        <v>17</v>
      </c>
      <c r="G887" t="b">
        <v>0</v>
      </c>
      <c r="H887">
        <v>6</v>
      </c>
      <c r="I887">
        <v>1</v>
      </c>
      <c r="J887">
        <v>0.12</v>
      </c>
      <c r="K887">
        <v>40565</v>
      </c>
      <c r="L887">
        <v>0.19700000000000001</v>
      </c>
      <c r="M887">
        <v>0.28000000000000003</v>
      </c>
      <c r="N887">
        <v>0</v>
      </c>
      <c r="O887">
        <v>8</v>
      </c>
      <c r="P887">
        <v>59</v>
      </c>
      <c r="S887" t="s">
        <v>20</v>
      </c>
      <c r="T887" t="s">
        <v>69</v>
      </c>
    </row>
    <row r="888" spans="1:20" x14ac:dyDescent="0.3">
      <c r="A888">
        <v>497</v>
      </c>
      <c r="B888" s="37">
        <v>40565</v>
      </c>
      <c r="F888">
        <v>18</v>
      </c>
      <c r="G888" t="b">
        <v>0</v>
      </c>
      <c r="H888">
        <v>6</v>
      </c>
      <c r="I888">
        <v>1</v>
      </c>
      <c r="J888">
        <v>0.08</v>
      </c>
      <c r="K888">
        <v>40565</v>
      </c>
      <c r="L888">
        <v>9.0899999999999995E-2</v>
      </c>
      <c r="M888">
        <v>0.35</v>
      </c>
      <c r="N888">
        <v>0.19400000000000001</v>
      </c>
      <c r="O888">
        <v>0</v>
      </c>
      <c r="P888">
        <v>54</v>
      </c>
      <c r="S888" t="s">
        <v>20</v>
      </c>
      <c r="T888" t="s">
        <v>69</v>
      </c>
    </row>
    <row r="889" spans="1:20" x14ac:dyDescent="0.3">
      <c r="A889">
        <v>498</v>
      </c>
      <c r="B889" s="37">
        <v>40565</v>
      </c>
      <c r="F889">
        <v>19</v>
      </c>
      <c r="G889" t="b">
        <v>0</v>
      </c>
      <c r="H889">
        <v>6</v>
      </c>
      <c r="I889">
        <v>1</v>
      </c>
      <c r="J889">
        <v>0.08</v>
      </c>
      <c r="K889">
        <v>40565</v>
      </c>
      <c r="L889">
        <v>0.1061</v>
      </c>
      <c r="M889">
        <v>0.35</v>
      </c>
      <c r="N889">
        <v>0.1343</v>
      </c>
      <c r="O889">
        <v>6</v>
      </c>
      <c r="P889">
        <v>53</v>
      </c>
      <c r="S889" t="s">
        <v>20</v>
      </c>
      <c r="T889" t="s">
        <v>29</v>
      </c>
    </row>
    <row r="890" spans="1:20" x14ac:dyDescent="0.3">
      <c r="A890">
        <v>499</v>
      </c>
      <c r="B890" s="37">
        <v>40565</v>
      </c>
      <c r="F890">
        <v>20</v>
      </c>
      <c r="G890" t="b">
        <v>0</v>
      </c>
      <c r="H890">
        <v>6</v>
      </c>
      <c r="I890">
        <v>1</v>
      </c>
      <c r="J890">
        <v>0.06</v>
      </c>
      <c r="K890">
        <v>40565</v>
      </c>
      <c r="L890">
        <v>7.5800000000000006E-2</v>
      </c>
      <c r="M890">
        <v>0.45</v>
      </c>
      <c r="N890">
        <v>0.16420000000000001</v>
      </c>
      <c r="O890">
        <v>1</v>
      </c>
      <c r="P890">
        <v>44</v>
      </c>
      <c r="S890" t="s">
        <v>20</v>
      </c>
      <c r="T890" t="s">
        <v>29</v>
      </c>
    </row>
    <row r="891" spans="1:20" x14ac:dyDescent="0.3">
      <c r="A891">
        <v>500</v>
      </c>
      <c r="B891" s="37">
        <v>40565</v>
      </c>
      <c r="F891">
        <v>21</v>
      </c>
      <c r="G891" t="b">
        <v>0</v>
      </c>
      <c r="H891">
        <v>6</v>
      </c>
      <c r="I891">
        <v>1</v>
      </c>
      <c r="J891">
        <v>0.06</v>
      </c>
      <c r="K891">
        <v>40565</v>
      </c>
      <c r="L891">
        <v>0.1061</v>
      </c>
      <c r="M891">
        <v>0.41</v>
      </c>
      <c r="N891">
        <v>8.9599999999999999E-2</v>
      </c>
      <c r="O891">
        <v>0</v>
      </c>
      <c r="P891">
        <v>39</v>
      </c>
      <c r="S891" t="s">
        <v>20</v>
      </c>
      <c r="T891" t="s">
        <v>29</v>
      </c>
    </row>
    <row r="892" spans="1:20" x14ac:dyDescent="0.3">
      <c r="A892">
        <v>501</v>
      </c>
      <c r="B892" s="37">
        <v>40565</v>
      </c>
      <c r="F892">
        <v>22</v>
      </c>
      <c r="G892" t="b">
        <v>0</v>
      </c>
      <c r="H892">
        <v>6</v>
      </c>
      <c r="I892">
        <v>1</v>
      </c>
      <c r="J892">
        <v>0.06</v>
      </c>
      <c r="K892">
        <v>40565</v>
      </c>
      <c r="L892">
        <v>0.1515</v>
      </c>
      <c r="M892">
        <v>0.49</v>
      </c>
      <c r="N892">
        <v>0</v>
      </c>
      <c r="O892">
        <v>7</v>
      </c>
      <c r="P892">
        <v>23</v>
      </c>
      <c r="S892" t="s">
        <v>20</v>
      </c>
      <c r="T892" t="s">
        <v>29</v>
      </c>
    </row>
    <row r="893" spans="1:20" x14ac:dyDescent="0.3">
      <c r="A893">
        <v>502</v>
      </c>
      <c r="B893" s="37">
        <v>40565</v>
      </c>
      <c r="F893">
        <v>23</v>
      </c>
      <c r="G893" t="b">
        <v>0</v>
      </c>
      <c r="H893">
        <v>6</v>
      </c>
      <c r="I893">
        <v>1</v>
      </c>
      <c r="J893">
        <v>0.04</v>
      </c>
      <c r="K893">
        <v>40565</v>
      </c>
      <c r="L893">
        <v>7.5800000000000006E-2</v>
      </c>
      <c r="M893">
        <v>0.56999999999999995</v>
      </c>
      <c r="N893">
        <v>0.1045</v>
      </c>
      <c r="O893">
        <v>2</v>
      </c>
      <c r="P893">
        <v>31</v>
      </c>
      <c r="S893" t="s">
        <v>20</v>
      </c>
      <c r="T893" t="s">
        <v>29</v>
      </c>
    </row>
    <row r="894" spans="1:20" x14ac:dyDescent="0.3">
      <c r="A894">
        <v>503</v>
      </c>
      <c r="B894" s="37">
        <v>40566</v>
      </c>
      <c r="F894">
        <v>0</v>
      </c>
      <c r="G894" t="b">
        <v>0</v>
      </c>
      <c r="H894">
        <v>0</v>
      </c>
      <c r="I894">
        <v>1</v>
      </c>
      <c r="J894">
        <v>0.04</v>
      </c>
      <c r="K894">
        <v>40566</v>
      </c>
      <c r="L894">
        <v>7.5800000000000006E-2</v>
      </c>
      <c r="M894">
        <v>0.56999999999999995</v>
      </c>
      <c r="N894">
        <v>0.1045</v>
      </c>
      <c r="O894">
        <v>2</v>
      </c>
      <c r="P894">
        <v>20</v>
      </c>
      <c r="S894" t="s">
        <v>21</v>
      </c>
      <c r="T894" t="s">
        <v>29</v>
      </c>
    </row>
    <row r="895" spans="1:20" x14ac:dyDescent="0.3">
      <c r="A895">
        <v>504</v>
      </c>
      <c r="B895" s="37">
        <v>40566</v>
      </c>
      <c r="F895">
        <v>1</v>
      </c>
      <c r="G895" t="b">
        <v>0</v>
      </c>
      <c r="H895">
        <v>0</v>
      </c>
      <c r="I895">
        <v>1</v>
      </c>
      <c r="J895">
        <v>0.04</v>
      </c>
      <c r="K895">
        <v>40566</v>
      </c>
      <c r="L895">
        <v>7.5800000000000006E-2</v>
      </c>
      <c r="M895">
        <v>0.56999999999999995</v>
      </c>
      <c r="N895">
        <v>0.1045</v>
      </c>
      <c r="O895">
        <v>1</v>
      </c>
      <c r="P895">
        <v>12</v>
      </c>
      <c r="S895" t="s">
        <v>21</v>
      </c>
      <c r="T895" t="s">
        <v>29</v>
      </c>
    </row>
    <row r="896" spans="1:20" x14ac:dyDescent="0.3">
      <c r="A896">
        <v>505</v>
      </c>
      <c r="B896" s="37">
        <v>40566</v>
      </c>
      <c r="F896">
        <v>2</v>
      </c>
      <c r="G896" t="b">
        <v>0</v>
      </c>
      <c r="H896">
        <v>0</v>
      </c>
      <c r="I896">
        <v>1</v>
      </c>
      <c r="J896">
        <v>0.02</v>
      </c>
      <c r="K896">
        <v>40566</v>
      </c>
      <c r="L896">
        <v>6.0600000000000001E-2</v>
      </c>
      <c r="M896">
        <v>0.62</v>
      </c>
      <c r="N896">
        <v>0.1343</v>
      </c>
      <c r="O896">
        <v>3</v>
      </c>
      <c r="P896">
        <v>15</v>
      </c>
      <c r="S896" t="s">
        <v>21</v>
      </c>
      <c r="T896" t="s">
        <v>29</v>
      </c>
    </row>
    <row r="897" spans="1:20" x14ac:dyDescent="0.3">
      <c r="A897">
        <v>506</v>
      </c>
      <c r="B897" s="37">
        <v>40566</v>
      </c>
      <c r="F897">
        <v>3</v>
      </c>
      <c r="G897" t="b">
        <v>0</v>
      </c>
      <c r="H897">
        <v>0</v>
      </c>
      <c r="I897">
        <v>1</v>
      </c>
      <c r="J897">
        <v>0.02</v>
      </c>
      <c r="K897">
        <v>40566</v>
      </c>
      <c r="L897">
        <v>6.0600000000000001E-2</v>
      </c>
      <c r="M897">
        <v>0.62</v>
      </c>
      <c r="N897">
        <v>0.1343</v>
      </c>
      <c r="O897">
        <v>1</v>
      </c>
      <c r="P897">
        <v>4</v>
      </c>
      <c r="S897" t="s">
        <v>21</v>
      </c>
      <c r="T897" t="s">
        <v>29</v>
      </c>
    </row>
    <row r="898" spans="1:20" x14ac:dyDescent="0.3">
      <c r="A898">
        <v>507</v>
      </c>
      <c r="B898" s="37">
        <v>40566</v>
      </c>
      <c r="F898">
        <v>5</v>
      </c>
      <c r="G898" t="b">
        <v>0</v>
      </c>
      <c r="H898">
        <v>0</v>
      </c>
      <c r="I898">
        <v>2</v>
      </c>
      <c r="J898">
        <v>0.04</v>
      </c>
      <c r="K898">
        <v>40566</v>
      </c>
      <c r="L898">
        <v>7.5800000000000006E-2</v>
      </c>
      <c r="M898">
        <v>0.56999999999999995</v>
      </c>
      <c r="N898">
        <v>0.1045</v>
      </c>
      <c r="O898">
        <v>0</v>
      </c>
      <c r="P898">
        <v>3</v>
      </c>
      <c r="S898" t="s">
        <v>21</v>
      </c>
      <c r="T898" t="s">
        <v>29</v>
      </c>
    </row>
    <row r="899" spans="1:20" x14ac:dyDescent="0.3">
      <c r="A899">
        <v>508</v>
      </c>
      <c r="B899" s="37">
        <v>40566</v>
      </c>
      <c r="F899">
        <v>6</v>
      </c>
      <c r="G899" t="b">
        <v>0</v>
      </c>
      <c r="H899">
        <v>0</v>
      </c>
      <c r="I899">
        <v>2</v>
      </c>
      <c r="J899">
        <v>0.04</v>
      </c>
      <c r="K899">
        <v>40566</v>
      </c>
      <c r="L899">
        <v>7.5800000000000006E-2</v>
      </c>
      <c r="M899">
        <v>0.56999999999999995</v>
      </c>
      <c r="N899">
        <v>0.1045</v>
      </c>
      <c r="O899">
        <v>0</v>
      </c>
      <c r="P899">
        <v>1</v>
      </c>
      <c r="S899" t="s">
        <v>21</v>
      </c>
      <c r="T899" t="s">
        <v>69</v>
      </c>
    </row>
    <row r="900" spans="1:20" x14ac:dyDescent="0.3">
      <c r="A900">
        <v>509</v>
      </c>
      <c r="B900" s="37">
        <v>40566</v>
      </c>
      <c r="F900">
        <v>7</v>
      </c>
      <c r="G900" t="b">
        <v>0</v>
      </c>
      <c r="H900">
        <v>0</v>
      </c>
      <c r="I900">
        <v>1</v>
      </c>
      <c r="J900">
        <v>0.08</v>
      </c>
      <c r="K900">
        <v>40566</v>
      </c>
      <c r="L900">
        <v>0.1061</v>
      </c>
      <c r="M900">
        <v>0.57999999999999996</v>
      </c>
      <c r="N900">
        <v>0.16420000000000001</v>
      </c>
      <c r="O900">
        <v>1</v>
      </c>
      <c r="P900">
        <v>1</v>
      </c>
      <c r="S900" t="s">
        <v>21</v>
      </c>
      <c r="T900" t="s">
        <v>69</v>
      </c>
    </row>
    <row r="901" spans="1:20" x14ac:dyDescent="0.3">
      <c r="A901">
        <v>510</v>
      </c>
      <c r="B901" s="37">
        <v>40566</v>
      </c>
      <c r="F901">
        <v>8</v>
      </c>
      <c r="G901" t="b">
        <v>0</v>
      </c>
      <c r="H901">
        <v>0</v>
      </c>
      <c r="I901">
        <v>1</v>
      </c>
      <c r="J901">
        <v>0.06</v>
      </c>
      <c r="K901">
        <v>40566</v>
      </c>
      <c r="L901">
        <v>7.5800000000000006E-2</v>
      </c>
      <c r="M901">
        <v>0.62</v>
      </c>
      <c r="N901">
        <v>0.16420000000000001</v>
      </c>
      <c r="O901">
        <v>2</v>
      </c>
      <c r="P901">
        <v>17</v>
      </c>
      <c r="S901" t="s">
        <v>21</v>
      </c>
      <c r="T901" t="s">
        <v>69</v>
      </c>
    </row>
    <row r="902" spans="1:20" x14ac:dyDescent="0.3">
      <c r="A902">
        <v>511</v>
      </c>
      <c r="B902" s="37">
        <v>40566</v>
      </c>
      <c r="F902">
        <v>9</v>
      </c>
      <c r="G902" t="b">
        <v>0</v>
      </c>
      <c r="H902">
        <v>0</v>
      </c>
      <c r="I902">
        <v>1</v>
      </c>
      <c r="J902">
        <v>0.1</v>
      </c>
      <c r="K902">
        <v>40566</v>
      </c>
      <c r="L902">
        <v>7.5800000000000006E-2</v>
      </c>
      <c r="M902">
        <v>0.54</v>
      </c>
      <c r="N902">
        <v>0.35820000000000002</v>
      </c>
      <c r="O902">
        <v>3</v>
      </c>
      <c r="P902">
        <v>25</v>
      </c>
      <c r="S902" t="s">
        <v>21</v>
      </c>
      <c r="T902" t="s">
        <v>69</v>
      </c>
    </row>
    <row r="903" spans="1:20" x14ac:dyDescent="0.3">
      <c r="A903">
        <v>512</v>
      </c>
      <c r="B903" s="37">
        <v>40566</v>
      </c>
      <c r="F903">
        <v>10</v>
      </c>
      <c r="G903" t="b">
        <v>0</v>
      </c>
      <c r="H903">
        <v>0</v>
      </c>
      <c r="I903">
        <v>1</v>
      </c>
      <c r="J903">
        <v>0.14000000000000001</v>
      </c>
      <c r="K903">
        <v>40566</v>
      </c>
      <c r="L903">
        <v>0.1061</v>
      </c>
      <c r="M903">
        <v>0.46</v>
      </c>
      <c r="N903">
        <v>0.3881</v>
      </c>
      <c r="O903">
        <v>7</v>
      </c>
      <c r="P903">
        <v>51</v>
      </c>
      <c r="S903" t="s">
        <v>21</v>
      </c>
      <c r="T903" t="s">
        <v>69</v>
      </c>
    </row>
    <row r="904" spans="1:20" x14ac:dyDescent="0.3">
      <c r="A904">
        <v>513</v>
      </c>
      <c r="B904" s="37">
        <v>40566</v>
      </c>
      <c r="F904">
        <v>11</v>
      </c>
      <c r="G904" t="b">
        <v>0</v>
      </c>
      <c r="H904">
        <v>0</v>
      </c>
      <c r="I904">
        <v>1</v>
      </c>
      <c r="J904">
        <v>0.14000000000000001</v>
      </c>
      <c r="K904">
        <v>40566</v>
      </c>
      <c r="L904">
        <v>0.13639999999999999</v>
      </c>
      <c r="M904">
        <v>0.43</v>
      </c>
      <c r="N904">
        <v>0.22389999999999999</v>
      </c>
      <c r="O904">
        <v>22</v>
      </c>
      <c r="P904">
        <v>77</v>
      </c>
      <c r="S904" t="s">
        <v>21</v>
      </c>
      <c r="T904" t="s">
        <v>69</v>
      </c>
    </row>
    <row r="905" spans="1:20" x14ac:dyDescent="0.3">
      <c r="A905">
        <v>514</v>
      </c>
      <c r="B905" s="37">
        <v>40566</v>
      </c>
      <c r="F905">
        <v>12</v>
      </c>
      <c r="G905" t="b">
        <v>0</v>
      </c>
      <c r="H905">
        <v>0</v>
      </c>
      <c r="I905">
        <v>1</v>
      </c>
      <c r="J905">
        <v>0.16</v>
      </c>
      <c r="K905">
        <v>40566</v>
      </c>
      <c r="L905">
        <v>0.1212</v>
      </c>
      <c r="M905">
        <v>0.37</v>
      </c>
      <c r="N905">
        <v>0.4627</v>
      </c>
      <c r="O905">
        <v>24</v>
      </c>
      <c r="P905">
        <v>92</v>
      </c>
      <c r="S905" t="s">
        <v>21</v>
      </c>
      <c r="T905" t="s">
        <v>69</v>
      </c>
    </row>
    <row r="906" spans="1:20" x14ac:dyDescent="0.3">
      <c r="A906">
        <v>515</v>
      </c>
      <c r="B906" s="37">
        <v>40566</v>
      </c>
      <c r="F906">
        <v>13</v>
      </c>
      <c r="G906" t="b">
        <v>0</v>
      </c>
      <c r="H906">
        <v>0</v>
      </c>
      <c r="I906">
        <v>1</v>
      </c>
      <c r="J906">
        <v>0.14000000000000001</v>
      </c>
      <c r="K906">
        <v>40566</v>
      </c>
      <c r="L906">
        <v>0.1061</v>
      </c>
      <c r="M906">
        <v>0.33</v>
      </c>
      <c r="N906">
        <v>0.3881</v>
      </c>
      <c r="O906">
        <v>12</v>
      </c>
      <c r="P906">
        <v>75</v>
      </c>
      <c r="S906" t="s">
        <v>21</v>
      </c>
      <c r="T906" t="s">
        <v>69</v>
      </c>
    </row>
    <row r="907" spans="1:20" x14ac:dyDescent="0.3">
      <c r="A907">
        <v>516</v>
      </c>
      <c r="B907" s="37">
        <v>40566</v>
      </c>
      <c r="F907">
        <v>14</v>
      </c>
      <c r="G907" t="b">
        <v>0</v>
      </c>
      <c r="H907">
        <v>0</v>
      </c>
      <c r="I907">
        <v>1</v>
      </c>
      <c r="J907">
        <v>0.16</v>
      </c>
      <c r="K907">
        <v>40566</v>
      </c>
      <c r="L907">
        <v>0.13639999999999999</v>
      </c>
      <c r="M907">
        <v>0.28000000000000003</v>
      </c>
      <c r="N907">
        <v>0.35820000000000002</v>
      </c>
      <c r="O907">
        <v>17</v>
      </c>
      <c r="P907">
        <v>93</v>
      </c>
      <c r="S907" t="s">
        <v>21</v>
      </c>
      <c r="T907" t="s">
        <v>69</v>
      </c>
    </row>
    <row r="908" spans="1:20" x14ac:dyDescent="0.3">
      <c r="A908">
        <v>517</v>
      </c>
      <c r="B908" s="37">
        <v>40566</v>
      </c>
      <c r="F908">
        <v>15</v>
      </c>
      <c r="G908" t="b">
        <v>0</v>
      </c>
      <c r="H908">
        <v>0</v>
      </c>
      <c r="I908">
        <v>1</v>
      </c>
      <c r="J908">
        <v>0.16</v>
      </c>
      <c r="K908">
        <v>40566</v>
      </c>
      <c r="L908">
        <v>0.13639999999999999</v>
      </c>
      <c r="M908">
        <v>0.28000000000000003</v>
      </c>
      <c r="N908">
        <v>0.35820000000000002</v>
      </c>
      <c r="O908">
        <v>13</v>
      </c>
      <c r="P908">
        <v>64</v>
      </c>
      <c r="S908" t="s">
        <v>21</v>
      </c>
      <c r="T908" t="s">
        <v>69</v>
      </c>
    </row>
    <row r="909" spans="1:20" x14ac:dyDescent="0.3">
      <c r="A909">
        <v>518</v>
      </c>
      <c r="B909" s="37">
        <v>40566</v>
      </c>
      <c r="F909">
        <v>16</v>
      </c>
      <c r="G909" t="b">
        <v>0</v>
      </c>
      <c r="H909">
        <v>0</v>
      </c>
      <c r="I909">
        <v>1</v>
      </c>
      <c r="J909">
        <v>0.16</v>
      </c>
      <c r="K909">
        <v>40566</v>
      </c>
      <c r="L909">
        <v>0.13639999999999999</v>
      </c>
      <c r="M909">
        <v>0.26</v>
      </c>
      <c r="N909">
        <v>0.32840000000000003</v>
      </c>
      <c r="O909">
        <v>9</v>
      </c>
      <c r="P909">
        <v>56</v>
      </c>
      <c r="S909" t="s">
        <v>21</v>
      </c>
      <c r="T909" t="s">
        <v>69</v>
      </c>
    </row>
    <row r="910" spans="1:20" x14ac:dyDescent="0.3">
      <c r="A910">
        <v>519</v>
      </c>
      <c r="B910" s="37">
        <v>40566</v>
      </c>
      <c r="F910">
        <v>17</v>
      </c>
      <c r="G910" t="b">
        <v>0</v>
      </c>
      <c r="H910">
        <v>0</v>
      </c>
      <c r="I910">
        <v>1</v>
      </c>
      <c r="J910">
        <v>0.14000000000000001</v>
      </c>
      <c r="K910">
        <v>40566</v>
      </c>
      <c r="L910">
        <v>0.1061</v>
      </c>
      <c r="M910">
        <v>0.26</v>
      </c>
      <c r="N910">
        <v>0.3881</v>
      </c>
      <c r="O910">
        <v>5</v>
      </c>
      <c r="P910">
        <v>50</v>
      </c>
      <c r="S910" t="s">
        <v>21</v>
      </c>
      <c r="T910" t="s">
        <v>69</v>
      </c>
    </row>
    <row r="911" spans="1:20" x14ac:dyDescent="0.3">
      <c r="A911">
        <v>520</v>
      </c>
      <c r="B911" s="37">
        <v>40566</v>
      </c>
      <c r="F911">
        <v>18</v>
      </c>
      <c r="G911" t="b">
        <v>0</v>
      </c>
      <c r="H911">
        <v>0</v>
      </c>
      <c r="I911">
        <v>1</v>
      </c>
      <c r="J911">
        <v>0.12</v>
      </c>
      <c r="K911">
        <v>40566</v>
      </c>
      <c r="L911">
        <v>0.1212</v>
      </c>
      <c r="M911">
        <v>0.3</v>
      </c>
      <c r="N911">
        <v>0.25369999999999998</v>
      </c>
      <c r="O911">
        <v>5</v>
      </c>
      <c r="P911">
        <v>44</v>
      </c>
      <c r="S911" t="s">
        <v>21</v>
      </c>
      <c r="T911" t="s">
        <v>69</v>
      </c>
    </row>
    <row r="912" spans="1:20" x14ac:dyDescent="0.3">
      <c r="A912">
        <v>521</v>
      </c>
      <c r="B912" s="37">
        <v>40566</v>
      </c>
      <c r="F912">
        <v>19</v>
      </c>
      <c r="G912" t="b">
        <v>0</v>
      </c>
      <c r="H912">
        <v>0</v>
      </c>
      <c r="I912">
        <v>1</v>
      </c>
      <c r="J912">
        <v>0.12</v>
      </c>
      <c r="K912">
        <v>40566</v>
      </c>
      <c r="L912">
        <v>0.1212</v>
      </c>
      <c r="M912">
        <v>0.3</v>
      </c>
      <c r="N912">
        <v>0.28360000000000002</v>
      </c>
      <c r="O912">
        <v>5</v>
      </c>
      <c r="P912">
        <v>45</v>
      </c>
      <c r="S912" t="s">
        <v>21</v>
      </c>
      <c r="T912" t="s">
        <v>29</v>
      </c>
    </row>
    <row r="913" spans="1:20" x14ac:dyDescent="0.3">
      <c r="A913">
        <v>522</v>
      </c>
      <c r="B913" s="37">
        <v>40566</v>
      </c>
      <c r="F913">
        <v>20</v>
      </c>
      <c r="G913" t="b">
        <v>0</v>
      </c>
      <c r="H913">
        <v>0</v>
      </c>
      <c r="I913">
        <v>1</v>
      </c>
      <c r="J913">
        <v>0.1</v>
      </c>
      <c r="K913">
        <v>40566</v>
      </c>
      <c r="L913">
        <v>0.1061</v>
      </c>
      <c r="M913">
        <v>0.36</v>
      </c>
      <c r="N913">
        <v>0.25369999999999998</v>
      </c>
      <c r="O913">
        <v>4</v>
      </c>
      <c r="P913">
        <v>31</v>
      </c>
      <c r="S913" t="s">
        <v>21</v>
      </c>
      <c r="T913" t="s">
        <v>29</v>
      </c>
    </row>
    <row r="914" spans="1:20" x14ac:dyDescent="0.3">
      <c r="A914">
        <v>523</v>
      </c>
      <c r="B914" s="37">
        <v>40566</v>
      </c>
      <c r="F914">
        <v>21</v>
      </c>
      <c r="G914" t="b">
        <v>0</v>
      </c>
      <c r="H914">
        <v>0</v>
      </c>
      <c r="I914">
        <v>1</v>
      </c>
      <c r="J914">
        <v>0.1</v>
      </c>
      <c r="K914">
        <v>40566</v>
      </c>
      <c r="L914">
        <v>0.1061</v>
      </c>
      <c r="M914">
        <v>0.36</v>
      </c>
      <c r="N914">
        <v>0.19400000000000001</v>
      </c>
      <c r="O914">
        <v>5</v>
      </c>
      <c r="P914">
        <v>20</v>
      </c>
      <c r="S914" t="s">
        <v>21</v>
      </c>
      <c r="T914" t="s">
        <v>29</v>
      </c>
    </row>
    <row r="915" spans="1:20" x14ac:dyDescent="0.3">
      <c r="A915">
        <v>524</v>
      </c>
      <c r="B915" s="37">
        <v>40566</v>
      </c>
      <c r="F915">
        <v>22</v>
      </c>
      <c r="G915" t="b">
        <v>0</v>
      </c>
      <c r="H915">
        <v>0</v>
      </c>
      <c r="I915">
        <v>1</v>
      </c>
      <c r="J915">
        <v>0.08</v>
      </c>
      <c r="K915">
        <v>40566</v>
      </c>
      <c r="L915">
        <v>9.0899999999999995E-2</v>
      </c>
      <c r="M915">
        <v>0.38</v>
      </c>
      <c r="N915">
        <v>0.19400000000000001</v>
      </c>
      <c r="O915">
        <v>5</v>
      </c>
      <c r="P915">
        <v>23</v>
      </c>
      <c r="S915" t="s">
        <v>21</v>
      </c>
      <c r="T915" t="s">
        <v>29</v>
      </c>
    </row>
    <row r="916" spans="1:20" x14ac:dyDescent="0.3">
      <c r="A916">
        <v>525</v>
      </c>
      <c r="B916" s="37">
        <v>40566</v>
      </c>
      <c r="F916">
        <v>23</v>
      </c>
      <c r="G916" t="b">
        <v>0</v>
      </c>
      <c r="H916">
        <v>0</v>
      </c>
      <c r="I916">
        <v>1</v>
      </c>
      <c r="J916">
        <v>0.06</v>
      </c>
      <c r="K916">
        <v>40566</v>
      </c>
      <c r="L916">
        <v>6.0600000000000001E-2</v>
      </c>
      <c r="M916">
        <v>0.41</v>
      </c>
      <c r="N916">
        <v>0.22389999999999999</v>
      </c>
      <c r="O916">
        <v>4</v>
      </c>
      <c r="P916">
        <v>17</v>
      </c>
      <c r="S916" t="s">
        <v>21</v>
      </c>
      <c r="T916" t="s">
        <v>29</v>
      </c>
    </row>
    <row r="917" spans="1:20" x14ac:dyDescent="0.3">
      <c r="A917">
        <v>526</v>
      </c>
      <c r="B917" s="37">
        <v>40567</v>
      </c>
      <c r="F917">
        <v>0</v>
      </c>
      <c r="G917" t="b">
        <v>0</v>
      </c>
      <c r="H917">
        <v>1</v>
      </c>
      <c r="I917">
        <v>1</v>
      </c>
      <c r="J917">
        <v>0.06</v>
      </c>
      <c r="K917">
        <v>40567</v>
      </c>
      <c r="L917">
        <v>6.0600000000000001E-2</v>
      </c>
      <c r="M917">
        <v>0.41</v>
      </c>
      <c r="N917">
        <v>0.19400000000000001</v>
      </c>
      <c r="O917">
        <v>0</v>
      </c>
      <c r="P917">
        <v>7</v>
      </c>
      <c r="S917" t="s">
        <v>22</v>
      </c>
      <c r="T917" t="s">
        <v>29</v>
      </c>
    </row>
    <row r="918" spans="1:20" x14ac:dyDescent="0.3">
      <c r="A918">
        <v>527</v>
      </c>
      <c r="B918" s="37">
        <v>40567</v>
      </c>
      <c r="F918">
        <v>1</v>
      </c>
      <c r="G918" t="b">
        <v>0</v>
      </c>
      <c r="H918">
        <v>1</v>
      </c>
      <c r="I918">
        <v>1</v>
      </c>
      <c r="J918">
        <v>0.04</v>
      </c>
      <c r="K918">
        <v>40567</v>
      </c>
      <c r="L918">
        <v>4.5499999999999999E-2</v>
      </c>
      <c r="M918">
        <v>0.45</v>
      </c>
      <c r="N918">
        <v>0.19400000000000001</v>
      </c>
      <c r="O918">
        <v>0</v>
      </c>
      <c r="P918">
        <v>1</v>
      </c>
      <c r="S918" t="s">
        <v>22</v>
      </c>
      <c r="T918" t="s">
        <v>29</v>
      </c>
    </row>
    <row r="919" spans="1:20" x14ac:dyDescent="0.3">
      <c r="A919">
        <v>528</v>
      </c>
      <c r="B919" s="37">
        <v>40567</v>
      </c>
      <c r="F919">
        <v>3</v>
      </c>
      <c r="G919" t="b">
        <v>0</v>
      </c>
      <c r="H919">
        <v>1</v>
      </c>
      <c r="I919">
        <v>1</v>
      </c>
      <c r="J919">
        <v>0.04</v>
      </c>
      <c r="K919">
        <v>40567</v>
      </c>
      <c r="L919">
        <v>3.0300000000000001E-2</v>
      </c>
      <c r="M919">
        <v>0.45</v>
      </c>
      <c r="N919">
        <v>0.25369999999999998</v>
      </c>
      <c r="O919">
        <v>0</v>
      </c>
      <c r="P919">
        <v>1</v>
      </c>
      <c r="S919" t="s">
        <v>22</v>
      </c>
      <c r="T919" t="s">
        <v>29</v>
      </c>
    </row>
    <row r="920" spans="1:20" x14ac:dyDescent="0.3">
      <c r="A920">
        <v>529</v>
      </c>
      <c r="B920" s="37">
        <v>40567</v>
      </c>
      <c r="F920">
        <v>4</v>
      </c>
      <c r="G920" t="b">
        <v>0</v>
      </c>
      <c r="H920">
        <v>1</v>
      </c>
      <c r="I920">
        <v>1</v>
      </c>
      <c r="J920">
        <v>0.02</v>
      </c>
      <c r="K920">
        <v>40567</v>
      </c>
      <c r="L920">
        <v>6.0600000000000001E-2</v>
      </c>
      <c r="M920">
        <v>0.48</v>
      </c>
      <c r="N920">
        <v>0.1343</v>
      </c>
      <c r="O920">
        <v>0</v>
      </c>
      <c r="P920">
        <v>1</v>
      </c>
      <c r="S920" t="s">
        <v>22</v>
      </c>
      <c r="T920" t="s">
        <v>29</v>
      </c>
    </row>
    <row r="921" spans="1:20" x14ac:dyDescent="0.3">
      <c r="A921">
        <v>530</v>
      </c>
      <c r="B921" s="37">
        <v>40567</v>
      </c>
      <c r="F921">
        <v>5</v>
      </c>
      <c r="G921" t="b">
        <v>0</v>
      </c>
      <c r="H921">
        <v>1</v>
      </c>
      <c r="I921">
        <v>1</v>
      </c>
      <c r="J921">
        <v>0.02</v>
      </c>
      <c r="K921">
        <v>40567</v>
      </c>
      <c r="L921">
        <v>6.0600000000000001E-2</v>
      </c>
      <c r="M921">
        <v>0.48</v>
      </c>
      <c r="N921">
        <v>0.1343</v>
      </c>
      <c r="O921">
        <v>0</v>
      </c>
      <c r="P921">
        <v>5</v>
      </c>
      <c r="S921" t="s">
        <v>22</v>
      </c>
      <c r="T921" t="s">
        <v>29</v>
      </c>
    </row>
    <row r="922" spans="1:20" x14ac:dyDescent="0.3">
      <c r="A922">
        <v>531</v>
      </c>
      <c r="B922" s="37">
        <v>40567</v>
      </c>
      <c r="F922">
        <v>6</v>
      </c>
      <c r="G922" t="b">
        <v>0</v>
      </c>
      <c r="H922">
        <v>1</v>
      </c>
      <c r="I922">
        <v>1</v>
      </c>
      <c r="J922">
        <v>0.02</v>
      </c>
      <c r="K922">
        <v>40567</v>
      </c>
      <c r="L922">
        <v>7.5800000000000006E-2</v>
      </c>
      <c r="M922">
        <v>0.48</v>
      </c>
      <c r="N922">
        <v>8.9599999999999999E-2</v>
      </c>
      <c r="O922">
        <v>0</v>
      </c>
      <c r="P922">
        <v>15</v>
      </c>
      <c r="S922" t="s">
        <v>22</v>
      </c>
      <c r="T922" t="s">
        <v>69</v>
      </c>
    </row>
    <row r="923" spans="1:20" x14ac:dyDescent="0.3">
      <c r="A923">
        <v>532</v>
      </c>
      <c r="B923" s="37">
        <v>40567</v>
      </c>
      <c r="F923">
        <v>7</v>
      </c>
      <c r="G923" t="b">
        <v>0</v>
      </c>
      <c r="H923">
        <v>1</v>
      </c>
      <c r="I923">
        <v>1</v>
      </c>
      <c r="J923">
        <v>0.02</v>
      </c>
      <c r="K923">
        <v>40567</v>
      </c>
      <c r="L923">
        <v>0.1212</v>
      </c>
      <c r="M923">
        <v>0.48</v>
      </c>
      <c r="N923">
        <v>0</v>
      </c>
      <c r="O923">
        <v>5</v>
      </c>
      <c r="P923">
        <v>79</v>
      </c>
      <c r="S923" t="s">
        <v>22</v>
      </c>
      <c r="T923" t="s">
        <v>69</v>
      </c>
    </row>
    <row r="924" spans="1:20" x14ac:dyDescent="0.3">
      <c r="A924">
        <v>533</v>
      </c>
      <c r="B924" s="37">
        <v>40567</v>
      </c>
      <c r="F924">
        <v>8</v>
      </c>
      <c r="G924" t="b">
        <v>0</v>
      </c>
      <c r="H924">
        <v>1</v>
      </c>
      <c r="I924">
        <v>1</v>
      </c>
      <c r="J924">
        <v>0.04</v>
      </c>
      <c r="K924">
        <v>40567</v>
      </c>
      <c r="L924">
        <v>0.13639999999999999</v>
      </c>
      <c r="M924">
        <v>0.49</v>
      </c>
      <c r="N924">
        <v>0</v>
      </c>
      <c r="O924">
        <v>6</v>
      </c>
      <c r="P924">
        <v>171</v>
      </c>
      <c r="S924" t="s">
        <v>22</v>
      </c>
      <c r="T924" t="s">
        <v>69</v>
      </c>
    </row>
    <row r="925" spans="1:20" x14ac:dyDescent="0.3">
      <c r="A925">
        <v>534</v>
      </c>
      <c r="B925" s="37">
        <v>40567</v>
      </c>
      <c r="F925">
        <v>9</v>
      </c>
      <c r="G925" t="b">
        <v>0</v>
      </c>
      <c r="H925">
        <v>1</v>
      </c>
      <c r="I925">
        <v>1</v>
      </c>
      <c r="J925">
        <v>0.06</v>
      </c>
      <c r="K925">
        <v>40567</v>
      </c>
      <c r="L925">
        <v>0.1515</v>
      </c>
      <c r="M925">
        <v>0.41</v>
      </c>
      <c r="N925">
        <v>0</v>
      </c>
      <c r="O925">
        <v>4</v>
      </c>
      <c r="P925">
        <v>98</v>
      </c>
      <c r="S925" t="s">
        <v>22</v>
      </c>
      <c r="T925" t="s">
        <v>69</v>
      </c>
    </row>
    <row r="926" spans="1:20" x14ac:dyDescent="0.3">
      <c r="A926">
        <v>535</v>
      </c>
      <c r="B926" s="37">
        <v>40567</v>
      </c>
      <c r="F926">
        <v>10</v>
      </c>
      <c r="G926" t="b">
        <v>0</v>
      </c>
      <c r="H926">
        <v>1</v>
      </c>
      <c r="I926">
        <v>1</v>
      </c>
      <c r="J926">
        <v>0.1</v>
      </c>
      <c r="K926">
        <v>40567</v>
      </c>
      <c r="L926">
        <v>0.13639999999999999</v>
      </c>
      <c r="M926">
        <v>0.42</v>
      </c>
      <c r="N926">
        <v>0</v>
      </c>
      <c r="O926">
        <v>6</v>
      </c>
      <c r="P926">
        <v>34</v>
      </c>
      <c r="S926" t="s">
        <v>22</v>
      </c>
      <c r="T926" t="s">
        <v>69</v>
      </c>
    </row>
    <row r="927" spans="1:20" x14ac:dyDescent="0.3">
      <c r="A927">
        <v>536</v>
      </c>
      <c r="B927" s="37">
        <v>40567</v>
      </c>
      <c r="F927">
        <v>11</v>
      </c>
      <c r="G927" t="b">
        <v>0</v>
      </c>
      <c r="H927">
        <v>1</v>
      </c>
      <c r="I927">
        <v>1</v>
      </c>
      <c r="J927">
        <v>0.1</v>
      </c>
      <c r="K927">
        <v>40567</v>
      </c>
      <c r="L927">
        <v>0.1212</v>
      </c>
      <c r="M927">
        <v>0.46</v>
      </c>
      <c r="N927">
        <v>0.1343</v>
      </c>
      <c r="O927">
        <v>3</v>
      </c>
      <c r="P927">
        <v>43</v>
      </c>
      <c r="S927" t="s">
        <v>22</v>
      </c>
      <c r="T927" t="s">
        <v>69</v>
      </c>
    </row>
    <row r="928" spans="1:20" x14ac:dyDescent="0.3">
      <c r="A928">
        <v>537</v>
      </c>
      <c r="B928" s="37">
        <v>40567</v>
      </c>
      <c r="F928">
        <v>12</v>
      </c>
      <c r="G928" t="b">
        <v>0</v>
      </c>
      <c r="H928">
        <v>1</v>
      </c>
      <c r="I928">
        <v>2</v>
      </c>
      <c r="J928">
        <v>0.12</v>
      </c>
      <c r="K928">
        <v>40567</v>
      </c>
      <c r="L928">
        <v>0.13639999999999999</v>
      </c>
      <c r="M928">
        <v>0.42</v>
      </c>
      <c r="N928">
        <v>0.19400000000000001</v>
      </c>
      <c r="O928">
        <v>11</v>
      </c>
      <c r="P928">
        <v>52</v>
      </c>
      <c r="S928" t="s">
        <v>22</v>
      </c>
      <c r="T928" t="s">
        <v>69</v>
      </c>
    </row>
    <row r="929" spans="1:20" x14ac:dyDescent="0.3">
      <c r="A929">
        <v>538</v>
      </c>
      <c r="B929" s="37">
        <v>40567</v>
      </c>
      <c r="F929">
        <v>13</v>
      </c>
      <c r="G929" t="b">
        <v>0</v>
      </c>
      <c r="H929">
        <v>1</v>
      </c>
      <c r="I929">
        <v>2</v>
      </c>
      <c r="J929">
        <v>0.14000000000000001</v>
      </c>
      <c r="K929">
        <v>40567</v>
      </c>
      <c r="L929">
        <v>0.13639999999999999</v>
      </c>
      <c r="M929">
        <v>0.43</v>
      </c>
      <c r="N929">
        <v>0.22389999999999999</v>
      </c>
      <c r="O929">
        <v>6</v>
      </c>
      <c r="P929">
        <v>54</v>
      </c>
      <c r="S929" t="s">
        <v>22</v>
      </c>
      <c r="T929" t="s">
        <v>69</v>
      </c>
    </row>
    <row r="930" spans="1:20" x14ac:dyDescent="0.3">
      <c r="A930">
        <v>539</v>
      </c>
      <c r="B930" s="37">
        <v>40567</v>
      </c>
      <c r="F930">
        <v>14</v>
      </c>
      <c r="G930" t="b">
        <v>0</v>
      </c>
      <c r="H930">
        <v>1</v>
      </c>
      <c r="I930">
        <v>2</v>
      </c>
      <c r="J930">
        <v>0.14000000000000001</v>
      </c>
      <c r="K930">
        <v>40567</v>
      </c>
      <c r="L930">
        <v>0.13639999999999999</v>
      </c>
      <c r="M930">
        <v>0.46</v>
      </c>
      <c r="N930">
        <v>0.22389999999999999</v>
      </c>
      <c r="O930">
        <v>2</v>
      </c>
      <c r="P930">
        <v>43</v>
      </c>
      <c r="S930" t="s">
        <v>22</v>
      </c>
      <c r="T930" t="s">
        <v>69</v>
      </c>
    </row>
    <row r="931" spans="1:20" x14ac:dyDescent="0.3">
      <c r="A931">
        <v>540</v>
      </c>
      <c r="B931" s="37">
        <v>40567</v>
      </c>
      <c r="F931">
        <v>15</v>
      </c>
      <c r="G931" t="b">
        <v>0</v>
      </c>
      <c r="H931">
        <v>1</v>
      </c>
      <c r="I931">
        <v>1</v>
      </c>
      <c r="J931">
        <v>0.16</v>
      </c>
      <c r="K931">
        <v>40567</v>
      </c>
      <c r="L931">
        <v>0.16669999999999999</v>
      </c>
      <c r="M931">
        <v>0.4</v>
      </c>
      <c r="N931">
        <v>0.16420000000000001</v>
      </c>
      <c r="O931">
        <v>7</v>
      </c>
      <c r="P931">
        <v>50</v>
      </c>
      <c r="S931" t="s">
        <v>22</v>
      </c>
      <c r="T931" t="s">
        <v>69</v>
      </c>
    </row>
    <row r="932" spans="1:20" x14ac:dyDescent="0.3">
      <c r="A932">
        <v>541</v>
      </c>
      <c r="B932" s="37">
        <v>40567</v>
      </c>
      <c r="F932">
        <v>16</v>
      </c>
      <c r="G932" t="b">
        <v>0</v>
      </c>
      <c r="H932">
        <v>1</v>
      </c>
      <c r="I932">
        <v>1</v>
      </c>
      <c r="J932">
        <v>0.16</v>
      </c>
      <c r="K932">
        <v>40567</v>
      </c>
      <c r="L932">
        <v>0.1515</v>
      </c>
      <c r="M932">
        <v>0.47</v>
      </c>
      <c r="N932">
        <v>0.25369999999999998</v>
      </c>
      <c r="O932">
        <v>4</v>
      </c>
      <c r="P932">
        <v>66</v>
      </c>
      <c r="S932" t="s">
        <v>22</v>
      </c>
      <c r="T932" t="s">
        <v>69</v>
      </c>
    </row>
    <row r="933" spans="1:20" x14ac:dyDescent="0.3">
      <c r="A933">
        <v>542</v>
      </c>
      <c r="B933" s="37">
        <v>40567</v>
      </c>
      <c r="F933">
        <v>17</v>
      </c>
      <c r="G933" t="b">
        <v>0</v>
      </c>
      <c r="H933">
        <v>1</v>
      </c>
      <c r="I933">
        <v>1</v>
      </c>
      <c r="J933">
        <v>0.14000000000000001</v>
      </c>
      <c r="K933">
        <v>40567</v>
      </c>
      <c r="L933">
        <v>0.1212</v>
      </c>
      <c r="M933">
        <v>0.5</v>
      </c>
      <c r="N933">
        <v>0.25369999999999998</v>
      </c>
      <c r="O933">
        <v>6</v>
      </c>
      <c r="P933">
        <v>178</v>
      </c>
      <c r="S933" t="s">
        <v>22</v>
      </c>
      <c r="T933" t="s">
        <v>69</v>
      </c>
    </row>
    <row r="934" spans="1:20" x14ac:dyDescent="0.3">
      <c r="A934">
        <v>543</v>
      </c>
      <c r="B934" s="37">
        <v>40567</v>
      </c>
      <c r="F934">
        <v>18</v>
      </c>
      <c r="G934" t="b">
        <v>0</v>
      </c>
      <c r="H934">
        <v>1</v>
      </c>
      <c r="I934">
        <v>1</v>
      </c>
      <c r="J934">
        <v>0.14000000000000001</v>
      </c>
      <c r="K934">
        <v>40567</v>
      </c>
      <c r="L934">
        <v>0.13639999999999999</v>
      </c>
      <c r="M934">
        <v>0.59</v>
      </c>
      <c r="N934">
        <v>0.19400000000000001</v>
      </c>
      <c r="O934">
        <v>8</v>
      </c>
      <c r="P934">
        <v>145</v>
      </c>
      <c r="S934" t="s">
        <v>22</v>
      </c>
      <c r="T934" t="s">
        <v>69</v>
      </c>
    </row>
    <row r="935" spans="1:20" x14ac:dyDescent="0.3">
      <c r="A935">
        <v>544</v>
      </c>
      <c r="B935" s="37">
        <v>40567</v>
      </c>
      <c r="F935">
        <v>19</v>
      </c>
      <c r="G935" t="b">
        <v>0</v>
      </c>
      <c r="H935">
        <v>1</v>
      </c>
      <c r="I935">
        <v>1</v>
      </c>
      <c r="J935">
        <v>0.14000000000000001</v>
      </c>
      <c r="K935">
        <v>40567</v>
      </c>
      <c r="L935">
        <v>0.1515</v>
      </c>
      <c r="M935">
        <v>0.54</v>
      </c>
      <c r="N935">
        <v>0.16420000000000001</v>
      </c>
      <c r="O935">
        <v>5</v>
      </c>
      <c r="P935">
        <v>101</v>
      </c>
      <c r="S935" t="s">
        <v>22</v>
      </c>
      <c r="T935" t="s">
        <v>29</v>
      </c>
    </row>
    <row r="936" spans="1:20" x14ac:dyDescent="0.3">
      <c r="A936">
        <v>545</v>
      </c>
      <c r="B936" s="37">
        <v>40567</v>
      </c>
      <c r="F936">
        <v>20</v>
      </c>
      <c r="G936" t="b">
        <v>0</v>
      </c>
      <c r="H936">
        <v>1</v>
      </c>
      <c r="I936">
        <v>1</v>
      </c>
      <c r="J936">
        <v>0.14000000000000001</v>
      </c>
      <c r="K936">
        <v>40567</v>
      </c>
      <c r="L936">
        <v>0.13639999999999999</v>
      </c>
      <c r="M936">
        <v>0.59</v>
      </c>
      <c r="N936">
        <v>0.19400000000000001</v>
      </c>
      <c r="O936">
        <v>1</v>
      </c>
      <c r="P936">
        <v>80</v>
      </c>
      <c r="S936" t="s">
        <v>22</v>
      </c>
      <c r="T936" t="s">
        <v>29</v>
      </c>
    </row>
    <row r="937" spans="1:20" x14ac:dyDescent="0.3">
      <c r="A937">
        <v>546</v>
      </c>
      <c r="B937" s="37">
        <v>40567</v>
      </c>
      <c r="F937">
        <v>21</v>
      </c>
      <c r="G937" t="b">
        <v>0</v>
      </c>
      <c r="H937">
        <v>1</v>
      </c>
      <c r="I937">
        <v>1</v>
      </c>
      <c r="J937">
        <v>0.14000000000000001</v>
      </c>
      <c r="K937">
        <v>40567</v>
      </c>
      <c r="L937">
        <v>0.1515</v>
      </c>
      <c r="M937">
        <v>0.63</v>
      </c>
      <c r="N937">
        <v>0.16420000000000001</v>
      </c>
      <c r="O937">
        <v>6</v>
      </c>
      <c r="P937">
        <v>53</v>
      </c>
      <c r="S937" t="s">
        <v>22</v>
      </c>
      <c r="T937" t="s">
        <v>29</v>
      </c>
    </row>
    <row r="938" spans="1:20" x14ac:dyDescent="0.3">
      <c r="A938">
        <v>547</v>
      </c>
      <c r="B938" s="37">
        <v>40567</v>
      </c>
      <c r="F938">
        <v>22</v>
      </c>
      <c r="G938" t="b">
        <v>0</v>
      </c>
      <c r="H938">
        <v>1</v>
      </c>
      <c r="I938">
        <v>2</v>
      </c>
      <c r="J938">
        <v>0.14000000000000001</v>
      </c>
      <c r="K938">
        <v>40567</v>
      </c>
      <c r="L938">
        <v>0.13639999999999999</v>
      </c>
      <c r="M938">
        <v>0.63</v>
      </c>
      <c r="N938">
        <v>0.22389999999999999</v>
      </c>
      <c r="O938">
        <v>3</v>
      </c>
      <c r="P938">
        <v>32</v>
      </c>
      <c r="S938" t="s">
        <v>22</v>
      </c>
      <c r="T938" t="s">
        <v>29</v>
      </c>
    </row>
    <row r="939" spans="1:20" x14ac:dyDescent="0.3">
      <c r="A939">
        <v>548</v>
      </c>
      <c r="B939" s="37">
        <v>40567</v>
      </c>
      <c r="F939">
        <v>23</v>
      </c>
      <c r="G939" t="b">
        <v>0</v>
      </c>
      <c r="H939">
        <v>1</v>
      </c>
      <c r="I939">
        <v>2</v>
      </c>
      <c r="J939">
        <v>0.16</v>
      </c>
      <c r="K939">
        <v>40567</v>
      </c>
      <c r="L939">
        <v>0.1515</v>
      </c>
      <c r="M939">
        <v>0.64</v>
      </c>
      <c r="N939">
        <v>0.25369999999999998</v>
      </c>
      <c r="O939">
        <v>3</v>
      </c>
      <c r="P939">
        <v>21</v>
      </c>
      <c r="S939" t="s">
        <v>22</v>
      </c>
      <c r="T939" t="s">
        <v>29</v>
      </c>
    </row>
    <row r="940" spans="1:20" x14ac:dyDescent="0.3">
      <c r="A940">
        <v>549</v>
      </c>
      <c r="B940" s="37">
        <v>40568</v>
      </c>
      <c r="F940">
        <v>0</v>
      </c>
      <c r="G940" t="b">
        <v>0</v>
      </c>
      <c r="H940">
        <v>2</v>
      </c>
      <c r="I940">
        <v>2</v>
      </c>
      <c r="J940">
        <v>0.16</v>
      </c>
      <c r="K940">
        <v>40568</v>
      </c>
      <c r="L940">
        <v>0.13639999999999999</v>
      </c>
      <c r="M940">
        <v>0.69</v>
      </c>
      <c r="N940">
        <v>0.28360000000000002</v>
      </c>
      <c r="O940">
        <v>3</v>
      </c>
      <c r="P940">
        <v>6</v>
      </c>
      <c r="S940" t="s">
        <v>23</v>
      </c>
      <c r="T940" t="s">
        <v>29</v>
      </c>
    </row>
    <row r="941" spans="1:20" x14ac:dyDescent="0.3">
      <c r="A941">
        <v>550</v>
      </c>
      <c r="B941" s="37">
        <v>40568</v>
      </c>
      <c r="F941">
        <v>1</v>
      </c>
      <c r="G941" t="b">
        <v>0</v>
      </c>
      <c r="H941">
        <v>2</v>
      </c>
      <c r="I941">
        <v>2</v>
      </c>
      <c r="J941">
        <v>0.16</v>
      </c>
      <c r="K941">
        <v>40568</v>
      </c>
      <c r="L941">
        <v>0.16669999999999999</v>
      </c>
      <c r="M941">
        <v>0.69</v>
      </c>
      <c r="N941">
        <v>0.16420000000000001</v>
      </c>
      <c r="O941">
        <v>0</v>
      </c>
      <c r="P941">
        <v>5</v>
      </c>
      <c r="S941" t="s">
        <v>23</v>
      </c>
      <c r="T941" t="s">
        <v>29</v>
      </c>
    </row>
    <row r="942" spans="1:20" x14ac:dyDescent="0.3">
      <c r="A942">
        <v>551</v>
      </c>
      <c r="B942" s="37">
        <v>40568</v>
      </c>
      <c r="F942">
        <v>2</v>
      </c>
      <c r="G942" t="b">
        <v>0</v>
      </c>
      <c r="H942">
        <v>2</v>
      </c>
      <c r="I942">
        <v>1</v>
      </c>
      <c r="J942">
        <v>0.16</v>
      </c>
      <c r="K942">
        <v>40568</v>
      </c>
      <c r="L942">
        <v>0.1515</v>
      </c>
      <c r="M942">
        <v>0.69</v>
      </c>
      <c r="N942">
        <v>0.22389999999999999</v>
      </c>
      <c r="O942">
        <v>0</v>
      </c>
      <c r="P942">
        <v>2</v>
      </c>
      <c r="S942" t="s">
        <v>23</v>
      </c>
      <c r="T942" t="s">
        <v>29</v>
      </c>
    </row>
    <row r="943" spans="1:20" x14ac:dyDescent="0.3">
      <c r="A943">
        <v>552</v>
      </c>
      <c r="B943" s="37">
        <v>40568</v>
      </c>
      <c r="F943">
        <v>4</v>
      </c>
      <c r="G943" t="b">
        <v>0</v>
      </c>
      <c r="H943">
        <v>2</v>
      </c>
      <c r="I943">
        <v>1</v>
      </c>
      <c r="J943">
        <v>0.14000000000000001</v>
      </c>
      <c r="K943">
        <v>40568</v>
      </c>
      <c r="L943">
        <v>0.16669999999999999</v>
      </c>
      <c r="M943">
        <v>0.74</v>
      </c>
      <c r="N943">
        <v>0.1045</v>
      </c>
      <c r="O943">
        <v>0</v>
      </c>
      <c r="P943">
        <v>1</v>
      </c>
      <c r="S943" t="s">
        <v>23</v>
      </c>
      <c r="T943" t="s">
        <v>29</v>
      </c>
    </row>
    <row r="944" spans="1:20" x14ac:dyDescent="0.3">
      <c r="A944">
        <v>553</v>
      </c>
      <c r="B944" s="37">
        <v>40568</v>
      </c>
      <c r="F944">
        <v>5</v>
      </c>
      <c r="G944" t="b">
        <v>0</v>
      </c>
      <c r="H944">
        <v>2</v>
      </c>
      <c r="I944">
        <v>1</v>
      </c>
      <c r="J944">
        <v>0.14000000000000001</v>
      </c>
      <c r="K944">
        <v>40568</v>
      </c>
      <c r="L944">
        <v>0.13639999999999999</v>
      </c>
      <c r="M944">
        <v>0.74</v>
      </c>
      <c r="N944">
        <v>0.22389999999999999</v>
      </c>
      <c r="O944">
        <v>0</v>
      </c>
      <c r="P944">
        <v>9</v>
      </c>
      <c r="S944" t="s">
        <v>23</v>
      </c>
      <c r="T944" t="s">
        <v>29</v>
      </c>
    </row>
    <row r="945" spans="1:20" x14ac:dyDescent="0.3">
      <c r="A945">
        <v>554</v>
      </c>
      <c r="B945" s="37">
        <v>40568</v>
      </c>
      <c r="F945">
        <v>6</v>
      </c>
      <c r="G945" t="b">
        <v>0</v>
      </c>
      <c r="H945">
        <v>2</v>
      </c>
      <c r="I945">
        <v>1</v>
      </c>
      <c r="J945">
        <v>0.16</v>
      </c>
      <c r="K945">
        <v>40568</v>
      </c>
      <c r="L945">
        <v>0.18179999999999999</v>
      </c>
      <c r="M945">
        <v>0.74</v>
      </c>
      <c r="N945">
        <v>0.1045</v>
      </c>
      <c r="O945">
        <v>1</v>
      </c>
      <c r="P945">
        <v>35</v>
      </c>
      <c r="S945" t="s">
        <v>23</v>
      </c>
      <c r="T945" t="s">
        <v>69</v>
      </c>
    </row>
    <row r="946" spans="1:20" x14ac:dyDescent="0.3">
      <c r="A946">
        <v>555</v>
      </c>
      <c r="B946" s="37">
        <v>40568</v>
      </c>
      <c r="F946">
        <v>7</v>
      </c>
      <c r="G946" t="b">
        <v>0</v>
      </c>
      <c r="H946">
        <v>2</v>
      </c>
      <c r="I946">
        <v>1</v>
      </c>
      <c r="J946">
        <v>0.16</v>
      </c>
      <c r="K946">
        <v>40568</v>
      </c>
      <c r="L946">
        <v>0.1515</v>
      </c>
      <c r="M946">
        <v>0.74</v>
      </c>
      <c r="N946">
        <v>0.22389999999999999</v>
      </c>
      <c r="O946">
        <v>5</v>
      </c>
      <c r="P946">
        <v>103</v>
      </c>
      <c r="S946" t="s">
        <v>23</v>
      </c>
      <c r="T946" t="s">
        <v>69</v>
      </c>
    </row>
    <row r="947" spans="1:20" x14ac:dyDescent="0.3">
      <c r="A947">
        <v>556</v>
      </c>
      <c r="B947" s="37">
        <v>40568</v>
      </c>
      <c r="F947">
        <v>8</v>
      </c>
      <c r="G947" t="b">
        <v>0</v>
      </c>
      <c r="H947">
        <v>2</v>
      </c>
      <c r="I947">
        <v>2</v>
      </c>
      <c r="J947">
        <v>0.16</v>
      </c>
      <c r="K947">
        <v>40568</v>
      </c>
      <c r="L947">
        <v>0.18179999999999999</v>
      </c>
      <c r="M947">
        <v>0.74</v>
      </c>
      <c r="N947">
        <v>0.1343</v>
      </c>
      <c r="O947">
        <v>5</v>
      </c>
      <c r="P947">
        <v>233</v>
      </c>
      <c r="S947" t="s">
        <v>23</v>
      </c>
      <c r="T947" t="s">
        <v>69</v>
      </c>
    </row>
    <row r="948" spans="1:20" x14ac:dyDescent="0.3">
      <c r="A948">
        <v>557</v>
      </c>
      <c r="B948" s="37">
        <v>40568</v>
      </c>
      <c r="F948">
        <v>9</v>
      </c>
      <c r="G948" t="b">
        <v>0</v>
      </c>
      <c r="H948">
        <v>2</v>
      </c>
      <c r="I948">
        <v>2</v>
      </c>
      <c r="J948">
        <v>0.2</v>
      </c>
      <c r="K948">
        <v>40568</v>
      </c>
      <c r="L948">
        <v>0.2273</v>
      </c>
      <c r="M948">
        <v>0.64</v>
      </c>
      <c r="N948">
        <v>8.9599999999999999E-2</v>
      </c>
      <c r="O948">
        <v>10</v>
      </c>
      <c r="P948">
        <v>134</v>
      </c>
      <c r="S948" t="s">
        <v>23</v>
      </c>
      <c r="T948" t="s">
        <v>69</v>
      </c>
    </row>
    <row r="949" spans="1:20" x14ac:dyDescent="0.3">
      <c r="A949">
        <v>558</v>
      </c>
      <c r="B949" s="37">
        <v>40568</v>
      </c>
      <c r="F949">
        <v>10</v>
      </c>
      <c r="G949" t="b">
        <v>0</v>
      </c>
      <c r="H949">
        <v>2</v>
      </c>
      <c r="I949">
        <v>2</v>
      </c>
      <c r="J949">
        <v>0.22</v>
      </c>
      <c r="K949">
        <v>40568</v>
      </c>
      <c r="L949">
        <v>0.2424</v>
      </c>
      <c r="M949">
        <v>0.6</v>
      </c>
      <c r="N949">
        <v>0.1045</v>
      </c>
      <c r="O949">
        <v>6</v>
      </c>
      <c r="P949">
        <v>49</v>
      </c>
      <c r="S949" t="s">
        <v>23</v>
      </c>
      <c r="T949" t="s">
        <v>69</v>
      </c>
    </row>
    <row r="950" spans="1:20" x14ac:dyDescent="0.3">
      <c r="A950">
        <v>559</v>
      </c>
      <c r="B950" s="37">
        <v>40568</v>
      </c>
      <c r="F950">
        <v>11</v>
      </c>
      <c r="G950" t="b">
        <v>0</v>
      </c>
      <c r="H950">
        <v>2</v>
      </c>
      <c r="I950">
        <v>2</v>
      </c>
      <c r="J950">
        <v>0.24</v>
      </c>
      <c r="K950">
        <v>40568</v>
      </c>
      <c r="L950">
        <v>0.2424</v>
      </c>
      <c r="M950">
        <v>0.6</v>
      </c>
      <c r="N950">
        <v>0.1343</v>
      </c>
      <c r="O950">
        <v>6</v>
      </c>
      <c r="P950">
        <v>55</v>
      </c>
      <c r="S950" t="s">
        <v>23</v>
      </c>
      <c r="T950" t="s">
        <v>69</v>
      </c>
    </row>
    <row r="951" spans="1:20" x14ac:dyDescent="0.3">
      <c r="A951">
        <v>560</v>
      </c>
      <c r="B951" s="37">
        <v>40568</v>
      </c>
      <c r="F951">
        <v>12</v>
      </c>
      <c r="G951" t="b">
        <v>0</v>
      </c>
      <c r="H951">
        <v>2</v>
      </c>
      <c r="I951">
        <v>2</v>
      </c>
      <c r="J951">
        <v>0.26</v>
      </c>
      <c r="K951">
        <v>40568</v>
      </c>
      <c r="L951">
        <v>0.28789999999999999</v>
      </c>
      <c r="M951">
        <v>0.56000000000000005</v>
      </c>
      <c r="N951">
        <v>8.9599999999999999E-2</v>
      </c>
      <c r="O951">
        <v>21</v>
      </c>
      <c r="P951">
        <v>85</v>
      </c>
      <c r="S951" t="s">
        <v>23</v>
      </c>
      <c r="T951" t="s">
        <v>69</v>
      </c>
    </row>
    <row r="952" spans="1:20" x14ac:dyDescent="0.3">
      <c r="A952">
        <v>561</v>
      </c>
      <c r="B952" s="37">
        <v>40568</v>
      </c>
      <c r="F952">
        <v>13</v>
      </c>
      <c r="G952" t="b">
        <v>0</v>
      </c>
      <c r="H952">
        <v>2</v>
      </c>
      <c r="I952">
        <v>2</v>
      </c>
      <c r="J952">
        <v>0.26</v>
      </c>
      <c r="K952">
        <v>40568</v>
      </c>
      <c r="L952">
        <v>0.2727</v>
      </c>
      <c r="M952">
        <v>0.56000000000000005</v>
      </c>
      <c r="N952">
        <v>0.1343</v>
      </c>
      <c r="O952">
        <v>21</v>
      </c>
      <c r="P952">
        <v>72</v>
      </c>
      <c r="S952" t="s">
        <v>23</v>
      </c>
      <c r="T952" t="s">
        <v>69</v>
      </c>
    </row>
    <row r="953" spans="1:20" x14ac:dyDescent="0.3">
      <c r="A953">
        <v>562</v>
      </c>
      <c r="B953" s="37">
        <v>40568</v>
      </c>
      <c r="F953">
        <v>14</v>
      </c>
      <c r="G953" t="b">
        <v>0</v>
      </c>
      <c r="H953">
        <v>2</v>
      </c>
      <c r="I953">
        <v>2</v>
      </c>
      <c r="J953">
        <v>0.3</v>
      </c>
      <c r="K953">
        <v>40568</v>
      </c>
      <c r="L953">
        <v>0.33329999999999999</v>
      </c>
      <c r="M953">
        <v>0.45</v>
      </c>
      <c r="N953">
        <v>0</v>
      </c>
      <c r="O953">
        <v>11</v>
      </c>
      <c r="P953">
        <v>57</v>
      </c>
      <c r="S953" t="s">
        <v>23</v>
      </c>
      <c r="T953" t="s">
        <v>69</v>
      </c>
    </row>
    <row r="954" spans="1:20" x14ac:dyDescent="0.3">
      <c r="A954">
        <v>563</v>
      </c>
      <c r="B954" s="37">
        <v>40568</v>
      </c>
      <c r="F954">
        <v>15</v>
      </c>
      <c r="G954" t="b">
        <v>0</v>
      </c>
      <c r="H954">
        <v>2</v>
      </c>
      <c r="I954">
        <v>2</v>
      </c>
      <c r="J954">
        <v>0.32</v>
      </c>
      <c r="K954">
        <v>40568</v>
      </c>
      <c r="L954">
        <v>0.34849999999999998</v>
      </c>
      <c r="M954">
        <v>0.42</v>
      </c>
      <c r="N954">
        <v>0</v>
      </c>
      <c r="O954">
        <v>21</v>
      </c>
      <c r="P954">
        <v>63</v>
      </c>
      <c r="S954" t="s">
        <v>23</v>
      </c>
      <c r="T954" t="s">
        <v>69</v>
      </c>
    </row>
    <row r="955" spans="1:20" x14ac:dyDescent="0.3">
      <c r="A955">
        <v>564</v>
      </c>
      <c r="B955" s="37">
        <v>40568</v>
      </c>
      <c r="F955">
        <v>16</v>
      </c>
      <c r="G955" t="b">
        <v>0</v>
      </c>
      <c r="H955">
        <v>2</v>
      </c>
      <c r="I955">
        <v>2</v>
      </c>
      <c r="J955">
        <v>0.32</v>
      </c>
      <c r="K955">
        <v>40568</v>
      </c>
      <c r="L955">
        <v>0.34849999999999998</v>
      </c>
      <c r="M955">
        <v>0.42</v>
      </c>
      <c r="N955">
        <v>0</v>
      </c>
      <c r="O955">
        <v>14</v>
      </c>
      <c r="P955">
        <v>102</v>
      </c>
      <c r="S955" t="s">
        <v>23</v>
      </c>
      <c r="T955" t="s">
        <v>69</v>
      </c>
    </row>
    <row r="956" spans="1:20" x14ac:dyDescent="0.3">
      <c r="A956">
        <v>565</v>
      </c>
      <c r="B956" s="37">
        <v>40568</v>
      </c>
      <c r="F956">
        <v>17</v>
      </c>
      <c r="G956" t="b">
        <v>0</v>
      </c>
      <c r="H956">
        <v>2</v>
      </c>
      <c r="I956">
        <v>1</v>
      </c>
      <c r="J956">
        <v>0.3</v>
      </c>
      <c r="K956">
        <v>40568</v>
      </c>
      <c r="L956">
        <v>0.33329999999999999</v>
      </c>
      <c r="M956">
        <v>0.45</v>
      </c>
      <c r="N956">
        <v>0</v>
      </c>
      <c r="O956">
        <v>14</v>
      </c>
      <c r="P956">
        <v>208</v>
      </c>
      <c r="S956" t="s">
        <v>23</v>
      </c>
      <c r="T956" t="s">
        <v>69</v>
      </c>
    </row>
    <row r="957" spans="1:20" x14ac:dyDescent="0.3">
      <c r="A957">
        <v>566</v>
      </c>
      <c r="B957" s="37">
        <v>40568</v>
      </c>
      <c r="F957">
        <v>18</v>
      </c>
      <c r="G957" t="b">
        <v>0</v>
      </c>
      <c r="H957">
        <v>2</v>
      </c>
      <c r="I957">
        <v>2</v>
      </c>
      <c r="J957">
        <v>0.3</v>
      </c>
      <c r="K957">
        <v>40568</v>
      </c>
      <c r="L957">
        <v>0.31819999999999998</v>
      </c>
      <c r="M957">
        <v>0.49</v>
      </c>
      <c r="N957">
        <v>8.9599999999999999E-2</v>
      </c>
      <c r="O957">
        <v>7</v>
      </c>
      <c r="P957">
        <v>218</v>
      </c>
      <c r="S957" t="s">
        <v>23</v>
      </c>
      <c r="T957" t="s">
        <v>69</v>
      </c>
    </row>
    <row r="958" spans="1:20" x14ac:dyDescent="0.3">
      <c r="A958">
        <v>567</v>
      </c>
      <c r="B958" s="37">
        <v>40568</v>
      </c>
      <c r="F958">
        <v>19</v>
      </c>
      <c r="G958" t="b">
        <v>0</v>
      </c>
      <c r="H958">
        <v>2</v>
      </c>
      <c r="I958">
        <v>2</v>
      </c>
      <c r="J958">
        <v>0.26</v>
      </c>
      <c r="K958">
        <v>40568</v>
      </c>
      <c r="L958">
        <v>0.2576</v>
      </c>
      <c r="M958">
        <v>0.65</v>
      </c>
      <c r="N958">
        <v>0.16420000000000001</v>
      </c>
      <c r="O958">
        <v>13</v>
      </c>
      <c r="P958">
        <v>133</v>
      </c>
      <c r="S958" t="s">
        <v>23</v>
      </c>
      <c r="T958" t="s">
        <v>29</v>
      </c>
    </row>
    <row r="959" spans="1:20" x14ac:dyDescent="0.3">
      <c r="A959">
        <v>568</v>
      </c>
      <c r="B959" s="37">
        <v>40568</v>
      </c>
      <c r="F959">
        <v>20</v>
      </c>
      <c r="G959" t="b">
        <v>0</v>
      </c>
      <c r="H959">
        <v>2</v>
      </c>
      <c r="I959">
        <v>1</v>
      </c>
      <c r="J959">
        <v>0.24</v>
      </c>
      <c r="K959">
        <v>40568</v>
      </c>
      <c r="L959">
        <v>0.2273</v>
      </c>
      <c r="M959">
        <v>0.65</v>
      </c>
      <c r="N959">
        <v>0.19400000000000001</v>
      </c>
      <c r="O959">
        <v>16</v>
      </c>
      <c r="P959">
        <v>103</v>
      </c>
      <c r="S959" t="s">
        <v>23</v>
      </c>
      <c r="T959" t="s">
        <v>29</v>
      </c>
    </row>
    <row r="960" spans="1:20" x14ac:dyDescent="0.3">
      <c r="A960">
        <v>569</v>
      </c>
      <c r="B960" s="37">
        <v>40568</v>
      </c>
      <c r="F960">
        <v>21</v>
      </c>
      <c r="G960" t="b">
        <v>0</v>
      </c>
      <c r="H960">
        <v>2</v>
      </c>
      <c r="I960">
        <v>1</v>
      </c>
      <c r="J960">
        <v>0.24</v>
      </c>
      <c r="K960">
        <v>40568</v>
      </c>
      <c r="L960">
        <v>0.2273</v>
      </c>
      <c r="M960">
        <v>0.65</v>
      </c>
      <c r="N960">
        <v>0.19400000000000001</v>
      </c>
      <c r="O960">
        <v>5</v>
      </c>
      <c r="P960">
        <v>40</v>
      </c>
      <c r="S960" t="s">
        <v>23</v>
      </c>
      <c r="T960" t="s">
        <v>29</v>
      </c>
    </row>
    <row r="961" spans="1:20" x14ac:dyDescent="0.3">
      <c r="A961">
        <v>570</v>
      </c>
      <c r="B961" s="37">
        <v>40568</v>
      </c>
      <c r="F961">
        <v>22</v>
      </c>
      <c r="G961" t="b">
        <v>0</v>
      </c>
      <c r="H961">
        <v>2</v>
      </c>
      <c r="I961">
        <v>1</v>
      </c>
      <c r="J961">
        <v>0.22</v>
      </c>
      <c r="K961">
        <v>40568</v>
      </c>
      <c r="L961">
        <v>0.2273</v>
      </c>
      <c r="M961">
        <v>0.64</v>
      </c>
      <c r="N961">
        <v>0.16420000000000001</v>
      </c>
      <c r="O961">
        <v>4</v>
      </c>
      <c r="P961">
        <v>49</v>
      </c>
      <c r="S961" t="s">
        <v>23</v>
      </c>
      <c r="T961" t="s">
        <v>29</v>
      </c>
    </row>
    <row r="962" spans="1:20" x14ac:dyDescent="0.3">
      <c r="A962">
        <v>571</v>
      </c>
      <c r="B962" s="37">
        <v>40568</v>
      </c>
      <c r="F962">
        <v>23</v>
      </c>
      <c r="G962" t="b">
        <v>0</v>
      </c>
      <c r="H962">
        <v>2</v>
      </c>
      <c r="I962">
        <v>2</v>
      </c>
      <c r="J962">
        <v>0.22</v>
      </c>
      <c r="K962">
        <v>40568</v>
      </c>
      <c r="L962">
        <v>0.2273</v>
      </c>
      <c r="M962">
        <v>0.64</v>
      </c>
      <c r="N962">
        <v>0.16420000000000001</v>
      </c>
      <c r="O962">
        <v>3</v>
      </c>
      <c r="P962">
        <v>37</v>
      </c>
      <c r="S962" t="s">
        <v>23</v>
      </c>
      <c r="T962" t="s">
        <v>29</v>
      </c>
    </row>
    <row r="963" spans="1:20" x14ac:dyDescent="0.3">
      <c r="A963">
        <v>572</v>
      </c>
      <c r="B963" s="37">
        <v>40569</v>
      </c>
      <c r="F963">
        <v>0</v>
      </c>
      <c r="G963" t="b">
        <v>0</v>
      </c>
      <c r="H963">
        <v>3</v>
      </c>
      <c r="I963">
        <v>2</v>
      </c>
      <c r="J963">
        <v>0.22</v>
      </c>
      <c r="K963">
        <v>40569</v>
      </c>
      <c r="L963">
        <v>0.2273</v>
      </c>
      <c r="M963">
        <v>0.69</v>
      </c>
      <c r="N963">
        <v>0.1343</v>
      </c>
      <c r="O963">
        <v>3</v>
      </c>
      <c r="P963">
        <v>14</v>
      </c>
      <c r="S963" t="s">
        <v>24</v>
      </c>
      <c r="T963" t="s">
        <v>29</v>
      </c>
    </row>
    <row r="964" spans="1:20" x14ac:dyDescent="0.3">
      <c r="A964">
        <v>573</v>
      </c>
      <c r="B964" s="37">
        <v>40569</v>
      </c>
      <c r="F964">
        <v>1</v>
      </c>
      <c r="G964" t="b">
        <v>0</v>
      </c>
      <c r="H964">
        <v>3</v>
      </c>
      <c r="I964">
        <v>2</v>
      </c>
      <c r="J964">
        <v>0.24</v>
      </c>
      <c r="K964">
        <v>40569</v>
      </c>
      <c r="L964">
        <v>0.2424</v>
      </c>
      <c r="M964">
        <v>0.65</v>
      </c>
      <c r="N964">
        <v>0.1343</v>
      </c>
      <c r="O964">
        <v>0</v>
      </c>
      <c r="P964">
        <v>5</v>
      </c>
      <c r="S964" t="s">
        <v>24</v>
      </c>
      <c r="T964" t="s">
        <v>29</v>
      </c>
    </row>
    <row r="965" spans="1:20" x14ac:dyDescent="0.3">
      <c r="A965">
        <v>574</v>
      </c>
      <c r="B965" s="37">
        <v>40569</v>
      </c>
      <c r="F965">
        <v>2</v>
      </c>
      <c r="G965" t="b">
        <v>0</v>
      </c>
      <c r="H965">
        <v>3</v>
      </c>
      <c r="I965">
        <v>3</v>
      </c>
      <c r="J965">
        <v>0.22</v>
      </c>
      <c r="K965">
        <v>40569</v>
      </c>
      <c r="L965">
        <v>0.2273</v>
      </c>
      <c r="M965">
        <v>0.69</v>
      </c>
      <c r="N965">
        <v>0.19400000000000001</v>
      </c>
      <c r="O965">
        <v>3</v>
      </c>
      <c r="P965">
        <v>7</v>
      </c>
      <c r="S965" t="s">
        <v>24</v>
      </c>
      <c r="T965" t="s">
        <v>29</v>
      </c>
    </row>
    <row r="966" spans="1:20" x14ac:dyDescent="0.3">
      <c r="A966">
        <v>575</v>
      </c>
      <c r="B966" s="37">
        <v>40569</v>
      </c>
      <c r="F966">
        <v>5</v>
      </c>
      <c r="G966" t="b">
        <v>0</v>
      </c>
      <c r="H966">
        <v>3</v>
      </c>
      <c r="I966">
        <v>3</v>
      </c>
      <c r="J966">
        <v>0.2</v>
      </c>
      <c r="K966">
        <v>40569</v>
      </c>
      <c r="L966">
        <v>0.18179999999999999</v>
      </c>
      <c r="M966">
        <v>0.86</v>
      </c>
      <c r="N966">
        <v>0.28360000000000002</v>
      </c>
      <c r="O966">
        <v>0</v>
      </c>
      <c r="P966">
        <v>1</v>
      </c>
      <c r="S966" t="s">
        <v>24</v>
      </c>
      <c r="T966" t="s">
        <v>29</v>
      </c>
    </row>
    <row r="967" spans="1:20" x14ac:dyDescent="0.3">
      <c r="A967">
        <v>576</v>
      </c>
      <c r="B967" s="37">
        <v>40569</v>
      </c>
      <c r="F967">
        <v>6</v>
      </c>
      <c r="G967" t="b">
        <v>0</v>
      </c>
      <c r="H967">
        <v>3</v>
      </c>
      <c r="I967">
        <v>3</v>
      </c>
      <c r="J967">
        <v>0.2</v>
      </c>
      <c r="K967">
        <v>40569</v>
      </c>
      <c r="L967">
        <v>0.18179999999999999</v>
      </c>
      <c r="M967">
        <v>0.86</v>
      </c>
      <c r="N967">
        <v>0.28360000000000002</v>
      </c>
      <c r="O967">
        <v>0</v>
      </c>
      <c r="P967">
        <v>8</v>
      </c>
      <c r="S967" t="s">
        <v>24</v>
      </c>
      <c r="T967" t="s">
        <v>69</v>
      </c>
    </row>
    <row r="968" spans="1:20" x14ac:dyDescent="0.3">
      <c r="A968">
        <v>577</v>
      </c>
      <c r="B968" s="37">
        <v>40569</v>
      </c>
      <c r="F968">
        <v>7</v>
      </c>
      <c r="G968" t="b">
        <v>0</v>
      </c>
      <c r="H968">
        <v>3</v>
      </c>
      <c r="I968">
        <v>3</v>
      </c>
      <c r="J968">
        <v>0.22</v>
      </c>
      <c r="K968">
        <v>40569</v>
      </c>
      <c r="L968">
        <v>0.21210000000000001</v>
      </c>
      <c r="M968">
        <v>0.87</v>
      </c>
      <c r="N968">
        <v>0.29849999999999999</v>
      </c>
      <c r="O968">
        <v>1</v>
      </c>
      <c r="P968">
        <v>29</v>
      </c>
      <c r="S968" t="s">
        <v>24</v>
      </c>
      <c r="T968" t="s">
        <v>69</v>
      </c>
    </row>
    <row r="969" spans="1:20" x14ac:dyDescent="0.3">
      <c r="A969">
        <v>578</v>
      </c>
      <c r="B969" s="37">
        <v>40569</v>
      </c>
      <c r="F969">
        <v>8</v>
      </c>
      <c r="G969" t="b">
        <v>0</v>
      </c>
      <c r="H969">
        <v>3</v>
      </c>
      <c r="I969">
        <v>3</v>
      </c>
      <c r="J969">
        <v>0.22</v>
      </c>
      <c r="K969">
        <v>40569</v>
      </c>
      <c r="L969">
        <v>0.21210000000000001</v>
      </c>
      <c r="M969">
        <v>0.87</v>
      </c>
      <c r="N969">
        <v>0.29849999999999999</v>
      </c>
      <c r="O969">
        <v>3</v>
      </c>
      <c r="P969">
        <v>69</v>
      </c>
      <c r="S969" t="s">
        <v>24</v>
      </c>
      <c r="T969" t="s">
        <v>69</v>
      </c>
    </row>
    <row r="970" spans="1:20" x14ac:dyDescent="0.3">
      <c r="A970">
        <v>579</v>
      </c>
      <c r="B970" s="37">
        <v>40569</v>
      </c>
      <c r="F970">
        <v>9</v>
      </c>
      <c r="G970" t="b">
        <v>0</v>
      </c>
      <c r="H970">
        <v>3</v>
      </c>
      <c r="I970">
        <v>3</v>
      </c>
      <c r="J970">
        <v>0.22</v>
      </c>
      <c r="K970">
        <v>40569</v>
      </c>
      <c r="L970">
        <v>0.21210000000000001</v>
      </c>
      <c r="M970">
        <v>0.87</v>
      </c>
      <c r="N970">
        <v>0.29849999999999999</v>
      </c>
      <c r="O970">
        <v>3</v>
      </c>
      <c r="P970">
        <v>55</v>
      </c>
      <c r="S970" t="s">
        <v>24</v>
      </c>
      <c r="T970" t="s">
        <v>69</v>
      </c>
    </row>
    <row r="971" spans="1:20" x14ac:dyDescent="0.3">
      <c r="A971">
        <v>580</v>
      </c>
      <c r="B971" s="37">
        <v>40569</v>
      </c>
      <c r="F971">
        <v>10</v>
      </c>
      <c r="G971" t="b">
        <v>0</v>
      </c>
      <c r="H971">
        <v>3</v>
      </c>
      <c r="I971">
        <v>3</v>
      </c>
      <c r="J971">
        <v>0.22</v>
      </c>
      <c r="K971">
        <v>40569</v>
      </c>
      <c r="L971">
        <v>0.21210000000000001</v>
      </c>
      <c r="M971">
        <v>0.93</v>
      </c>
      <c r="N971">
        <v>0.28360000000000002</v>
      </c>
      <c r="O971">
        <v>2</v>
      </c>
      <c r="P971">
        <v>26</v>
      </c>
      <c r="S971" t="s">
        <v>24</v>
      </c>
      <c r="T971" t="s">
        <v>69</v>
      </c>
    </row>
    <row r="972" spans="1:20" x14ac:dyDescent="0.3">
      <c r="A972">
        <v>581</v>
      </c>
      <c r="B972" s="37">
        <v>40569</v>
      </c>
      <c r="F972">
        <v>11</v>
      </c>
      <c r="G972" t="b">
        <v>0</v>
      </c>
      <c r="H972">
        <v>3</v>
      </c>
      <c r="I972">
        <v>3</v>
      </c>
      <c r="J972">
        <v>0.22</v>
      </c>
      <c r="K972">
        <v>40569</v>
      </c>
      <c r="L972">
        <v>0.19700000000000001</v>
      </c>
      <c r="M972">
        <v>0.93</v>
      </c>
      <c r="N972">
        <v>0.32840000000000003</v>
      </c>
      <c r="O972">
        <v>6</v>
      </c>
      <c r="P972">
        <v>35</v>
      </c>
      <c r="S972" t="s">
        <v>24</v>
      </c>
      <c r="T972" t="s">
        <v>69</v>
      </c>
    </row>
    <row r="973" spans="1:20" x14ac:dyDescent="0.3">
      <c r="A973">
        <v>582</v>
      </c>
      <c r="B973" s="37">
        <v>40569</v>
      </c>
      <c r="F973">
        <v>12</v>
      </c>
      <c r="G973" t="b">
        <v>0</v>
      </c>
      <c r="H973">
        <v>3</v>
      </c>
      <c r="I973">
        <v>3</v>
      </c>
      <c r="J973">
        <v>0.22</v>
      </c>
      <c r="K973">
        <v>40569</v>
      </c>
      <c r="L973">
        <v>0.19700000000000001</v>
      </c>
      <c r="M973">
        <v>0.93</v>
      </c>
      <c r="N973">
        <v>0.32840000000000003</v>
      </c>
      <c r="O973">
        <v>7</v>
      </c>
      <c r="P973">
        <v>41</v>
      </c>
      <c r="S973" t="s">
        <v>24</v>
      </c>
      <c r="T973" t="s">
        <v>69</v>
      </c>
    </row>
    <row r="974" spans="1:20" x14ac:dyDescent="0.3">
      <c r="A974">
        <v>583</v>
      </c>
      <c r="B974" s="37">
        <v>40569</v>
      </c>
      <c r="F974">
        <v>13</v>
      </c>
      <c r="G974" t="b">
        <v>0</v>
      </c>
      <c r="H974">
        <v>3</v>
      </c>
      <c r="I974">
        <v>3</v>
      </c>
      <c r="J974">
        <v>0.22</v>
      </c>
      <c r="K974">
        <v>40569</v>
      </c>
      <c r="L974">
        <v>0.19700000000000001</v>
      </c>
      <c r="M974">
        <v>0.93</v>
      </c>
      <c r="N974">
        <v>0.32840000000000003</v>
      </c>
      <c r="O974">
        <v>4</v>
      </c>
      <c r="P974">
        <v>43</v>
      </c>
      <c r="S974" t="s">
        <v>24</v>
      </c>
      <c r="T974" t="s">
        <v>69</v>
      </c>
    </row>
    <row r="975" spans="1:20" x14ac:dyDescent="0.3">
      <c r="A975">
        <v>584</v>
      </c>
      <c r="B975" s="37">
        <v>40569</v>
      </c>
      <c r="F975">
        <v>14</v>
      </c>
      <c r="G975" t="b">
        <v>0</v>
      </c>
      <c r="H975">
        <v>3</v>
      </c>
      <c r="I975">
        <v>3</v>
      </c>
      <c r="J975">
        <v>0.22</v>
      </c>
      <c r="K975">
        <v>40569</v>
      </c>
      <c r="L975">
        <v>0.19700000000000001</v>
      </c>
      <c r="M975">
        <v>0.93</v>
      </c>
      <c r="N975">
        <v>0.35820000000000002</v>
      </c>
      <c r="O975">
        <v>0</v>
      </c>
      <c r="P975">
        <v>36</v>
      </c>
      <c r="S975" t="s">
        <v>24</v>
      </c>
      <c r="T975" t="s">
        <v>69</v>
      </c>
    </row>
    <row r="976" spans="1:20" x14ac:dyDescent="0.3">
      <c r="A976">
        <v>585</v>
      </c>
      <c r="B976" s="37">
        <v>40569</v>
      </c>
      <c r="F976">
        <v>15</v>
      </c>
      <c r="G976" t="b">
        <v>0</v>
      </c>
      <c r="H976">
        <v>3</v>
      </c>
      <c r="I976">
        <v>3</v>
      </c>
      <c r="J976">
        <v>0.22</v>
      </c>
      <c r="K976">
        <v>40569</v>
      </c>
      <c r="L976">
        <v>0.18179999999999999</v>
      </c>
      <c r="M976">
        <v>0.93</v>
      </c>
      <c r="N976">
        <v>0.4627</v>
      </c>
      <c r="O976">
        <v>1</v>
      </c>
      <c r="P976">
        <v>42</v>
      </c>
      <c r="S976" t="s">
        <v>24</v>
      </c>
      <c r="T976" t="s">
        <v>69</v>
      </c>
    </row>
    <row r="977" spans="1:20" x14ac:dyDescent="0.3">
      <c r="A977">
        <v>586</v>
      </c>
      <c r="B977" s="37">
        <v>40569</v>
      </c>
      <c r="F977">
        <v>16</v>
      </c>
      <c r="G977" t="b">
        <v>0</v>
      </c>
      <c r="H977">
        <v>3</v>
      </c>
      <c r="I977">
        <v>4</v>
      </c>
      <c r="J977">
        <v>0.22</v>
      </c>
      <c r="K977">
        <v>40569</v>
      </c>
      <c r="L977">
        <v>0.19700000000000001</v>
      </c>
      <c r="M977">
        <v>0.93</v>
      </c>
      <c r="N977">
        <v>0.32840000000000003</v>
      </c>
      <c r="O977">
        <v>1</v>
      </c>
      <c r="P977">
        <v>35</v>
      </c>
      <c r="S977" t="s">
        <v>24</v>
      </c>
      <c r="T977" t="s">
        <v>69</v>
      </c>
    </row>
    <row r="978" spans="1:20" x14ac:dyDescent="0.3">
      <c r="A978">
        <v>587</v>
      </c>
      <c r="B978" s="37">
        <v>40569</v>
      </c>
      <c r="F978">
        <v>17</v>
      </c>
      <c r="G978" t="b">
        <v>0</v>
      </c>
      <c r="H978">
        <v>3</v>
      </c>
      <c r="I978">
        <v>3</v>
      </c>
      <c r="J978">
        <v>0.2</v>
      </c>
      <c r="K978">
        <v>40569</v>
      </c>
      <c r="L978">
        <v>0.18179999999999999</v>
      </c>
      <c r="M978">
        <v>0.93</v>
      </c>
      <c r="N978">
        <v>0.35820000000000002</v>
      </c>
      <c r="O978">
        <v>0</v>
      </c>
      <c r="P978">
        <v>26</v>
      </c>
      <c r="S978" t="s">
        <v>24</v>
      </c>
      <c r="T978" t="s">
        <v>69</v>
      </c>
    </row>
    <row r="979" spans="1:20" x14ac:dyDescent="0.3">
      <c r="A979">
        <v>588</v>
      </c>
      <c r="B979" s="37">
        <v>40570</v>
      </c>
      <c r="F979">
        <v>16</v>
      </c>
      <c r="G979" t="b">
        <v>0</v>
      </c>
      <c r="H979">
        <v>4</v>
      </c>
      <c r="I979">
        <v>1</v>
      </c>
      <c r="J979">
        <v>0.22</v>
      </c>
      <c r="K979">
        <v>40570</v>
      </c>
      <c r="L979">
        <v>0.2273</v>
      </c>
      <c r="M979">
        <v>0.55000000000000004</v>
      </c>
      <c r="N979">
        <v>0.19400000000000001</v>
      </c>
      <c r="O979">
        <v>1</v>
      </c>
      <c r="P979">
        <v>23</v>
      </c>
      <c r="S979" t="s">
        <v>25</v>
      </c>
      <c r="T979" t="s">
        <v>69</v>
      </c>
    </row>
    <row r="980" spans="1:20" x14ac:dyDescent="0.3">
      <c r="A980">
        <v>589</v>
      </c>
      <c r="B980" s="37">
        <v>40570</v>
      </c>
      <c r="F980">
        <v>17</v>
      </c>
      <c r="G980" t="b">
        <v>0</v>
      </c>
      <c r="H980">
        <v>4</v>
      </c>
      <c r="I980">
        <v>1</v>
      </c>
      <c r="J980">
        <v>0.22</v>
      </c>
      <c r="K980">
        <v>40570</v>
      </c>
      <c r="L980">
        <v>0.2424</v>
      </c>
      <c r="M980">
        <v>0.55000000000000004</v>
      </c>
      <c r="N980">
        <v>0.1045</v>
      </c>
      <c r="O980">
        <v>2</v>
      </c>
      <c r="P980">
        <v>82</v>
      </c>
      <c r="S980" t="s">
        <v>25</v>
      </c>
      <c r="T980" t="s">
        <v>69</v>
      </c>
    </row>
    <row r="981" spans="1:20" x14ac:dyDescent="0.3">
      <c r="A981">
        <v>590</v>
      </c>
      <c r="B981" s="37">
        <v>40570</v>
      </c>
      <c r="F981">
        <v>18</v>
      </c>
      <c r="G981" t="b">
        <v>0</v>
      </c>
      <c r="H981">
        <v>4</v>
      </c>
      <c r="I981">
        <v>1</v>
      </c>
      <c r="J981">
        <v>0.2</v>
      </c>
      <c r="K981">
        <v>40570</v>
      </c>
      <c r="L981">
        <v>0.2273</v>
      </c>
      <c r="M981">
        <v>0.69</v>
      </c>
      <c r="N981">
        <v>8.9599999999999999E-2</v>
      </c>
      <c r="O981">
        <v>3</v>
      </c>
      <c r="P981">
        <v>101</v>
      </c>
      <c r="S981" t="s">
        <v>25</v>
      </c>
      <c r="T981" t="s">
        <v>69</v>
      </c>
    </row>
    <row r="982" spans="1:20" x14ac:dyDescent="0.3">
      <c r="A982">
        <v>591</v>
      </c>
      <c r="B982" s="37">
        <v>40570</v>
      </c>
      <c r="F982">
        <v>19</v>
      </c>
      <c r="G982" t="b">
        <v>0</v>
      </c>
      <c r="H982">
        <v>4</v>
      </c>
      <c r="I982">
        <v>1</v>
      </c>
      <c r="J982">
        <v>0.2</v>
      </c>
      <c r="K982">
        <v>40570</v>
      </c>
      <c r="L982">
        <v>0.2273</v>
      </c>
      <c r="M982">
        <v>0.69</v>
      </c>
      <c r="N982">
        <v>8.9599999999999999E-2</v>
      </c>
      <c r="O982">
        <v>3</v>
      </c>
      <c r="P982">
        <v>76</v>
      </c>
      <c r="S982" t="s">
        <v>25</v>
      </c>
      <c r="T982" t="s">
        <v>29</v>
      </c>
    </row>
    <row r="983" spans="1:20" x14ac:dyDescent="0.3">
      <c r="A983">
        <v>592</v>
      </c>
      <c r="B983" s="37">
        <v>40570</v>
      </c>
      <c r="F983">
        <v>20</v>
      </c>
      <c r="G983" t="b">
        <v>0</v>
      </c>
      <c r="H983">
        <v>4</v>
      </c>
      <c r="I983">
        <v>1</v>
      </c>
      <c r="J983">
        <v>0.18</v>
      </c>
      <c r="K983">
        <v>40570</v>
      </c>
      <c r="L983">
        <v>0.21210000000000001</v>
      </c>
      <c r="M983">
        <v>0.74</v>
      </c>
      <c r="N983">
        <v>8.9599999999999999E-2</v>
      </c>
      <c r="O983">
        <v>4</v>
      </c>
      <c r="P983">
        <v>55</v>
      </c>
      <c r="S983" t="s">
        <v>25</v>
      </c>
      <c r="T983" t="s">
        <v>29</v>
      </c>
    </row>
    <row r="984" spans="1:20" x14ac:dyDescent="0.3">
      <c r="A984">
        <v>593</v>
      </c>
      <c r="B984" s="37">
        <v>40570</v>
      </c>
      <c r="F984">
        <v>21</v>
      </c>
      <c r="G984" t="b">
        <v>0</v>
      </c>
      <c r="H984">
        <v>4</v>
      </c>
      <c r="I984">
        <v>1</v>
      </c>
      <c r="J984">
        <v>0.18</v>
      </c>
      <c r="K984">
        <v>40570</v>
      </c>
      <c r="L984">
        <v>0.21210000000000001</v>
      </c>
      <c r="M984">
        <v>0.74</v>
      </c>
      <c r="N984">
        <v>8.9599999999999999E-2</v>
      </c>
      <c r="O984">
        <v>2</v>
      </c>
      <c r="P984">
        <v>36</v>
      </c>
      <c r="S984" t="s">
        <v>25</v>
      </c>
      <c r="T984" t="s">
        <v>29</v>
      </c>
    </row>
    <row r="985" spans="1:20" x14ac:dyDescent="0.3">
      <c r="A985">
        <v>594</v>
      </c>
      <c r="B985" s="37">
        <v>40570</v>
      </c>
      <c r="F985">
        <v>22</v>
      </c>
      <c r="G985" t="b">
        <v>0</v>
      </c>
      <c r="H985">
        <v>4</v>
      </c>
      <c r="I985">
        <v>1</v>
      </c>
      <c r="J985">
        <v>0.18</v>
      </c>
      <c r="K985">
        <v>40570</v>
      </c>
      <c r="L985">
        <v>0.21210000000000001</v>
      </c>
      <c r="M985">
        <v>0.74</v>
      </c>
      <c r="N985">
        <v>8.9599999999999999E-2</v>
      </c>
      <c r="O985">
        <v>0</v>
      </c>
      <c r="P985">
        <v>27</v>
      </c>
      <c r="S985" t="s">
        <v>25</v>
      </c>
      <c r="T985" t="s">
        <v>29</v>
      </c>
    </row>
    <row r="986" spans="1:20" x14ac:dyDescent="0.3">
      <c r="A986">
        <v>595</v>
      </c>
      <c r="B986" s="37">
        <v>40570</v>
      </c>
      <c r="F986">
        <v>23</v>
      </c>
      <c r="G986" t="b">
        <v>0</v>
      </c>
      <c r="H986">
        <v>4</v>
      </c>
      <c r="I986">
        <v>1</v>
      </c>
      <c r="J986">
        <v>0.18</v>
      </c>
      <c r="K986">
        <v>40570</v>
      </c>
      <c r="L986">
        <v>0.19700000000000001</v>
      </c>
      <c r="M986">
        <v>0.8</v>
      </c>
      <c r="N986">
        <v>0.16420000000000001</v>
      </c>
      <c r="O986">
        <v>0</v>
      </c>
      <c r="P986">
        <v>16</v>
      </c>
      <c r="S986" t="s">
        <v>25</v>
      </c>
      <c r="T986" t="s">
        <v>29</v>
      </c>
    </row>
    <row r="987" spans="1:20" x14ac:dyDescent="0.3">
      <c r="A987">
        <v>596</v>
      </c>
      <c r="B987" s="37">
        <v>40571</v>
      </c>
      <c r="F987">
        <v>0</v>
      </c>
      <c r="G987" t="b">
        <v>0</v>
      </c>
      <c r="H987">
        <v>5</v>
      </c>
      <c r="I987">
        <v>2</v>
      </c>
      <c r="J987">
        <v>0.2</v>
      </c>
      <c r="K987">
        <v>40571</v>
      </c>
      <c r="L987">
        <v>0.21210000000000001</v>
      </c>
      <c r="M987">
        <v>0.75</v>
      </c>
      <c r="N987">
        <v>0.1343</v>
      </c>
      <c r="O987">
        <v>0</v>
      </c>
      <c r="P987">
        <v>9</v>
      </c>
      <c r="S987" t="s">
        <v>26</v>
      </c>
      <c r="T987" t="s">
        <v>29</v>
      </c>
    </row>
    <row r="988" spans="1:20" x14ac:dyDescent="0.3">
      <c r="A988">
        <v>597</v>
      </c>
      <c r="B988" s="37">
        <v>40571</v>
      </c>
      <c r="F988">
        <v>1</v>
      </c>
      <c r="G988" t="b">
        <v>0</v>
      </c>
      <c r="H988">
        <v>5</v>
      </c>
      <c r="I988">
        <v>2</v>
      </c>
      <c r="J988">
        <v>0.2</v>
      </c>
      <c r="K988">
        <v>40571</v>
      </c>
      <c r="L988">
        <v>0.21210000000000001</v>
      </c>
      <c r="M988">
        <v>0.75</v>
      </c>
      <c r="N988">
        <v>0.1343</v>
      </c>
      <c r="O988">
        <v>1</v>
      </c>
      <c r="P988">
        <v>2</v>
      </c>
      <c r="S988" t="s">
        <v>26</v>
      </c>
      <c r="T988" t="s">
        <v>29</v>
      </c>
    </row>
    <row r="989" spans="1:20" x14ac:dyDescent="0.3">
      <c r="A989">
        <v>598</v>
      </c>
      <c r="B989" s="37">
        <v>40571</v>
      </c>
      <c r="F989">
        <v>2</v>
      </c>
      <c r="G989" t="b">
        <v>0</v>
      </c>
      <c r="H989">
        <v>5</v>
      </c>
      <c r="I989">
        <v>2</v>
      </c>
      <c r="J989">
        <v>0.2</v>
      </c>
      <c r="K989">
        <v>40571</v>
      </c>
      <c r="L989">
        <v>0.21210000000000001</v>
      </c>
      <c r="M989">
        <v>0.75</v>
      </c>
      <c r="N989">
        <v>0.16420000000000001</v>
      </c>
      <c r="O989">
        <v>0</v>
      </c>
      <c r="P989">
        <v>2</v>
      </c>
      <c r="S989" t="s">
        <v>26</v>
      </c>
      <c r="T989" t="s">
        <v>29</v>
      </c>
    </row>
    <row r="990" spans="1:20" x14ac:dyDescent="0.3">
      <c r="A990">
        <v>599</v>
      </c>
      <c r="B990" s="37">
        <v>40571</v>
      </c>
      <c r="F990">
        <v>3</v>
      </c>
      <c r="G990" t="b">
        <v>0</v>
      </c>
      <c r="H990">
        <v>5</v>
      </c>
      <c r="I990">
        <v>2</v>
      </c>
      <c r="J990">
        <v>0.2</v>
      </c>
      <c r="K990">
        <v>40571</v>
      </c>
      <c r="L990">
        <v>0.2273</v>
      </c>
      <c r="M990">
        <v>0.75</v>
      </c>
      <c r="N990">
        <v>0.1045</v>
      </c>
      <c r="O990">
        <v>1</v>
      </c>
      <c r="P990">
        <v>0</v>
      </c>
      <c r="S990" t="s">
        <v>26</v>
      </c>
      <c r="T990" t="s">
        <v>29</v>
      </c>
    </row>
    <row r="991" spans="1:20" x14ac:dyDescent="0.3">
      <c r="A991">
        <v>600</v>
      </c>
      <c r="B991" s="37">
        <v>40571</v>
      </c>
      <c r="F991">
        <v>5</v>
      </c>
      <c r="G991" t="b">
        <v>0</v>
      </c>
      <c r="H991">
        <v>5</v>
      </c>
      <c r="I991">
        <v>2</v>
      </c>
      <c r="J991">
        <v>0.18</v>
      </c>
      <c r="K991">
        <v>40571</v>
      </c>
      <c r="L991">
        <v>0.21210000000000001</v>
      </c>
      <c r="M991">
        <v>0.8</v>
      </c>
      <c r="N991">
        <v>0.1045</v>
      </c>
      <c r="O991">
        <v>0</v>
      </c>
      <c r="P991">
        <v>4</v>
      </c>
      <c r="S991" t="s">
        <v>26</v>
      </c>
      <c r="T991" t="s">
        <v>29</v>
      </c>
    </row>
    <row r="992" spans="1:20" x14ac:dyDescent="0.3">
      <c r="A992">
        <v>601</v>
      </c>
      <c r="B992" s="37">
        <v>40571</v>
      </c>
      <c r="F992">
        <v>6</v>
      </c>
      <c r="G992" t="b">
        <v>0</v>
      </c>
      <c r="H992">
        <v>5</v>
      </c>
      <c r="I992">
        <v>2</v>
      </c>
      <c r="J992">
        <v>0.18</v>
      </c>
      <c r="K992">
        <v>40571</v>
      </c>
      <c r="L992">
        <v>0.19700000000000001</v>
      </c>
      <c r="M992">
        <v>0.8</v>
      </c>
      <c r="N992">
        <v>0.1343</v>
      </c>
      <c r="O992">
        <v>0</v>
      </c>
      <c r="P992">
        <v>16</v>
      </c>
      <c r="S992" t="s">
        <v>26</v>
      </c>
      <c r="T992" t="s">
        <v>69</v>
      </c>
    </row>
    <row r="993" spans="1:20" x14ac:dyDescent="0.3">
      <c r="A993">
        <v>602</v>
      </c>
      <c r="B993" s="37">
        <v>40571</v>
      </c>
      <c r="F993">
        <v>7</v>
      </c>
      <c r="G993" t="b">
        <v>0</v>
      </c>
      <c r="H993">
        <v>5</v>
      </c>
      <c r="I993">
        <v>2</v>
      </c>
      <c r="J993">
        <v>0.16</v>
      </c>
      <c r="K993">
        <v>40571</v>
      </c>
      <c r="L993">
        <v>0.19700000000000001</v>
      </c>
      <c r="M993">
        <v>0.86</v>
      </c>
      <c r="N993">
        <v>8.9599999999999999E-2</v>
      </c>
      <c r="O993">
        <v>2</v>
      </c>
      <c r="P993">
        <v>58</v>
      </c>
      <c r="S993" t="s">
        <v>26</v>
      </c>
      <c r="T993" t="s">
        <v>69</v>
      </c>
    </row>
    <row r="994" spans="1:20" x14ac:dyDescent="0.3">
      <c r="A994">
        <v>603</v>
      </c>
      <c r="B994" s="37">
        <v>40571</v>
      </c>
      <c r="F994">
        <v>8</v>
      </c>
      <c r="G994" t="b">
        <v>0</v>
      </c>
      <c r="H994">
        <v>5</v>
      </c>
      <c r="I994">
        <v>2</v>
      </c>
      <c r="J994">
        <v>0.16</v>
      </c>
      <c r="K994">
        <v>40571</v>
      </c>
      <c r="L994">
        <v>0.19700000000000001</v>
      </c>
      <c r="M994">
        <v>0.86</v>
      </c>
      <c r="N994">
        <v>8.9599999999999999E-2</v>
      </c>
      <c r="O994">
        <v>2</v>
      </c>
      <c r="P994">
        <v>155</v>
      </c>
      <c r="S994" t="s">
        <v>26</v>
      </c>
      <c r="T994" t="s">
        <v>69</v>
      </c>
    </row>
    <row r="995" spans="1:20" x14ac:dyDescent="0.3">
      <c r="A995">
        <v>604</v>
      </c>
      <c r="B995" s="37">
        <v>40571</v>
      </c>
      <c r="F995">
        <v>9</v>
      </c>
      <c r="G995" t="b">
        <v>0</v>
      </c>
      <c r="H995">
        <v>5</v>
      </c>
      <c r="I995">
        <v>3</v>
      </c>
      <c r="J995">
        <v>0.18</v>
      </c>
      <c r="K995">
        <v>40571</v>
      </c>
      <c r="L995">
        <v>0.21210000000000001</v>
      </c>
      <c r="M995">
        <v>0.86</v>
      </c>
      <c r="N995">
        <v>8.9599999999999999E-2</v>
      </c>
      <c r="O995">
        <v>6</v>
      </c>
      <c r="P995">
        <v>95</v>
      </c>
      <c r="S995" t="s">
        <v>26</v>
      </c>
      <c r="T995" t="s">
        <v>69</v>
      </c>
    </row>
    <row r="996" spans="1:20" x14ac:dyDescent="0.3">
      <c r="A996">
        <v>605</v>
      </c>
      <c r="B996" s="37">
        <v>40571</v>
      </c>
      <c r="F996">
        <v>10</v>
      </c>
      <c r="G996" t="b">
        <v>0</v>
      </c>
      <c r="H996">
        <v>5</v>
      </c>
      <c r="I996">
        <v>3</v>
      </c>
      <c r="J996">
        <v>0.18</v>
      </c>
      <c r="K996">
        <v>40571</v>
      </c>
      <c r="L996">
        <v>0.21210000000000001</v>
      </c>
      <c r="M996">
        <v>0.86</v>
      </c>
      <c r="N996">
        <v>0.1045</v>
      </c>
      <c r="O996">
        <v>0</v>
      </c>
      <c r="P996">
        <v>49</v>
      </c>
      <c r="S996" t="s">
        <v>26</v>
      </c>
      <c r="T996" t="s">
        <v>69</v>
      </c>
    </row>
    <row r="997" spans="1:20" x14ac:dyDescent="0.3">
      <c r="A997">
        <v>606</v>
      </c>
      <c r="B997" s="37">
        <v>40571</v>
      </c>
      <c r="F997">
        <v>11</v>
      </c>
      <c r="G997" t="b">
        <v>0</v>
      </c>
      <c r="H997">
        <v>5</v>
      </c>
      <c r="I997">
        <v>3</v>
      </c>
      <c r="J997">
        <v>0.18</v>
      </c>
      <c r="K997">
        <v>40571</v>
      </c>
      <c r="L997">
        <v>0.21210000000000001</v>
      </c>
      <c r="M997">
        <v>0.93</v>
      </c>
      <c r="N997">
        <v>0.1045</v>
      </c>
      <c r="O997">
        <v>0</v>
      </c>
      <c r="P997">
        <v>30</v>
      </c>
      <c r="S997" t="s">
        <v>26</v>
      </c>
      <c r="T997" t="s">
        <v>69</v>
      </c>
    </row>
    <row r="998" spans="1:20" x14ac:dyDescent="0.3">
      <c r="A998">
        <v>607</v>
      </c>
      <c r="B998" s="37">
        <v>40571</v>
      </c>
      <c r="F998">
        <v>12</v>
      </c>
      <c r="G998" t="b">
        <v>0</v>
      </c>
      <c r="H998">
        <v>5</v>
      </c>
      <c r="I998">
        <v>3</v>
      </c>
      <c r="J998">
        <v>0.18</v>
      </c>
      <c r="K998">
        <v>40571</v>
      </c>
      <c r="L998">
        <v>0.21210000000000001</v>
      </c>
      <c r="M998">
        <v>0.93</v>
      </c>
      <c r="N998">
        <v>0.1045</v>
      </c>
      <c r="O998">
        <v>1</v>
      </c>
      <c r="P998">
        <v>28</v>
      </c>
      <c r="S998" t="s">
        <v>26</v>
      </c>
      <c r="T998" t="s">
        <v>69</v>
      </c>
    </row>
    <row r="999" spans="1:20" x14ac:dyDescent="0.3">
      <c r="A999">
        <v>608</v>
      </c>
      <c r="B999" s="37">
        <v>40571</v>
      </c>
      <c r="F999">
        <v>13</v>
      </c>
      <c r="G999" t="b">
        <v>0</v>
      </c>
      <c r="H999">
        <v>5</v>
      </c>
      <c r="I999">
        <v>3</v>
      </c>
      <c r="J999">
        <v>0.18</v>
      </c>
      <c r="K999">
        <v>40571</v>
      </c>
      <c r="L999">
        <v>0.21210000000000001</v>
      </c>
      <c r="M999">
        <v>0.93</v>
      </c>
      <c r="N999">
        <v>0.1045</v>
      </c>
      <c r="O999">
        <v>0</v>
      </c>
      <c r="P999">
        <v>31</v>
      </c>
      <c r="S999" t="s">
        <v>26</v>
      </c>
      <c r="T999" t="s">
        <v>69</v>
      </c>
    </row>
    <row r="1000" spans="1:20" x14ac:dyDescent="0.3">
      <c r="A1000">
        <v>609</v>
      </c>
      <c r="B1000" s="37">
        <v>40571</v>
      </c>
      <c r="F1000">
        <v>14</v>
      </c>
      <c r="G1000" t="b">
        <v>0</v>
      </c>
      <c r="H1000">
        <v>5</v>
      </c>
      <c r="I1000">
        <v>3</v>
      </c>
      <c r="J1000">
        <v>0.22</v>
      </c>
      <c r="K1000">
        <v>40571</v>
      </c>
      <c r="L1000">
        <v>0.2727</v>
      </c>
      <c r="M1000">
        <v>0.8</v>
      </c>
      <c r="N1000">
        <v>0</v>
      </c>
      <c r="O1000">
        <v>2</v>
      </c>
      <c r="P1000">
        <v>36</v>
      </c>
      <c r="S1000" t="s">
        <v>26</v>
      </c>
      <c r="T1000" t="s">
        <v>69</v>
      </c>
    </row>
    <row r="1001" spans="1:20" x14ac:dyDescent="0.3">
      <c r="A1001">
        <v>610</v>
      </c>
      <c r="B1001" s="37">
        <v>40571</v>
      </c>
      <c r="F1001">
        <v>15</v>
      </c>
      <c r="G1001" t="b">
        <v>0</v>
      </c>
      <c r="H1001">
        <v>5</v>
      </c>
      <c r="I1001">
        <v>2</v>
      </c>
      <c r="J1001">
        <v>0.2</v>
      </c>
      <c r="K1001">
        <v>40571</v>
      </c>
      <c r="L1001">
        <v>0.2576</v>
      </c>
      <c r="M1001">
        <v>0.86</v>
      </c>
      <c r="N1001">
        <v>0</v>
      </c>
      <c r="O1001">
        <v>1</v>
      </c>
      <c r="P1001">
        <v>40</v>
      </c>
      <c r="S1001" t="s">
        <v>26</v>
      </c>
      <c r="T1001" t="s">
        <v>69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BB01-18C6-4AC6-9946-B4A1CA7D8178}">
  <dimension ref="A1:V77"/>
  <sheetViews>
    <sheetView workbookViewId="0">
      <selection activeCell="C28" sqref="C28"/>
    </sheetView>
  </sheetViews>
  <sheetFormatPr defaultRowHeight="14.4" x14ac:dyDescent="0.3"/>
  <sheetData>
    <row r="1" spans="1:22" x14ac:dyDescent="0.3">
      <c r="A1" s="38"/>
      <c r="B1" s="38"/>
      <c r="C1" s="38"/>
      <c r="D1" s="38"/>
      <c r="E1" s="38"/>
      <c r="F1" s="38"/>
      <c r="G1" s="38"/>
      <c r="H1" s="38"/>
      <c r="I1" s="38"/>
      <c r="J1" s="38"/>
      <c r="K1" s="38"/>
      <c r="L1" s="38"/>
      <c r="M1" s="38"/>
      <c r="N1" s="38"/>
      <c r="O1" s="38"/>
      <c r="P1" s="38"/>
      <c r="Q1" s="38"/>
      <c r="R1" s="38"/>
      <c r="S1" s="38"/>
      <c r="T1" s="38"/>
      <c r="U1" s="38"/>
      <c r="V1" s="38"/>
    </row>
    <row r="2" spans="1:22" x14ac:dyDescent="0.3">
      <c r="A2" s="38"/>
      <c r="B2" s="38"/>
      <c r="C2" s="38"/>
      <c r="D2" s="38"/>
      <c r="E2" s="38"/>
      <c r="F2" s="38"/>
      <c r="G2" s="38"/>
      <c r="H2" s="38"/>
      <c r="I2" s="38"/>
      <c r="J2" s="38"/>
      <c r="K2" s="38"/>
      <c r="L2" s="38"/>
      <c r="M2" s="38"/>
      <c r="N2" s="38"/>
      <c r="O2" s="38"/>
      <c r="P2" s="38"/>
      <c r="Q2" s="38"/>
      <c r="R2" s="38"/>
      <c r="S2" s="38"/>
      <c r="T2" s="38"/>
      <c r="U2" s="38"/>
      <c r="V2" s="38"/>
    </row>
    <row r="3" spans="1:22" x14ac:dyDescent="0.3">
      <c r="A3" s="38"/>
      <c r="B3" s="38"/>
      <c r="C3" s="38"/>
      <c r="D3" s="38"/>
      <c r="E3" s="38"/>
      <c r="F3" s="38"/>
      <c r="G3" s="38"/>
      <c r="H3" s="38"/>
      <c r="I3" s="38"/>
      <c r="J3" s="38"/>
      <c r="K3" s="38"/>
      <c r="L3" s="38"/>
      <c r="M3" s="38"/>
      <c r="N3" s="38"/>
      <c r="O3" s="38"/>
      <c r="P3" s="38"/>
      <c r="Q3" s="38"/>
      <c r="R3" s="38"/>
      <c r="S3" s="38"/>
      <c r="T3" s="38"/>
      <c r="U3" s="38"/>
      <c r="V3" s="38"/>
    </row>
    <row r="4" spans="1:22" x14ac:dyDescent="0.3">
      <c r="A4" s="38"/>
      <c r="B4" s="38"/>
      <c r="C4" s="38"/>
      <c r="D4" s="38"/>
      <c r="E4" s="38"/>
      <c r="F4" s="38"/>
      <c r="G4" s="38"/>
      <c r="H4" s="38"/>
      <c r="I4" s="38"/>
      <c r="J4" s="38"/>
      <c r="K4" s="38"/>
      <c r="L4" s="38"/>
      <c r="M4" s="38"/>
      <c r="N4" s="38"/>
      <c r="O4" s="38"/>
      <c r="P4" s="38"/>
      <c r="Q4" s="38"/>
      <c r="R4" s="38"/>
      <c r="S4" s="38"/>
      <c r="T4" s="38"/>
      <c r="U4" s="38"/>
      <c r="V4" s="38"/>
    </row>
    <row r="5" spans="1:22" x14ac:dyDescent="0.3">
      <c r="A5" s="38"/>
      <c r="B5" s="38"/>
      <c r="C5" s="38"/>
      <c r="D5" s="38"/>
      <c r="E5" s="38"/>
      <c r="F5" s="38"/>
      <c r="G5" s="38"/>
      <c r="H5" s="38"/>
      <c r="I5" s="38"/>
      <c r="J5" s="38"/>
      <c r="K5" s="38"/>
      <c r="L5" s="38"/>
      <c r="M5" s="38"/>
      <c r="N5" s="38"/>
      <c r="O5" s="38"/>
      <c r="P5" s="38"/>
      <c r="Q5" s="38"/>
      <c r="R5" s="38"/>
      <c r="S5" s="38"/>
      <c r="T5" s="38"/>
      <c r="U5" s="38"/>
      <c r="V5" s="38"/>
    </row>
    <row r="6" spans="1:22" x14ac:dyDescent="0.3">
      <c r="A6" s="38"/>
      <c r="B6" s="38"/>
      <c r="C6" s="38"/>
      <c r="D6" s="38"/>
      <c r="E6" s="38"/>
      <c r="F6" s="38"/>
      <c r="G6" s="38"/>
      <c r="H6" s="38"/>
      <c r="I6" s="38"/>
      <c r="J6" s="38"/>
      <c r="K6" s="38"/>
      <c r="L6" s="38"/>
      <c r="M6" s="38"/>
      <c r="N6" s="38"/>
      <c r="O6" s="38"/>
      <c r="P6" s="38"/>
      <c r="Q6" s="38"/>
      <c r="R6" s="38"/>
      <c r="S6" s="38"/>
      <c r="T6" s="38"/>
      <c r="U6" s="38"/>
      <c r="V6" s="38"/>
    </row>
    <row r="7" spans="1:22" x14ac:dyDescent="0.3">
      <c r="A7" s="38"/>
      <c r="B7" s="38"/>
      <c r="C7" s="38"/>
      <c r="D7" s="38"/>
      <c r="E7" s="38"/>
      <c r="F7" s="38"/>
      <c r="G7" s="38"/>
      <c r="H7" s="38"/>
      <c r="I7" s="38"/>
      <c r="J7" s="38"/>
      <c r="K7" s="38"/>
      <c r="L7" s="38"/>
      <c r="M7" s="38"/>
      <c r="N7" s="38"/>
      <c r="O7" s="38"/>
      <c r="P7" s="38"/>
      <c r="Q7" s="38"/>
      <c r="R7" s="38"/>
      <c r="S7" s="38"/>
      <c r="T7" s="38"/>
      <c r="U7" s="38"/>
      <c r="V7" s="38"/>
    </row>
    <row r="8" spans="1:22" x14ac:dyDescent="0.3">
      <c r="A8" s="38"/>
      <c r="B8" s="38"/>
      <c r="C8" s="38"/>
      <c r="D8" s="38"/>
      <c r="E8" s="38"/>
      <c r="F8" s="38"/>
      <c r="G8" s="38"/>
      <c r="H8" s="38"/>
      <c r="I8" s="38"/>
      <c r="J8" s="38"/>
      <c r="K8" s="38"/>
      <c r="L8" s="38"/>
      <c r="M8" s="38"/>
      <c r="N8" s="38"/>
      <c r="O8" s="38"/>
      <c r="P8" s="38"/>
      <c r="Q8" s="38"/>
      <c r="R8" s="38"/>
      <c r="S8" s="38"/>
      <c r="T8" s="38"/>
      <c r="U8" s="38"/>
      <c r="V8" s="38"/>
    </row>
    <row r="9" spans="1:22" x14ac:dyDescent="0.3">
      <c r="A9" s="38"/>
      <c r="B9" s="38"/>
      <c r="C9" s="38"/>
      <c r="D9" s="38"/>
      <c r="E9" s="38"/>
      <c r="F9" s="38"/>
      <c r="G9" s="38"/>
      <c r="H9" s="38"/>
      <c r="I9" s="38"/>
      <c r="J9" s="38"/>
      <c r="K9" s="38"/>
      <c r="L9" s="38"/>
      <c r="M9" s="38"/>
      <c r="N9" s="38"/>
      <c r="O9" s="38"/>
      <c r="P9" s="38"/>
      <c r="Q9" s="38"/>
      <c r="R9" s="38"/>
      <c r="S9" s="38"/>
      <c r="T9" s="38"/>
      <c r="U9" s="38"/>
      <c r="V9" s="38"/>
    </row>
    <row r="10" spans="1:22" x14ac:dyDescent="0.3">
      <c r="A10" s="38"/>
      <c r="B10" s="38"/>
      <c r="C10" s="38"/>
      <c r="D10" s="38"/>
      <c r="E10" s="38"/>
      <c r="F10" s="38"/>
      <c r="G10" s="38"/>
      <c r="H10" s="38"/>
      <c r="I10" s="38"/>
      <c r="J10" s="38"/>
      <c r="K10" s="38"/>
      <c r="L10" s="38"/>
      <c r="M10" s="38"/>
      <c r="N10" s="38"/>
      <c r="O10" s="38"/>
      <c r="P10" s="38"/>
      <c r="Q10" s="38"/>
      <c r="R10" s="38"/>
      <c r="S10" s="38"/>
      <c r="T10" s="38"/>
      <c r="U10" s="38"/>
      <c r="V10" s="38"/>
    </row>
    <row r="11" spans="1:22" x14ac:dyDescent="0.3">
      <c r="A11" s="38"/>
      <c r="B11" s="38"/>
      <c r="C11" s="38"/>
      <c r="D11" s="38"/>
      <c r="E11" s="38"/>
      <c r="F11" s="38"/>
      <c r="G11" s="38"/>
      <c r="H11" s="38"/>
      <c r="I11" s="38"/>
      <c r="J11" s="38"/>
      <c r="K11" s="38"/>
      <c r="L11" s="38"/>
      <c r="M11" s="38"/>
      <c r="N11" s="38"/>
      <c r="O11" s="38"/>
      <c r="P11" s="38"/>
      <c r="Q11" s="38"/>
      <c r="R11" s="38"/>
      <c r="S11" s="38"/>
      <c r="T11" s="38"/>
      <c r="U11" s="38"/>
      <c r="V11" s="38"/>
    </row>
    <row r="12" spans="1:22" x14ac:dyDescent="0.3">
      <c r="A12" s="38"/>
      <c r="B12" s="38"/>
      <c r="C12" s="38"/>
      <c r="D12" s="38"/>
      <c r="E12" s="38"/>
      <c r="F12" s="38"/>
      <c r="G12" s="38"/>
      <c r="H12" s="38"/>
      <c r="I12" s="38"/>
      <c r="J12" s="38"/>
      <c r="K12" s="38"/>
      <c r="L12" s="38"/>
      <c r="M12" s="38"/>
      <c r="N12" s="38"/>
      <c r="O12" s="38"/>
      <c r="P12" s="38"/>
      <c r="Q12" s="38"/>
      <c r="R12" s="38"/>
      <c r="S12" s="38"/>
      <c r="T12" s="38"/>
      <c r="U12" s="38"/>
      <c r="V12" s="38"/>
    </row>
    <row r="13" spans="1:22" x14ac:dyDescent="0.3">
      <c r="A13" s="38"/>
      <c r="B13" s="38"/>
      <c r="C13" s="38"/>
      <c r="D13" s="38"/>
      <c r="E13" s="38"/>
      <c r="F13" s="38"/>
      <c r="G13" s="38"/>
      <c r="H13" s="38"/>
      <c r="I13" s="38"/>
      <c r="J13" s="38"/>
      <c r="K13" s="38"/>
      <c r="L13" s="38"/>
      <c r="M13" s="38"/>
      <c r="N13" s="38"/>
      <c r="O13" s="38"/>
      <c r="P13" s="38"/>
      <c r="Q13" s="38"/>
      <c r="R13" s="38"/>
      <c r="S13" s="38"/>
      <c r="T13" s="38"/>
      <c r="U13" s="38"/>
      <c r="V13" s="38"/>
    </row>
    <row r="14" spans="1:22" x14ac:dyDescent="0.3">
      <c r="A14" s="38"/>
      <c r="B14" s="38"/>
      <c r="C14" s="38"/>
      <c r="D14" s="38"/>
      <c r="E14" s="38"/>
      <c r="F14" s="38"/>
      <c r="G14" s="38"/>
      <c r="H14" s="38"/>
      <c r="I14" s="38"/>
      <c r="J14" s="38"/>
      <c r="K14" s="38"/>
      <c r="L14" s="38"/>
      <c r="M14" s="38"/>
      <c r="N14" s="38"/>
      <c r="O14" s="38"/>
      <c r="P14" s="38"/>
      <c r="Q14" s="38"/>
      <c r="R14" s="38"/>
      <c r="S14" s="38"/>
      <c r="T14" s="38"/>
      <c r="U14" s="38"/>
      <c r="V14" s="38"/>
    </row>
    <row r="15" spans="1:22" x14ac:dyDescent="0.3">
      <c r="A15" s="38"/>
      <c r="B15" s="38"/>
      <c r="C15" s="38"/>
      <c r="D15" s="38"/>
      <c r="E15" s="38"/>
      <c r="F15" s="38"/>
      <c r="G15" s="38"/>
      <c r="H15" s="38"/>
      <c r="I15" s="38"/>
      <c r="J15" s="38"/>
      <c r="K15" s="38"/>
      <c r="L15" s="38"/>
      <c r="M15" s="38"/>
      <c r="N15" s="38"/>
      <c r="O15" s="38"/>
      <c r="P15" s="38"/>
      <c r="Q15" s="38"/>
      <c r="R15" s="38"/>
      <c r="S15" s="38"/>
      <c r="T15" s="38"/>
      <c r="U15" s="38"/>
      <c r="V15" s="38"/>
    </row>
    <row r="16" spans="1:22" x14ac:dyDescent="0.3">
      <c r="A16" s="38"/>
      <c r="B16" s="38"/>
      <c r="C16" s="38"/>
      <c r="D16" s="38"/>
      <c r="E16" s="38"/>
      <c r="F16" s="38"/>
      <c r="G16" s="38"/>
      <c r="H16" s="38"/>
      <c r="I16" s="38"/>
      <c r="J16" s="38"/>
      <c r="K16" s="38"/>
      <c r="L16" s="38"/>
      <c r="M16" s="38"/>
      <c r="N16" s="38"/>
      <c r="O16" s="38"/>
      <c r="P16" s="38"/>
      <c r="Q16" s="38"/>
      <c r="R16" s="38"/>
      <c r="S16" s="38"/>
      <c r="T16" s="38"/>
      <c r="U16" s="38"/>
      <c r="V16" s="38"/>
    </row>
    <row r="17" spans="1:22" x14ac:dyDescent="0.3">
      <c r="A17" s="38"/>
      <c r="B17" s="38"/>
      <c r="C17" s="38"/>
      <c r="D17" s="38"/>
      <c r="E17" s="38"/>
      <c r="F17" s="38"/>
      <c r="G17" s="38"/>
      <c r="H17" s="38"/>
      <c r="I17" s="38"/>
      <c r="J17" s="38"/>
      <c r="K17" s="38"/>
      <c r="L17" s="38"/>
      <c r="M17" s="38"/>
      <c r="N17" s="38"/>
      <c r="O17" s="38"/>
      <c r="P17" s="38"/>
      <c r="Q17" s="38"/>
      <c r="R17" s="38"/>
      <c r="S17" s="38"/>
      <c r="T17" s="38"/>
      <c r="U17" s="38"/>
      <c r="V17" s="38"/>
    </row>
    <row r="18" spans="1:22" x14ac:dyDescent="0.3">
      <c r="A18" s="38"/>
      <c r="B18" s="38"/>
      <c r="C18" s="38"/>
      <c r="D18" s="38"/>
      <c r="E18" s="38"/>
      <c r="F18" s="38"/>
      <c r="G18" s="38"/>
      <c r="H18" s="38"/>
      <c r="I18" s="38"/>
      <c r="J18" s="38"/>
      <c r="K18" s="38"/>
      <c r="L18" s="38"/>
      <c r="M18" s="38"/>
      <c r="N18" s="38"/>
      <c r="O18" s="38"/>
      <c r="P18" s="38"/>
      <c r="Q18" s="38"/>
      <c r="R18" s="38"/>
      <c r="S18" s="38"/>
      <c r="T18" s="38"/>
      <c r="U18" s="38"/>
      <c r="V18" s="38"/>
    </row>
    <row r="19" spans="1:22" x14ac:dyDescent="0.3">
      <c r="A19" s="38"/>
      <c r="B19" s="38"/>
      <c r="C19" s="38"/>
      <c r="D19" s="38"/>
      <c r="E19" s="38"/>
      <c r="F19" s="38"/>
      <c r="G19" s="38"/>
      <c r="H19" s="38"/>
      <c r="I19" s="38"/>
      <c r="J19" s="38"/>
      <c r="K19" s="38"/>
      <c r="L19" s="38"/>
      <c r="M19" s="38"/>
      <c r="N19" s="38"/>
      <c r="O19" s="38"/>
      <c r="P19" s="38"/>
      <c r="Q19" s="38"/>
      <c r="R19" s="38"/>
      <c r="S19" s="38"/>
      <c r="T19" s="38"/>
      <c r="U19" s="38"/>
      <c r="V19" s="38"/>
    </row>
    <row r="20" spans="1:22" x14ac:dyDescent="0.3">
      <c r="A20" s="38"/>
      <c r="B20" s="38"/>
      <c r="C20" s="38"/>
      <c r="D20" s="38"/>
      <c r="E20" s="38"/>
      <c r="F20" s="38"/>
      <c r="G20" s="38"/>
      <c r="H20" s="38"/>
      <c r="I20" s="38"/>
      <c r="J20" s="38"/>
      <c r="K20" s="38"/>
      <c r="L20" s="38"/>
      <c r="M20" s="38"/>
      <c r="N20" s="38"/>
      <c r="O20" s="38"/>
      <c r="P20" s="38"/>
      <c r="Q20" s="38"/>
      <c r="R20" s="38"/>
      <c r="S20" s="38"/>
      <c r="T20" s="38"/>
      <c r="U20" s="38"/>
      <c r="V20" s="38"/>
    </row>
    <row r="21" spans="1:22" x14ac:dyDescent="0.3">
      <c r="A21" s="38"/>
      <c r="B21" s="38"/>
      <c r="C21" s="38"/>
      <c r="D21" s="38"/>
      <c r="E21" s="38"/>
      <c r="F21" s="38"/>
      <c r="G21" s="38"/>
      <c r="H21" s="38"/>
      <c r="I21" s="38"/>
      <c r="J21" s="38"/>
      <c r="K21" s="38"/>
      <c r="L21" s="38"/>
      <c r="M21" s="38"/>
      <c r="N21" s="38"/>
      <c r="O21" s="38"/>
      <c r="P21" s="38"/>
      <c r="Q21" s="38"/>
      <c r="R21" s="38"/>
      <c r="S21" s="38"/>
      <c r="T21" s="38"/>
      <c r="U21" s="38"/>
      <c r="V21" s="38"/>
    </row>
    <row r="22" spans="1:22" x14ac:dyDescent="0.3">
      <c r="A22" s="38"/>
      <c r="B22" s="38"/>
      <c r="C22" s="38"/>
      <c r="D22" s="38"/>
      <c r="E22" s="38"/>
      <c r="F22" s="38"/>
      <c r="G22" s="38"/>
      <c r="H22" s="38"/>
      <c r="I22" s="38"/>
      <c r="J22" s="38"/>
      <c r="K22" s="38"/>
      <c r="L22" s="38"/>
      <c r="M22" s="38"/>
      <c r="N22" s="38"/>
      <c r="O22" s="38"/>
      <c r="P22" s="38"/>
      <c r="Q22" s="38"/>
      <c r="R22" s="38"/>
      <c r="S22" s="38"/>
      <c r="T22" s="38"/>
      <c r="U22" s="38"/>
      <c r="V22" s="38"/>
    </row>
    <row r="23" spans="1:22" x14ac:dyDescent="0.3">
      <c r="A23" s="38"/>
      <c r="B23" s="38"/>
      <c r="C23" s="38"/>
      <c r="D23" s="38"/>
      <c r="E23" s="38"/>
      <c r="F23" s="38"/>
      <c r="G23" s="38"/>
      <c r="H23" s="38"/>
      <c r="I23" s="38"/>
      <c r="J23" s="38"/>
      <c r="K23" s="38"/>
      <c r="L23" s="38"/>
      <c r="M23" s="38"/>
      <c r="N23" s="38"/>
      <c r="O23" s="38"/>
      <c r="P23" s="38"/>
      <c r="Q23" s="38"/>
      <c r="R23" s="38"/>
      <c r="S23" s="38"/>
      <c r="T23" s="38"/>
      <c r="U23" s="38"/>
      <c r="V23" s="38"/>
    </row>
    <row r="24" spans="1:22" x14ac:dyDescent="0.3">
      <c r="A24" s="38"/>
      <c r="B24" s="38"/>
      <c r="C24" s="38"/>
      <c r="D24" s="38"/>
      <c r="E24" s="38"/>
      <c r="F24" s="38"/>
      <c r="G24" s="38"/>
      <c r="H24" s="38"/>
      <c r="I24" s="38"/>
      <c r="J24" s="38"/>
      <c r="K24" s="38"/>
      <c r="L24" s="38"/>
      <c r="M24" s="38"/>
      <c r="N24" s="38"/>
      <c r="O24" s="38"/>
      <c r="P24" s="38"/>
      <c r="Q24" s="38"/>
      <c r="R24" s="38"/>
      <c r="S24" s="38"/>
      <c r="T24" s="38"/>
      <c r="U24" s="38"/>
      <c r="V24" s="38"/>
    </row>
    <row r="25" spans="1:22" x14ac:dyDescent="0.3">
      <c r="A25" s="38"/>
      <c r="B25" s="38"/>
      <c r="C25" s="38"/>
      <c r="D25" s="38"/>
      <c r="E25" s="38"/>
      <c r="F25" s="38"/>
      <c r="G25" s="38"/>
      <c r="H25" s="38"/>
      <c r="I25" s="38"/>
      <c r="J25" s="38"/>
      <c r="K25" s="38"/>
      <c r="L25" s="38"/>
      <c r="M25" s="38"/>
      <c r="N25" s="38"/>
      <c r="O25" s="38"/>
      <c r="P25" s="38"/>
      <c r="Q25" s="38"/>
      <c r="R25" s="38"/>
      <c r="S25" s="38"/>
      <c r="T25" s="38"/>
      <c r="U25" s="38"/>
      <c r="V25" s="38"/>
    </row>
    <row r="26" spans="1:22" x14ac:dyDescent="0.3">
      <c r="A26" s="38"/>
      <c r="B26" s="38"/>
      <c r="C26" s="38"/>
      <c r="D26" s="38"/>
      <c r="E26" s="38"/>
      <c r="F26" s="38"/>
      <c r="G26" s="38"/>
      <c r="H26" s="38"/>
      <c r="I26" s="38"/>
      <c r="J26" s="38"/>
      <c r="K26" s="38"/>
      <c r="L26" s="38"/>
      <c r="M26" s="38"/>
      <c r="N26" s="38"/>
      <c r="O26" s="38"/>
      <c r="P26" s="38"/>
      <c r="Q26" s="38"/>
      <c r="R26" s="38"/>
      <c r="S26" s="38"/>
      <c r="T26" s="38"/>
      <c r="U26" s="38"/>
      <c r="V26" s="38"/>
    </row>
    <row r="27" spans="1:22" x14ac:dyDescent="0.3">
      <c r="A27" s="38"/>
      <c r="B27" s="38"/>
      <c r="C27" s="38"/>
      <c r="D27" s="38"/>
      <c r="E27" s="38"/>
      <c r="F27" s="38"/>
      <c r="G27" s="38"/>
      <c r="H27" s="38"/>
      <c r="I27" s="38"/>
      <c r="J27" s="38"/>
      <c r="K27" s="38"/>
      <c r="L27" s="38"/>
      <c r="M27" s="38"/>
      <c r="N27" s="38"/>
      <c r="O27" s="38"/>
      <c r="P27" s="38"/>
      <c r="Q27" s="38"/>
      <c r="R27" s="38"/>
      <c r="S27" s="38"/>
      <c r="T27" s="38"/>
      <c r="U27" s="38"/>
      <c r="V27" s="38"/>
    </row>
    <row r="28" spans="1:22" x14ac:dyDescent="0.3">
      <c r="A28" s="38"/>
      <c r="B28" s="38"/>
      <c r="C28" s="38"/>
      <c r="D28" s="38"/>
      <c r="E28" s="38"/>
      <c r="F28" s="38"/>
      <c r="G28" s="38"/>
      <c r="H28" s="38"/>
      <c r="I28" s="38"/>
      <c r="J28" s="38"/>
      <c r="K28" s="38"/>
      <c r="L28" s="38"/>
      <c r="M28" s="38"/>
      <c r="N28" s="38"/>
      <c r="O28" s="38"/>
      <c r="P28" s="38"/>
      <c r="Q28" s="38"/>
      <c r="R28" s="38"/>
      <c r="S28" s="38"/>
      <c r="T28" s="38"/>
      <c r="U28" s="38"/>
      <c r="V28" s="38"/>
    </row>
    <row r="29" spans="1:22" x14ac:dyDescent="0.3">
      <c r="A29" s="38"/>
      <c r="B29" s="38"/>
      <c r="C29" s="38"/>
      <c r="D29" s="38"/>
      <c r="E29" s="38"/>
      <c r="F29" s="38"/>
      <c r="G29" s="38"/>
      <c r="H29" s="38"/>
      <c r="I29" s="38"/>
      <c r="J29" s="38"/>
      <c r="K29" s="38"/>
      <c r="L29" s="38"/>
      <c r="M29" s="38"/>
      <c r="N29" s="38"/>
      <c r="O29" s="38"/>
      <c r="P29" s="38"/>
      <c r="Q29" s="38"/>
      <c r="R29" s="38"/>
      <c r="S29" s="38"/>
      <c r="T29" s="38"/>
      <c r="U29" s="38"/>
      <c r="V29" s="38"/>
    </row>
    <row r="30" spans="1:22" x14ac:dyDescent="0.3">
      <c r="A30" s="38"/>
      <c r="B30" s="38"/>
      <c r="C30" s="38"/>
      <c r="D30" s="38"/>
      <c r="E30" s="38"/>
      <c r="F30" s="38"/>
      <c r="G30" s="38"/>
      <c r="H30" s="38"/>
      <c r="I30" s="38"/>
      <c r="J30" s="38"/>
      <c r="K30" s="38"/>
      <c r="L30" s="38"/>
      <c r="M30" s="38"/>
      <c r="N30" s="38"/>
      <c r="O30" s="38"/>
      <c r="P30" s="38"/>
      <c r="Q30" s="38"/>
      <c r="R30" s="38"/>
      <c r="S30" s="38"/>
      <c r="T30" s="38"/>
      <c r="U30" s="38"/>
      <c r="V30" s="38"/>
    </row>
    <row r="31" spans="1:22" x14ac:dyDescent="0.3">
      <c r="A31" s="38"/>
      <c r="B31" s="38"/>
      <c r="C31" s="38"/>
      <c r="D31" s="38"/>
      <c r="E31" s="38"/>
      <c r="F31" s="38"/>
      <c r="G31" s="38"/>
      <c r="H31" s="38"/>
      <c r="I31" s="38"/>
      <c r="J31" s="38"/>
      <c r="K31" s="38"/>
      <c r="L31" s="38"/>
      <c r="M31" s="38"/>
      <c r="N31" s="38"/>
      <c r="O31" s="38"/>
      <c r="P31" s="38"/>
      <c r="Q31" s="38"/>
      <c r="R31" s="38"/>
      <c r="S31" s="38"/>
      <c r="T31" s="38"/>
      <c r="U31" s="38"/>
      <c r="V31" s="38"/>
    </row>
    <row r="32" spans="1:22" x14ac:dyDescent="0.3">
      <c r="A32" s="38"/>
      <c r="B32" s="38"/>
      <c r="C32" s="38"/>
      <c r="D32" s="38"/>
      <c r="E32" s="38"/>
      <c r="F32" s="38"/>
      <c r="G32" s="38"/>
      <c r="H32" s="38"/>
      <c r="I32" s="38"/>
      <c r="J32" s="38"/>
      <c r="K32" s="38"/>
      <c r="L32" s="38"/>
      <c r="M32" s="38"/>
      <c r="N32" s="38"/>
      <c r="O32" s="38"/>
      <c r="P32" s="38"/>
      <c r="Q32" s="38"/>
      <c r="R32" s="38"/>
      <c r="S32" s="38"/>
      <c r="T32" s="38"/>
      <c r="U32" s="38"/>
      <c r="V32" s="38"/>
    </row>
    <row r="33" spans="1:22" x14ac:dyDescent="0.3">
      <c r="A33" s="38"/>
      <c r="B33" s="38"/>
      <c r="C33" s="38"/>
      <c r="D33" s="38"/>
      <c r="E33" s="38"/>
      <c r="F33" s="38"/>
      <c r="G33" s="38"/>
      <c r="H33" s="38"/>
      <c r="I33" s="38"/>
      <c r="J33" s="38"/>
      <c r="K33" s="38"/>
      <c r="L33" s="38"/>
      <c r="M33" s="38"/>
      <c r="N33" s="38"/>
      <c r="O33" s="38"/>
      <c r="P33" s="38"/>
      <c r="Q33" s="38"/>
      <c r="R33" s="38"/>
      <c r="S33" s="38"/>
      <c r="T33" s="38"/>
      <c r="U33" s="38"/>
      <c r="V33" s="38"/>
    </row>
    <row r="34" spans="1:22" x14ac:dyDescent="0.3">
      <c r="A34" s="38"/>
      <c r="B34" s="38"/>
      <c r="C34" s="38"/>
      <c r="D34" s="38"/>
      <c r="E34" s="38"/>
      <c r="F34" s="38"/>
      <c r="G34" s="38"/>
      <c r="H34" s="38"/>
      <c r="I34" s="38"/>
      <c r="J34" s="38"/>
      <c r="K34" s="38"/>
      <c r="L34" s="38"/>
      <c r="M34" s="38"/>
      <c r="N34" s="38"/>
      <c r="O34" s="38"/>
      <c r="P34" s="38"/>
      <c r="Q34" s="38"/>
      <c r="R34" s="38"/>
      <c r="S34" s="38"/>
      <c r="T34" s="38"/>
      <c r="U34" s="38"/>
      <c r="V34" s="38"/>
    </row>
    <row r="35" spans="1:22" x14ac:dyDescent="0.3">
      <c r="A35" s="38"/>
      <c r="B35" s="38"/>
      <c r="C35" s="38"/>
      <c r="D35" s="38"/>
      <c r="E35" s="38"/>
      <c r="F35" s="38"/>
      <c r="G35" s="38"/>
      <c r="H35" s="38"/>
      <c r="I35" s="38"/>
      <c r="J35" s="38"/>
      <c r="K35" s="38"/>
      <c r="L35" s="38"/>
      <c r="M35" s="38"/>
      <c r="N35" s="38"/>
      <c r="O35" s="38"/>
      <c r="P35" s="38"/>
      <c r="Q35" s="38"/>
      <c r="R35" s="38"/>
      <c r="S35" s="38"/>
      <c r="T35" s="38"/>
      <c r="U35" s="38"/>
      <c r="V35" s="38"/>
    </row>
    <row r="36" spans="1:22" x14ac:dyDescent="0.3">
      <c r="A36" s="38"/>
      <c r="B36" s="38"/>
      <c r="C36" s="38"/>
      <c r="D36" s="38"/>
      <c r="E36" s="38"/>
      <c r="F36" s="38"/>
      <c r="G36" s="38"/>
      <c r="H36" s="38"/>
      <c r="I36" s="38"/>
      <c r="J36" s="38"/>
      <c r="K36" s="38"/>
      <c r="L36" s="38"/>
      <c r="M36" s="38"/>
      <c r="N36" s="38"/>
      <c r="O36" s="38"/>
      <c r="P36" s="38"/>
      <c r="Q36" s="38"/>
      <c r="R36" s="38"/>
      <c r="S36" s="38"/>
      <c r="T36" s="38"/>
      <c r="U36" s="38"/>
      <c r="V36" s="38"/>
    </row>
    <row r="37" spans="1:22" x14ac:dyDescent="0.3">
      <c r="A37" s="38"/>
      <c r="B37" s="38"/>
      <c r="C37" s="38"/>
      <c r="D37" s="38"/>
      <c r="E37" s="38"/>
      <c r="F37" s="38"/>
      <c r="G37" s="38"/>
      <c r="H37" s="38"/>
      <c r="I37" s="38"/>
      <c r="J37" s="38"/>
      <c r="K37" s="38"/>
      <c r="L37" s="38"/>
      <c r="M37" s="38"/>
      <c r="N37" s="38"/>
      <c r="O37" s="38"/>
      <c r="P37" s="38"/>
      <c r="Q37" s="38"/>
      <c r="R37" s="38"/>
      <c r="S37" s="38"/>
      <c r="T37" s="38"/>
      <c r="U37" s="38"/>
      <c r="V37" s="38"/>
    </row>
    <row r="38" spans="1:22" x14ac:dyDescent="0.3">
      <c r="A38" s="38"/>
      <c r="B38" s="38"/>
      <c r="C38" s="38"/>
      <c r="D38" s="38"/>
      <c r="E38" s="38"/>
      <c r="F38" s="38"/>
      <c r="G38" s="38"/>
      <c r="H38" s="38"/>
      <c r="I38" s="38"/>
      <c r="J38" s="38"/>
      <c r="K38" s="38"/>
      <c r="L38" s="38"/>
      <c r="M38" s="38"/>
      <c r="N38" s="38"/>
      <c r="O38" s="38"/>
      <c r="P38" s="38"/>
      <c r="Q38" s="38"/>
      <c r="R38" s="38"/>
      <c r="S38" s="38"/>
      <c r="T38" s="38"/>
      <c r="U38" s="38"/>
      <c r="V38" s="38"/>
    </row>
    <row r="39" spans="1:22" x14ac:dyDescent="0.3">
      <c r="A39" s="38"/>
      <c r="B39" s="38"/>
      <c r="C39" s="38"/>
      <c r="D39" s="38"/>
      <c r="E39" s="38"/>
      <c r="F39" s="38"/>
      <c r="G39" s="38"/>
      <c r="H39" s="38"/>
      <c r="I39" s="38"/>
      <c r="J39" s="38"/>
      <c r="K39" s="38"/>
      <c r="L39" s="38"/>
      <c r="M39" s="38"/>
      <c r="N39" s="38"/>
      <c r="O39" s="38"/>
      <c r="P39" s="38"/>
      <c r="Q39" s="38"/>
      <c r="R39" s="38"/>
      <c r="S39" s="38"/>
      <c r="T39" s="38"/>
      <c r="U39" s="38"/>
      <c r="V39" s="38"/>
    </row>
    <row r="40" spans="1:22" x14ac:dyDescent="0.3">
      <c r="A40" s="38"/>
      <c r="B40" s="38"/>
      <c r="C40" s="38"/>
      <c r="D40" s="38"/>
      <c r="E40" s="38"/>
      <c r="F40" s="38"/>
      <c r="G40" s="38"/>
      <c r="H40" s="38"/>
      <c r="I40" s="38"/>
      <c r="J40" s="38"/>
      <c r="K40" s="38"/>
      <c r="L40" s="38"/>
      <c r="M40" s="38"/>
      <c r="N40" s="38"/>
      <c r="O40" s="38"/>
      <c r="P40" s="38"/>
      <c r="Q40" s="38"/>
      <c r="R40" s="38"/>
      <c r="S40" s="38"/>
      <c r="T40" s="38"/>
      <c r="U40" s="38"/>
      <c r="V40" s="38"/>
    </row>
    <row r="41" spans="1:22" x14ac:dyDescent="0.3">
      <c r="A41" s="38"/>
      <c r="B41" s="38"/>
      <c r="C41" s="38"/>
      <c r="D41" s="38"/>
      <c r="E41" s="38"/>
      <c r="F41" s="38"/>
      <c r="G41" s="38"/>
      <c r="H41" s="38"/>
      <c r="I41" s="38"/>
      <c r="J41" s="38"/>
      <c r="K41" s="38"/>
      <c r="L41" s="38"/>
      <c r="M41" s="38"/>
      <c r="N41" s="38"/>
      <c r="O41" s="38"/>
      <c r="P41" s="38"/>
      <c r="Q41" s="38"/>
      <c r="R41" s="38"/>
      <c r="S41" s="38"/>
      <c r="T41" s="38"/>
      <c r="U41" s="38"/>
      <c r="V41" s="38"/>
    </row>
    <row r="42" spans="1:22" x14ac:dyDescent="0.3">
      <c r="A42" s="38"/>
      <c r="B42" s="38"/>
      <c r="C42" s="38"/>
      <c r="D42" s="38"/>
      <c r="E42" s="38"/>
      <c r="F42" s="38"/>
      <c r="G42" s="38"/>
      <c r="H42" s="38"/>
      <c r="I42" s="38"/>
      <c r="J42" s="38"/>
      <c r="K42" s="38"/>
      <c r="L42" s="38"/>
      <c r="M42" s="38"/>
      <c r="N42" s="38"/>
      <c r="O42" s="38"/>
      <c r="P42" s="38"/>
      <c r="Q42" s="38"/>
      <c r="R42" s="38"/>
      <c r="S42" s="38"/>
      <c r="T42" s="38"/>
      <c r="U42" s="38"/>
      <c r="V42" s="38"/>
    </row>
    <row r="43" spans="1:22" x14ac:dyDescent="0.3">
      <c r="A43" s="38"/>
      <c r="B43" s="38"/>
      <c r="C43" s="38"/>
      <c r="D43" s="38"/>
      <c r="E43" s="38"/>
      <c r="F43" s="38"/>
      <c r="G43" s="38"/>
      <c r="H43" s="38"/>
      <c r="I43" s="38"/>
      <c r="J43" s="38"/>
      <c r="K43" s="38"/>
      <c r="L43" s="38"/>
      <c r="M43" s="38"/>
      <c r="N43" s="38"/>
      <c r="O43" s="38"/>
      <c r="P43" s="38"/>
      <c r="Q43" s="38"/>
      <c r="R43" s="38"/>
      <c r="S43" s="38"/>
      <c r="T43" s="38"/>
      <c r="U43" s="38"/>
      <c r="V43" s="38"/>
    </row>
    <row r="44" spans="1:22" x14ac:dyDescent="0.3">
      <c r="A44" s="38"/>
      <c r="B44" s="38"/>
      <c r="C44" s="38"/>
      <c r="D44" s="38"/>
      <c r="E44" s="38"/>
      <c r="F44" s="38"/>
      <c r="G44" s="38"/>
      <c r="H44" s="38"/>
      <c r="I44" s="38"/>
      <c r="J44" s="38"/>
      <c r="K44" s="38"/>
      <c r="L44" s="38"/>
      <c r="M44" s="38"/>
      <c r="N44" s="38"/>
      <c r="O44" s="38"/>
      <c r="P44" s="38"/>
      <c r="Q44" s="38"/>
      <c r="R44" s="38"/>
      <c r="S44" s="38"/>
      <c r="T44" s="38"/>
      <c r="U44" s="38"/>
      <c r="V44" s="38"/>
    </row>
    <row r="45" spans="1:22" x14ac:dyDescent="0.3">
      <c r="A45" s="38"/>
      <c r="B45" s="38"/>
      <c r="C45" s="38"/>
      <c r="D45" s="38"/>
      <c r="E45" s="38"/>
      <c r="F45" s="38"/>
      <c r="G45" s="38"/>
      <c r="H45" s="38"/>
      <c r="I45" s="38"/>
      <c r="J45" s="38"/>
      <c r="K45" s="38"/>
      <c r="L45" s="38"/>
      <c r="M45" s="38"/>
      <c r="N45" s="38"/>
      <c r="O45" s="38"/>
      <c r="P45" s="38"/>
      <c r="Q45" s="38"/>
      <c r="R45" s="38"/>
      <c r="S45" s="38"/>
      <c r="T45" s="38"/>
      <c r="U45" s="38"/>
      <c r="V45" s="38"/>
    </row>
    <row r="46" spans="1:22" x14ac:dyDescent="0.3">
      <c r="A46" s="38"/>
      <c r="B46" s="38"/>
      <c r="C46" s="38"/>
      <c r="D46" s="38"/>
      <c r="E46" s="38"/>
      <c r="F46" s="38"/>
      <c r="G46" s="38"/>
      <c r="H46" s="38"/>
      <c r="I46" s="38"/>
      <c r="J46" s="38"/>
      <c r="K46" s="38"/>
      <c r="L46" s="38"/>
      <c r="M46" s="38"/>
      <c r="N46" s="38"/>
      <c r="O46" s="38"/>
      <c r="P46" s="38"/>
      <c r="Q46" s="38"/>
      <c r="R46" s="38"/>
      <c r="S46" s="38"/>
      <c r="T46" s="38"/>
      <c r="U46" s="38"/>
      <c r="V46" s="38"/>
    </row>
    <row r="47" spans="1:22" x14ac:dyDescent="0.3">
      <c r="A47" s="38"/>
      <c r="B47" s="38"/>
      <c r="C47" s="38"/>
      <c r="D47" s="38"/>
      <c r="E47" s="38"/>
      <c r="F47" s="38"/>
      <c r="G47" s="38"/>
      <c r="H47" s="38"/>
      <c r="I47" s="38"/>
      <c r="J47" s="38"/>
      <c r="K47" s="38"/>
      <c r="L47" s="38"/>
      <c r="M47" s="38"/>
      <c r="N47" s="38"/>
      <c r="O47" s="38"/>
      <c r="P47" s="38"/>
      <c r="Q47" s="38"/>
      <c r="R47" s="38"/>
      <c r="S47" s="38"/>
      <c r="T47" s="38"/>
      <c r="U47" s="38"/>
      <c r="V47" s="38"/>
    </row>
    <row r="48" spans="1:22" x14ac:dyDescent="0.3">
      <c r="A48" s="38"/>
      <c r="B48" s="38"/>
      <c r="C48" s="38"/>
      <c r="D48" s="38"/>
      <c r="E48" s="38"/>
      <c r="F48" s="38"/>
      <c r="G48" s="38"/>
      <c r="H48" s="38"/>
      <c r="I48" s="38"/>
      <c r="J48" s="38"/>
      <c r="K48" s="38"/>
      <c r="L48" s="38"/>
      <c r="M48" s="38"/>
      <c r="N48" s="38"/>
      <c r="O48" s="38"/>
      <c r="P48" s="38"/>
      <c r="Q48" s="38"/>
      <c r="R48" s="38"/>
      <c r="S48" s="38"/>
      <c r="T48" s="38"/>
      <c r="U48" s="38"/>
      <c r="V48" s="38"/>
    </row>
    <row r="49" spans="1:22" x14ac:dyDescent="0.3">
      <c r="A49" s="38"/>
      <c r="B49" s="38"/>
      <c r="C49" s="38"/>
      <c r="D49" s="38"/>
      <c r="E49" s="38"/>
      <c r="F49" s="38"/>
      <c r="G49" s="38"/>
      <c r="H49" s="38"/>
      <c r="I49" s="38"/>
      <c r="J49" s="38"/>
      <c r="K49" s="38"/>
      <c r="L49" s="38"/>
      <c r="M49" s="38"/>
      <c r="N49" s="38"/>
      <c r="O49" s="38"/>
      <c r="P49" s="38"/>
      <c r="Q49" s="38"/>
      <c r="R49" s="38"/>
      <c r="S49" s="38"/>
      <c r="T49" s="38"/>
      <c r="U49" s="38"/>
      <c r="V49" s="38"/>
    </row>
    <row r="50" spans="1:22" x14ac:dyDescent="0.3">
      <c r="A50" s="40"/>
      <c r="B50" s="40"/>
      <c r="C50" s="40"/>
      <c r="D50" s="40"/>
      <c r="E50" s="40"/>
      <c r="F50" s="40"/>
      <c r="G50" s="40"/>
      <c r="H50" s="40"/>
      <c r="I50" s="40"/>
      <c r="J50" s="40"/>
      <c r="K50" s="40"/>
      <c r="L50" s="40"/>
      <c r="M50" s="40"/>
      <c r="N50" s="40"/>
      <c r="O50" s="40"/>
      <c r="P50" s="40"/>
      <c r="Q50" s="40"/>
      <c r="R50" s="40"/>
      <c r="S50" s="40"/>
      <c r="T50" s="40"/>
      <c r="U50" s="40"/>
      <c r="V50" s="40"/>
    </row>
    <row r="51" spans="1:22" x14ac:dyDescent="0.3">
      <c r="A51" s="40"/>
      <c r="B51" s="40"/>
      <c r="C51" s="40"/>
      <c r="D51" s="40"/>
      <c r="E51" s="40"/>
      <c r="F51" s="40"/>
      <c r="G51" s="40"/>
      <c r="H51" s="40"/>
      <c r="I51" s="40"/>
      <c r="J51" s="40"/>
      <c r="K51" s="40"/>
      <c r="L51" s="40"/>
      <c r="M51" s="40"/>
      <c r="N51" s="40"/>
      <c r="O51" s="40"/>
      <c r="P51" s="40"/>
      <c r="Q51" s="40"/>
      <c r="R51" s="40"/>
      <c r="S51" s="40"/>
      <c r="T51" s="40"/>
      <c r="U51" s="40"/>
      <c r="V51" s="40"/>
    </row>
    <row r="52" spans="1:22" x14ac:dyDescent="0.3">
      <c r="A52" s="40"/>
      <c r="B52" s="40"/>
      <c r="C52" s="40"/>
      <c r="D52" s="40"/>
      <c r="E52" s="40"/>
      <c r="F52" s="40"/>
      <c r="G52" s="40"/>
      <c r="H52" s="40"/>
      <c r="I52" s="40"/>
      <c r="J52" s="40"/>
      <c r="K52" s="40"/>
      <c r="L52" s="40"/>
      <c r="M52" s="40"/>
      <c r="N52" s="40"/>
      <c r="O52" s="40"/>
      <c r="P52" s="40"/>
      <c r="Q52" s="40"/>
      <c r="R52" s="40"/>
      <c r="S52" s="40"/>
      <c r="T52" s="40"/>
      <c r="U52" s="40"/>
      <c r="V52" s="40"/>
    </row>
    <row r="53" spans="1:22" x14ac:dyDescent="0.3">
      <c r="A53" s="40"/>
      <c r="B53" s="40"/>
      <c r="C53" s="40"/>
      <c r="D53" s="40"/>
      <c r="E53" s="40"/>
      <c r="F53" s="40"/>
      <c r="G53" s="40"/>
      <c r="H53" s="40"/>
      <c r="I53" s="40"/>
      <c r="J53" s="40"/>
      <c r="K53" s="40"/>
      <c r="L53" s="40"/>
      <c r="M53" s="40"/>
      <c r="N53" s="40"/>
      <c r="O53" s="40"/>
      <c r="P53" s="40"/>
      <c r="Q53" s="40"/>
      <c r="R53" s="40"/>
      <c r="S53" s="40"/>
      <c r="T53" s="40"/>
      <c r="U53" s="40"/>
      <c r="V53" s="40"/>
    </row>
    <row r="54" spans="1:22" x14ac:dyDescent="0.3">
      <c r="A54" s="40"/>
      <c r="B54" s="40"/>
      <c r="C54" s="40"/>
      <c r="D54" s="40"/>
      <c r="E54" s="40"/>
      <c r="F54" s="40"/>
      <c r="G54" s="40"/>
      <c r="H54" s="40"/>
      <c r="I54" s="40"/>
      <c r="J54" s="40"/>
      <c r="K54" s="40"/>
      <c r="L54" s="40"/>
      <c r="M54" s="40"/>
      <c r="N54" s="40"/>
      <c r="O54" s="40"/>
      <c r="P54" s="40"/>
      <c r="Q54" s="40"/>
      <c r="R54" s="40"/>
      <c r="S54" s="40"/>
      <c r="T54" s="40"/>
      <c r="U54" s="40"/>
      <c r="V54" s="40"/>
    </row>
    <row r="55" spans="1:22" x14ac:dyDescent="0.3">
      <c r="A55" s="40"/>
      <c r="B55" s="40"/>
      <c r="C55" s="40"/>
      <c r="D55" s="40"/>
      <c r="E55" s="40"/>
      <c r="F55" s="40"/>
      <c r="G55" s="40"/>
      <c r="H55" s="40"/>
      <c r="I55" s="40"/>
      <c r="J55" s="40"/>
      <c r="K55" s="40"/>
      <c r="L55" s="40"/>
      <c r="M55" s="40"/>
      <c r="N55" s="40"/>
      <c r="O55" s="40"/>
      <c r="P55" s="40"/>
      <c r="Q55" s="40"/>
      <c r="R55" s="40"/>
      <c r="S55" s="40"/>
      <c r="T55" s="40"/>
      <c r="U55" s="40"/>
      <c r="V55" s="40"/>
    </row>
    <row r="56" spans="1:22" x14ac:dyDescent="0.3">
      <c r="A56" s="40"/>
      <c r="B56" s="40"/>
      <c r="C56" s="40"/>
      <c r="D56" s="40"/>
      <c r="E56" s="40"/>
      <c r="F56" s="40"/>
      <c r="G56" s="40"/>
      <c r="H56" s="40"/>
      <c r="I56" s="40"/>
      <c r="J56" s="40"/>
      <c r="K56" s="40"/>
      <c r="L56" s="40"/>
      <c r="M56" s="40"/>
      <c r="N56" s="40"/>
      <c r="O56" s="40"/>
      <c r="P56" s="40"/>
      <c r="Q56" s="40"/>
      <c r="R56" s="40"/>
      <c r="S56" s="40"/>
      <c r="T56" s="40"/>
      <c r="U56" s="40"/>
      <c r="V56" s="40"/>
    </row>
    <row r="57" spans="1:22" x14ac:dyDescent="0.3">
      <c r="A57" s="40"/>
      <c r="B57" s="40"/>
      <c r="C57" s="40"/>
      <c r="D57" s="40"/>
      <c r="E57" s="40"/>
      <c r="F57" s="40"/>
      <c r="G57" s="40"/>
      <c r="H57" s="40"/>
      <c r="I57" s="40"/>
      <c r="J57" s="40"/>
      <c r="K57" s="40"/>
      <c r="L57" s="40"/>
      <c r="M57" s="40"/>
      <c r="N57" s="40"/>
      <c r="O57" s="40"/>
      <c r="P57" s="40"/>
      <c r="Q57" s="40"/>
      <c r="R57" s="40"/>
      <c r="S57" s="40"/>
      <c r="T57" s="40"/>
      <c r="U57" s="40"/>
      <c r="V57" s="40"/>
    </row>
    <row r="58" spans="1:22" x14ac:dyDescent="0.3">
      <c r="A58" s="40"/>
      <c r="B58" s="40"/>
      <c r="C58" s="40"/>
      <c r="D58" s="40"/>
      <c r="E58" s="40"/>
      <c r="F58" s="40"/>
      <c r="G58" s="40"/>
      <c r="H58" s="40"/>
      <c r="I58" s="40"/>
      <c r="J58" s="40"/>
      <c r="K58" s="40"/>
      <c r="L58" s="40"/>
      <c r="M58" s="40"/>
      <c r="N58" s="40"/>
      <c r="O58" s="40"/>
      <c r="P58" s="40"/>
      <c r="Q58" s="40"/>
      <c r="R58" s="40"/>
      <c r="S58" s="40"/>
      <c r="T58" s="40"/>
      <c r="U58" s="40"/>
      <c r="V58" s="40"/>
    </row>
    <row r="59" spans="1:22" x14ac:dyDescent="0.3">
      <c r="A59" s="40"/>
      <c r="B59" s="40"/>
      <c r="C59" s="40"/>
      <c r="D59" s="40"/>
      <c r="E59" s="40"/>
      <c r="F59" s="40"/>
      <c r="G59" s="40"/>
      <c r="H59" s="40"/>
      <c r="I59" s="40"/>
      <c r="J59" s="40"/>
      <c r="K59" s="40"/>
      <c r="L59" s="40"/>
      <c r="M59" s="40"/>
      <c r="N59" s="40"/>
      <c r="O59" s="40"/>
      <c r="P59" s="40"/>
      <c r="Q59" s="40"/>
      <c r="R59" s="40"/>
      <c r="S59" s="40"/>
      <c r="T59" s="40"/>
      <c r="U59" s="40"/>
      <c r="V59" s="40"/>
    </row>
    <row r="60" spans="1:22" x14ac:dyDescent="0.3">
      <c r="A60" s="40"/>
      <c r="B60" s="40"/>
      <c r="C60" s="40"/>
      <c r="D60" s="40"/>
      <c r="E60" s="40"/>
      <c r="F60" s="40"/>
      <c r="G60" s="40"/>
      <c r="H60" s="40"/>
      <c r="I60" s="40"/>
      <c r="J60" s="40"/>
      <c r="K60" s="40"/>
      <c r="L60" s="40"/>
      <c r="M60" s="40"/>
      <c r="N60" s="40"/>
      <c r="O60" s="40"/>
      <c r="P60" s="40"/>
      <c r="Q60" s="40"/>
      <c r="R60" s="40"/>
      <c r="S60" s="40"/>
      <c r="T60" s="40"/>
      <c r="U60" s="40"/>
      <c r="V60" s="40"/>
    </row>
    <row r="61" spans="1:22" x14ac:dyDescent="0.3">
      <c r="A61" s="40"/>
      <c r="B61" s="40"/>
      <c r="C61" s="40"/>
      <c r="D61" s="40"/>
      <c r="E61" s="40"/>
      <c r="F61" s="40"/>
      <c r="G61" s="40"/>
      <c r="H61" s="40"/>
      <c r="I61" s="40"/>
      <c r="J61" s="40"/>
      <c r="K61" s="40"/>
      <c r="L61" s="40"/>
      <c r="M61" s="40"/>
      <c r="N61" s="40"/>
      <c r="O61" s="40"/>
      <c r="P61" s="40"/>
      <c r="Q61" s="40"/>
      <c r="R61" s="40"/>
      <c r="S61" s="40"/>
      <c r="T61" s="40"/>
      <c r="U61" s="40"/>
      <c r="V61" s="40"/>
    </row>
    <row r="62" spans="1:22" x14ac:dyDescent="0.3">
      <c r="A62" s="40"/>
      <c r="B62" s="40"/>
      <c r="C62" s="40"/>
      <c r="D62" s="40"/>
      <c r="E62" s="40"/>
      <c r="F62" s="40"/>
      <c r="G62" s="40"/>
      <c r="H62" s="40"/>
      <c r="I62" s="40"/>
      <c r="J62" s="40"/>
      <c r="K62" s="40"/>
      <c r="L62" s="40"/>
      <c r="M62" s="40"/>
      <c r="N62" s="40"/>
      <c r="O62" s="40"/>
      <c r="P62" s="40"/>
      <c r="Q62" s="40"/>
      <c r="R62" s="40"/>
      <c r="S62" s="40"/>
      <c r="T62" s="40"/>
      <c r="U62" s="40"/>
      <c r="V62" s="40"/>
    </row>
    <row r="63" spans="1:22" x14ac:dyDescent="0.3">
      <c r="A63" s="40"/>
      <c r="B63" s="40"/>
      <c r="C63" s="40"/>
      <c r="D63" s="40"/>
      <c r="E63" s="40"/>
      <c r="F63" s="40"/>
      <c r="G63" s="40"/>
      <c r="H63" s="40"/>
      <c r="I63" s="40"/>
      <c r="J63" s="40"/>
      <c r="K63" s="40"/>
      <c r="L63" s="40"/>
      <c r="M63" s="40"/>
      <c r="N63" s="40"/>
      <c r="O63" s="40"/>
      <c r="P63" s="40"/>
      <c r="Q63" s="40"/>
      <c r="R63" s="40"/>
      <c r="S63" s="40"/>
      <c r="T63" s="40"/>
      <c r="U63" s="40"/>
      <c r="V63" s="40"/>
    </row>
    <row r="64" spans="1:22" x14ac:dyDescent="0.3">
      <c r="A64" s="40"/>
      <c r="B64" s="40"/>
      <c r="C64" s="40"/>
      <c r="D64" s="40"/>
      <c r="E64" s="40"/>
      <c r="F64" s="40"/>
      <c r="G64" s="40"/>
      <c r="H64" s="40"/>
      <c r="I64" s="40"/>
      <c r="J64" s="40"/>
      <c r="K64" s="40"/>
      <c r="L64" s="40"/>
      <c r="M64" s="40"/>
      <c r="N64" s="40"/>
      <c r="O64" s="40"/>
      <c r="P64" s="40"/>
      <c r="Q64" s="40"/>
      <c r="R64" s="40"/>
      <c r="S64" s="40"/>
      <c r="T64" s="40"/>
      <c r="U64" s="40"/>
      <c r="V64" s="40"/>
    </row>
    <row r="65" spans="1:22" x14ac:dyDescent="0.3">
      <c r="A65" s="40"/>
      <c r="B65" s="40"/>
      <c r="C65" s="40"/>
      <c r="D65" s="40"/>
      <c r="E65" s="40"/>
      <c r="F65" s="40"/>
      <c r="G65" s="40"/>
      <c r="H65" s="40"/>
      <c r="I65" s="40"/>
      <c r="J65" s="40"/>
      <c r="K65" s="40"/>
      <c r="L65" s="40"/>
      <c r="M65" s="40"/>
      <c r="N65" s="40"/>
      <c r="O65" s="40"/>
      <c r="P65" s="40"/>
      <c r="Q65" s="40"/>
      <c r="R65" s="40"/>
      <c r="S65" s="40"/>
      <c r="T65" s="40"/>
      <c r="U65" s="40"/>
      <c r="V65" s="40"/>
    </row>
    <row r="66" spans="1:22" x14ac:dyDescent="0.3">
      <c r="A66" s="40"/>
      <c r="B66" s="40"/>
      <c r="C66" s="40"/>
      <c r="D66" s="40"/>
      <c r="E66" s="40"/>
      <c r="F66" s="40"/>
      <c r="G66" s="40"/>
      <c r="H66" s="40"/>
      <c r="I66" s="40"/>
      <c r="J66" s="40"/>
      <c r="K66" s="40"/>
      <c r="L66" s="40"/>
      <c r="M66" s="40"/>
      <c r="N66" s="40"/>
      <c r="O66" s="40"/>
      <c r="P66" s="40"/>
      <c r="Q66" s="40"/>
      <c r="R66" s="40"/>
      <c r="S66" s="40"/>
      <c r="T66" s="40"/>
      <c r="U66" s="40"/>
      <c r="V66" s="40"/>
    </row>
    <row r="67" spans="1:22" x14ac:dyDescent="0.3">
      <c r="A67" s="40"/>
      <c r="B67" s="40"/>
      <c r="C67" s="40"/>
      <c r="D67" s="40"/>
      <c r="E67" s="40"/>
      <c r="F67" s="40"/>
      <c r="G67" s="40"/>
      <c r="H67" s="40"/>
      <c r="I67" s="40"/>
      <c r="J67" s="40"/>
      <c r="K67" s="40"/>
      <c r="L67" s="40"/>
      <c r="M67" s="40"/>
      <c r="N67" s="40"/>
      <c r="O67" s="40"/>
      <c r="P67" s="40"/>
      <c r="Q67" s="40"/>
      <c r="R67" s="40"/>
      <c r="S67" s="40"/>
      <c r="T67" s="40"/>
      <c r="U67" s="40"/>
      <c r="V67" s="40"/>
    </row>
    <row r="68" spans="1:22" x14ac:dyDescent="0.3">
      <c r="A68" s="40"/>
      <c r="B68" s="40"/>
      <c r="C68" s="40"/>
      <c r="D68" s="40"/>
      <c r="E68" s="40"/>
      <c r="F68" s="40"/>
      <c r="G68" s="40"/>
      <c r="H68" s="40"/>
      <c r="I68" s="40"/>
      <c r="J68" s="40"/>
      <c r="K68" s="40"/>
      <c r="L68" s="40"/>
      <c r="M68" s="40"/>
      <c r="N68" s="40"/>
      <c r="O68" s="40"/>
      <c r="P68" s="40"/>
      <c r="Q68" s="40"/>
      <c r="R68" s="40"/>
      <c r="S68" s="40"/>
      <c r="T68" s="40"/>
      <c r="U68" s="40"/>
      <c r="V68" s="40"/>
    </row>
    <row r="69" spans="1:22" x14ac:dyDescent="0.3">
      <c r="A69" s="40"/>
      <c r="B69" s="40"/>
      <c r="C69" s="40"/>
      <c r="D69" s="40"/>
      <c r="E69" s="40"/>
      <c r="F69" s="40"/>
      <c r="G69" s="40"/>
      <c r="H69" s="40"/>
      <c r="I69" s="40"/>
      <c r="J69" s="40"/>
      <c r="K69" s="40"/>
      <c r="L69" s="40"/>
      <c r="M69" s="40"/>
      <c r="N69" s="40"/>
      <c r="O69" s="40"/>
      <c r="P69" s="40"/>
      <c r="Q69" s="40"/>
      <c r="R69" s="40"/>
      <c r="S69" s="40"/>
      <c r="T69" s="40"/>
      <c r="U69" s="40"/>
      <c r="V69" s="40"/>
    </row>
    <row r="70" spans="1:22" x14ac:dyDescent="0.3">
      <c r="A70" s="40"/>
      <c r="B70" s="40"/>
      <c r="C70" s="40"/>
      <c r="D70" s="40"/>
      <c r="E70" s="40"/>
      <c r="F70" s="40"/>
      <c r="G70" s="40"/>
      <c r="H70" s="40"/>
      <c r="I70" s="40"/>
      <c r="J70" s="40"/>
      <c r="K70" s="40"/>
      <c r="L70" s="40"/>
      <c r="M70" s="40"/>
      <c r="N70" s="40"/>
      <c r="O70" s="40"/>
      <c r="P70" s="40"/>
      <c r="Q70" s="40"/>
      <c r="R70" s="40"/>
      <c r="S70" s="40"/>
      <c r="T70" s="40"/>
      <c r="U70" s="40"/>
      <c r="V70" s="40"/>
    </row>
    <row r="71" spans="1:22" x14ac:dyDescent="0.3">
      <c r="A71" s="40"/>
      <c r="B71" s="40"/>
      <c r="C71" s="40"/>
      <c r="D71" s="40"/>
      <c r="E71" s="40"/>
      <c r="F71" s="40"/>
      <c r="G71" s="40"/>
      <c r="H71" s="40"/>
      <c r="I71" s="40"/>
      <c r="J71" s="40"/>
      <c r="K71" s="40"/>
      <c r="L71" s="40"/>
      <c r="M71" s="40"/>
      <c r="N71" s="40"/>
      <c r="O71" s="40"/>
      <c r="P71" s="40"/>
      <c r="Q71" s="40"/>
      <c r="R71" s="40"/>
      <c r="S71" s="40"/>
      <c r="T71" s="40"/>
      <c r="U71" s="40"/>
      <c r="V71" s="40"/>
    </row>
    <row r="72" spans="1:22" x14ac:dyDescent="0.3">
      <c r="A72" s="40"/>
      <c r="B72" s="40"/>
      <c r="C72" s="40"/>
      <c r="D72" s="40"/>
      <c r="E72" s="40"/>
      <c r="F72" s="40"/>
      <c r="G72" s="40"/>
      <c r="H72" s="40"/>
      <c r="I72" s="40"/>
      <c r="J72" s="40"/>
      <c r="K72" s="40"/>
      <c r="L72" s="40"/>
      <c r="M72" s="40"/>
      <c r="N72" s="40"/>
      <c r="O72" s="40"/>
      <c r="P72" s="40"/>
      <c r="Q72" s="40"/>
      <c r="R72" s="40"/>
      <c r="S72" s="40"/>
      <c r="T72" s="40"/>
      <c r="U72" s="40"/>
      <c r="V72" s="40"/>
    </row>
    <row r="73" spans="1:22" x14ac:dyDescent="0.3">
      <c r="A73" s="40"/>
      <c r="B73" s="40"/>
      <c r="C73" s="40"/>
      <c r="D73" s="40"/>
      <c r="E73" s="40"/>
      <c r="F73" s="40"/>
      <c r="G73" s="40"/>
      <c r="H73" s="40"/>
      <c r="I73" s="40"/>
      <c r="J73" s="40"/>
      <c r="K73" s="40"/>
      <c r="L73" s="40"/>
      <c r="M73" s="40"/>
      <c r="N73" s="40"/>
      <c r="O73" s="40"/>
      <c r="P73" s="40"/>
      <c r="Q73" s="40"/>
      <c r="R73" s="40"/>
      <c r="S73" s="40"/>
      <c r="T73" s="40"/>
      <c r="U73" s="40"/>
      <c r="V73" s="40"/>
    </row>
    <row r="74" spans="1:22" x14ac:dyDescent="0.3">
      <c r="A74" s="40"/>
      <c r="B74" s="40"/>
      <c r="C74" s="40"/>
      <c r="D74" s="40"/>
      <c r="E74" s="40"/>
      <c r="F74" s="40"/>
      <c r="G74" s="40"/>
      <c r="H74" s="40"/>
      <c r="I74" s="40"/>
      <c r="J74" s="40"/>
      <c r="K74" s="40"/>
      <c r="L74" s="40"/>
      <c r="M74" s="40"/>
      <c r="N74" s="40"/>
      <c r="O74" s="40"/>
      <c r="P74" s="40"/>
      <c r="Q74" s="40"/>
      <c r="R74" s="40"/>
      <c r="S74" s="40"/>
      <c r="T74" s="40"/>
      <c r="U74" s="40"/>
      <c r="V74" s="40"/>
    </row>
    <row r="75" spans="1:22" x14ac:dyDescent="0.3">
      <c r="A75" s="40"/>
      <c r="B75" s="40"/>
      <c r="C75" s="40"/>
      <c r="D75" s="40"/>
      <c r="E75" s="40"/>
      <c r="F75" s="40"/>
      <c r="G75" s="40"/>
      <c r="H75" s="40"/>
      <c r="I75" s="40"/>
      <c r="J75" s="40"/>
      <c r="K75" s="40"/>
      <c r="L75" s="40"/>
      <c r="M75" s="40"/>
      <c r="N75" s="40"/>
      <c r="O75" s="40"/>
      <c r="P75" s="40"/>
      <c r="Q75" s="40"/>
      <c r="R75" s="40"/>
      <c r="S75" s="40"/>
      <c r="T75" s="40"/>
      <c r="U75" s="40"/>
      <c r="V75" s="40"/>
    </row>
    <row r="76" spans="1:22" x14ac:dyDescent="0.3">
      <c r="A76" s="40"/>
      <c r="B76" s="40"/>
      <c r="C76" s="40"/>
      <c r="D76" s="40"/>
      <c r="E76" s="40"/>
      <c r="F76" s="40"/>
      <c r="G76" s="40"/>
      <c r="H76" s="40"/>
      <c r="I76" s="40"/>
      <c r="J76" s="40"/>
      <c r="K76" s="40"/>
      <c r="L76" s="40"/>
      <c r="M76" s="40"/>
      <c r="N76" s="40"/>
      <c r="O76" s="40"/>
      <c r="P76" s="40"/>
      <c r="Q76" s="40"/>
      <c r="R76" s="40"/>
      <c r="S76" s="40"/>
      <c r="T76" s="40"/>
      <c r="U76" s="40"/>
      <c r="V76" s="40"/>
    </row>
    <row r="77" spans="1:22" x14ac:dyDescent="0.3">
      <c r="A77" s="40"/>
      <c r="B77" s="40"/>
      <c r="C77" s="40"/>
      <c r="D77" s="40"/>
      <c r="E77" s="40"/>
      <c r="F77" s="40"/>
      <c r="G77" s="40"/>
      <c r="H77" s="40"/>
      <c r="I77" s="40"/>
      <c r="J77" s="40"/>
      <c r="K77" s="40"/>
      <c r="L77" s="40"/>
      <c r="M77" s="40"/>
      <c r="N77" s="40"/>
      <c r="O77" s="40"/>
      <c r="P77" s="40"/>
      <c r="Q77" s="40"/>
      <c r="R77" s="40"/>
      <c r="S77" s="40"/>
      <c r="T77" s="40"/>
      <c r="U77" s="40"/>
      <c r="V77" s="40"/>
    </row>
  </sheetData>
  <mergeCells count="1">
    <mergeCell ref="A50:V77"/>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45DB9E-A657-438B-9064-395270AC4C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Sheet1</vt:lpstr>
      <vt:lpstr>Sheet2</vt:lpstr>
      <vt:lpstr>Sheet3</vt:lpstr>
      <vt:lpstr>pivot table</vt:lpstr>
      <vt:lpstr>forecast</vt:lpstr>
      <vt:lpstr>heatmap</vt:lpstr>
      <vt:lpstr>Append</vt:lpstr>
      <vt:lpstr>dashboard</vt:lpstr>
      <vt:lpstr>Sheet1!Extract</vt:lpstr>
      <vt:lpstr>instant</vt:lpstr>
      <vt:lpstr>instantc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saket rai</dc:creator>
  <cp:lastModifiedBy>saket rai</cp:lastModifiedBy>
  <dcterms:created xsi:type="dcterms:W3CDTF">2025-10-14T12:29:38Z</dcterms:created>
  <dcterms:modified xsi:type="dcterms:W3CDTF">2025-10-23T04:51:58Z</dcterms:modified>
</cp:coreProperties>
</file>